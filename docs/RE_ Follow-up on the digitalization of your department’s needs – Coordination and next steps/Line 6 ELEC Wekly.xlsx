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20.241\lines\bureau New line\PACKAGING MAINTENANCE\Line 6 Maintenance Cycle\Maintenace\Check List\Elect\Hebdo\"/>
    </mc:Choice>
  </mc:AlternateContent>
  <xr:revisionPtr revIDLastSave="0" documentId="13_ncr:1_{6AD7C875-16F9-4B2A-A498-BC7D1B034158}" xr6:coauthVersionLast="47" xr6:coauthVersionMax="47" xr10:uidLastSave="{00000000-0000-0000-0000-000000000000}"/>
  <bookViews>
    <workbookView xWindow="-120" yWindow="-120" windowWidth="24240" windowHeight="13140" tabRatio="949" activeTab="21" xr2:uid="{00000000-000D-0000-FFFF-FFFF00000000}"/>
  </bookViews>
  <sheets>
    <sheet name="AF Compressor" sheetId="32" r:id="rId1"/>
    <sheet name="Blomax" sheetId="1" r:id="rId2"/>
    <sheet name="FILLER" sheetId="31" r:id="rId3"/>
    <sheet name="Paramix" sheetId="29" r:id="rId4"/>
    <sheet name="CIP" sheetId="30" r:id="rId5"/>
    <sheet name="Labeller" sheetId="8" r:id="rId6"/>
    <sheet name="Kisters" sheetId="9" r:id="rId7"/>
    <sheet name="Handle applicator" sheetId="10" r:id="rId8"/>
    <sheet name="Convoyeurs" sheetId="11" r:id="rId9"/>
    <sheet name="Cvyr Btles" sheetId="12" state="hidden" r:id="rId10"/>
    <sheet name="CC C1" sheetId="13" state="hidden" r:id="rId11"/>
    <sheet name="CC C2" sheetId="15" state="hidden" r:id="rId12"/>
    <sheet name="CC C3" sheetId="16" state="hidden" r:id="rId13"/>
    <sheet name="CC C4" sheetId="17" state="hidden" r:id="rId14"/>
    <sheet name="CC C5" sheetId="18" state="hidden" r:id="rId15"/>
    <sheet name="CC C6" sheetId="19" state="hidden" r:id="rId16"/>
    <sheet name="CC C7" sheetId="20" state="hidden" r:id="rId17"/>
    <sheet name="CC C8" sheetId="21" state="hidden" r:id="rId18"/>
    <sheet name="Line &amp; frequency" sheetId="2" state="hidden" r:id="rId19"/>
    <sheet name="Cooling towers" sheetId="33" r:id="rId20"/>
    <sheet name="FBI" sheetId="34" r:id="rId21"/>
    <sheet name="Video Jet" sheetId="35" r:id="rId22"/>
  </sheets>
  <definedNames>
    <definedName name="_xlnm.Print_Area" localSheetId="0">'AF Compressor'!$B$3:$F$21</definedName>
    <definedName name="_xlnm.Print_Area" localSheetId="1">Blomax!$B$3:$F$32</definedName>
    <definedName name="_xlnm.Print_Area" localSheetId="10">'CC C1'!$B$3:$G$63</definedName>
    <definedName name="_xlnm.Print_Area" localSheetId="11">'CC C2'!$B$3:$G$63</definedName>
    <definedName name="_xlnm.Print_Area" localSheetId="12">'CC C3'!$B$3:$G$32</definedName>
    <definedName name="_xlnm.Print_Area" localSheetId="13">'CC C4'!$B$3:$G$37</definedName>
    <definedName name="_xlnm.Print_Area" localSheetId="14">'CC C5'!$B$3:$G$37</definedName>
    <definedName name="_xlnm.Print_Area" localSheetId="15">'CC C6'!$B$3:$G$37</definedName>
    <definedName name="_xlnm.Print_Area" localSheetId="16">'CC C7'!$B$3:$G$37</definedName>
    <definedName name="_xlnm.Print_Area" localSheetId="17">'CC C8'!$B$3:$G$37</definedName>
    <definedName name="_xlnm.Print_Area" localSheetId="8">Convoyeurs!$B$1:$F$29</definedName>
    <definedName name="_xlnm.Print_Area" localSheetId="9">'Cvyr Btles'!$B$3:$G$63</definedName>
    <definedName name="_xlnm.Print_Area" localSheetId="2">FILLER!$B$3:$F$28</definedName>
    <definedName name="_xlnm.Print_Area" localSheetId="7">'Handle applicator'!$B$1:$F$25</definedName>
    <definedName name="_xlnm.Print_Area" localSheetId="6">Kisters!$B$3:$F$27</definedName>
    <definedName name="_xlnm.Print_Area" localSheetId="5">Labeller!$B$3:$F$25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9" l="1"/>
  <c r="B15" i="9"/>
  <c r="F4" i="35" l="1"/>
  <c r="B8" i="34"/>
  <c r="B9" i="34" s="1"/>
  <c r="B10" i="34" s="1"/>
  <c r="B11" i="34" s="1"/>
  <c r="B12" i="34" s="1"/>
  <c r="B13" i="34" s="1"/>
  <c r="B14" i="34" s="1"/>
  <c r="B15" i="34" s="1"/>
  <c r="F4" i="34"/>
  <c r="B8" i="33" l="1"/>
  <c r="B9" i="33" s="1"/>
  <c r="F4" i="33"/>
  <c r="F4" i="32" l="1"/>
  <c r="B8" i="30" l="1"/>
  <c r="B9" i="30" s="1"/>
  <c r="B10" i="30" s="1"/>
  <c r="B11" i="30" s="1"/>
  <c r="B12" i="30" s="1"/>
  <c r="F4" i="30"/>
  <c r="B9" i="31" l="1"/>
  <c r="B10" i="31" s="1"/>
  <c r="B11" i="31" s="1"/>
  <c r="B12" i="31" s="1"/>
  <c r="B13" i="31" s="1"/>
  <c r="B14" i="31" s="1"/>
  <c r="B15" i="31" s="1"/>
  <c r="B16" i="31" s="1"/>
  <c r="F4" i="31"/>
  <c r="F4" i="1" l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9" i="9"/>
  <c r="G4" i="13" l="1"/>
  <c r="D4" i="13"/>
  <c r="G4" i="12"/>
  <c r="D4" i="12"/>
  <c r="F4" i="11"/>
  <c r="F4" i="10"/>
  <c r="F4" i="9"/>
  <c r="F4" i="8"/>
</calcChain>
</file>

<file path=xl/sharedStrings.xml><?xml version="1.0" encoding="utf-8"?>
<sst xmlns="http://schemas.openxmlformats.org/spreadsheetml/2006/main" count="589" uniqueCount="116">
  <si>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</si>
  <si>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</si>
  <si>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</si>
  <si>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</si>
  <si>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</si>
  <si>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</si>
  <si>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</si>
  <si>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</si>
  <si>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</si>
  <si>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</si>
  <si>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</si>
  <si>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</si>
  <si>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</si>
  <si>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</si>
  <si>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</si>
  <si>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</si>
  <si>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</si>
  <si>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</si>
  <si>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</si>
  <si>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</si>
  <si>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</si>
  <si>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</si>
  <si>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</si>
  <si>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</si>
  <si>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</si>
  <si>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</si>
  <si>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</si>
  <si>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</si>
  <si>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</si>
  <si>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</si>
  <si>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</si>
  <si>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</si>
  <si>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</si>
  <si>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</si>
  <si>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</si>
  <si>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</si>
  <si>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</si>
  <si>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</si>
  <si>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PARAMIX</t>
  </si>
  <si>
    <t>CIP</t>
  </si>
  <si>
    <t>KISTERS</t>
  </si>
  <si>
    <t>CONVOYEURS</t>
  </si>
  <si>
    <t>HANDLE APPLICATOR</t>
  </si>
  <si>
    <t>Cooling towers</t>
  </si>
  <si>
    <t>HEBDMADAIRE</t>
  </si>
  <si>
    <t>CHECKLIST  ELECTRIQUE</t>
  </si>
  <si>
    <t>Contrôle du système de refroidissement d'eau</t>
  </si>
  <si>
    <t>Soufler l'armoire électrique</t>
  </si>
  <si>
    <t>Vérifier le fonctionnement de l'interrupteur d'arrêt d'urgence.</t>
  </si>
  <si>
    <t>Soufler l'armoire électrique pour Dépoussiérer</t>
  </si>
  <si>
    <t>controler le retour des signaux des capteurs</t>
  </si>
  <si>
    <t>Néttoyer les coffrets electriques et ranger l'intérieur</t>
  </si>
  <si>
    <t>Contrôler visuellement l'etat des moteurs</t>
  </si>
  <si>
    <t>controler l'etat des chemins de câble</t>
  </si>
  <si>
    <t>controler l'etat des câbles</t>
  </si>
  <si>
    <t>controler l'état de de fontionnement et la manœuvre des commutateurs et boutons poursoirs sur les pupitres de commande</t>
  </si>
  <si>
    <t>BLOMAX</t>
  </si>
  <si>
    <t>Activer l'un des interrupteurs d'arrêt d'urgence.</t>
  </si>
  <si>
    <t>ouvrir et fermer une porte dans chaque zone de la machine.</t>
  </si>
  <si>
    <t>Soufler l'armoire électrique du cap feeder</t>
  </si>
  <si>
    <t>FILLER</t>
  </si>
  <si>
    <t>CHECKLIST ELECTRIQUE</t>
  </si>
  <si>
    <t>Nettoyer les éléments filtrants dans la ventilation de l'armoire électrique</t>
  </si>
  <si>
    <t>Vérifier le bon fonctionnement du climatiseur</t>
  </si>
  <si>
    <t>Réaliser le test des lampes</t>
  </si>
  <si>
    <t>Vérifier que le climatiseurs fonctionne bien</t>
  </si>
  <si>
    <t>LABELLER</t>
  </si>
  <si>
    <t xml:space="preserve">Contrôler le fonctionnement des dispositifs d’arrêt d’urgence et des lampes </t>
  </si>
  <si>
    <t>Controler l'alignement des capteurs et reflecteurs</t>
  </si>
  <si>
    <t>Vérifier l'étanchéité de tous les boîtiers</t>
  </si>
  <si>
    <t>Vérifier les flexibles et les raccords du système pneumatique</t>
  </si>
  <si>
    <t>Nettoyer les capteurs et reflecteurs</t>
  </si>
  <si>
    <t xml:space="preserve">controler l'état des buses d'eau du brumisateur </t>
  </si>
  <si>
    <t>controler l'etat des trigger</t>
  </si>
  <si>
    <t>controler la pression d'air sur le manometre des ejecteurs</t>
  </si>
  <si>
    <t xml:space="preserve">verifier le guidage des bouteille à l'entrée et à la sortie </t>
  </si>
  <si>
    <t>controler l'etat des vitres antireflex des paroies</t>
  </si>
  <si>
    <t>nettoyer la surface exterieure de la machine</t>
  </si>
  <si>
    <t>vérifier l'etat du vérins d'éjection</t>
  </si>
  <si>
    <t>Nettoyer la machine</t>
  </si>
  <si>
    <t>Controler tous les capteurs</t>
  </si>
  <si>
    <t>AF Compressor</t>
  </si>
  <si>
    <t xml:space="preserve">Date: </t>
  </si>
  <si>
    <t>Nettoyer les moteurs</t>
  </si>
  <si>
    <t>Nettoyer les cellules photos</t>
  </si>
  <si>
    <t>Vérifier le bon fonctionnement du climatiseur de l'armoire électrique</t>
  </si>
  <si>
    <t xml:space="preserve">Vérifier l'état des filtres et nettoyer </t>
  </si>
  <si>
    <t>Controler le fonctionnement (système) du sécheur d'air</t>
  </si>
  <si>
    <t>Vérifier le serrage du IHM</t>
  </si>
  <si>
    <t>controler le retour des signaux de tous les capteurs</t>
  </si>
  <si>
    <t>Vérifier l'état correct des capteurs et reflecteurs de l'ensemble de la machine</t>
  </si>
  <si>
    <t>controler la fixation des capteurs et leur retour de signaux</t>
  </si>
  <si>
    <t>controler l'etat et la des câbles et le serrage des cables réseau</t>
  </si>
  <si>
    <t>Controler les fixation la connection des capteurs</t>
  </si>
  <si>
    <t>Controler les enroulements des moteurs</t>
  </si>
  <si>
    <t>Verifier le bon fonctionnement du couteau</t>
  </si>
  <si>
    <t>Controler les enroulements de la pompe à huile</t>
  </si>
  <si>
    <t>FBI</t>
  </si>
  <si>
    <t>Controler la continuité des sectionneurs</t>
  </si>
  <si>
    <t>Souffler l'armoire électrique</t>
  </si>
  <si>
    <t>Nettoyer et contrôler la barrière photoélectrique et le réflecteur du Module de chauffe -Four-linéaire</t>
  </si>
  <si>
    <t>Nettoyer et Contrôler la fixation du pyromètre du Module de chauffe des preformes</t>
  </si>
  <si>
    <t xml:space="preserve">Nettoyer et contrôler la barrière photoélectrique et le réflecteur du Module de chauffe </t>
  </si>
  <si>
    <t xml:space="preserve">Nettoyer et contrôler la barrière photoélectrique et le réflecteur du Bâti de base </t>
  </si>
  <si>
    <t>Nettoyer et contrôler la barrière photoélectrique et le réflecteur de Chaîne de mandrin</t>
  </si>
  <si>
    <t>Nettoyer et contrôler la barrière photoélectrique et le réflecteur de Détection des préformes</t>
  </si>
  <si>
    <t>Nettoyer les trois Pyrométre du four</t>
  </si>
  <si>
    <t>Verifier l'état des joints de l'électrovanne de purge du troisième étage</t>
  </si>
  <si>
    <t>Controler le l'état des batteries de l'automate et signaler toutes anomalies observées</t>
  </si>
  <si>
    <t>Ouvrir les push-pull key (clé de porte) et souffler</t>
  </si>
  <si>
    <t>Contrôler les fuites sur le tuyau d'aspiration</t>
  </si>
  <si>
    <t>% arret
avant mtce</t>
  </si>
  <si>
    <t>% arret
aprés mtce</t>
  </si>
  <si>
    <t>LIGNE 6</t>
  </si>
  <si>
    <t xml:space="preserve"> </t>
  </si>
  <si>
    <t>DATEUSE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</si>
</sst>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_(* #,##0.00_);_(* \(#,##0.0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b/>
      <i/>
      <sz val="18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rial Unicode MS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rgb="FF000000"/>
      <name val="ArialUnicodeMS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Rockwell"/>
      <family val="2"/>
    </font>
    <font>
      <sz val="11"/>
      <color rgb="FF000000"/>
      <name val="ArialUnicodeMS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5">
    <xf numFmtId="0" fontId="0" fillId="0" borderId="0"/>
    <xf numFmtId="0" fontId="16" fillId="0" borderId="0"/>
    <xf numFmtId="0" fontId="21" fillId="0" borderId="0"/>
    <xf numFmtId="0" fontId="24" fillId="0" borderId="0" applyNumberFormat="0" applyFill="0" applyBorder="0" applyAlignment="0" applyProtection="0"/>
    <xf numFmtId="0" fontId="1" fillId="0" borderId="0"/>
    <xf numFmtId="0" fontId="21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64" fontId="22" fillId="0" borderId="41" xfId="2" applyNumberFormat="1" applyFont="1" applyBorder="1" applyAlignment="1" applyProtection="1">
      <alignment vertical="center" wrapText="1"/>
      <protection locked="0"/>
    </xf>
    <xf numFmtId="164" fontId="22" fillId="0" borderId="38" xfId="2" applyNumberFormat="1" applyFont="1" applyBorder="1" applyAlignment="1" applyProtection="1">
      <alignment vertical="center" wrapText="1"/>
      <protection locked="0"/>
    </xf>
    <xf numFmtId="0" fontId="23" fillId="0" borderId="20" xfId="0" applyFont="1" applyBorder="1" applyAlignment="1">
      <alignment vertical="center" wrapText="1"/>
    </xf>
    <xf numFmtId="164" fontId="22" fillId="0" borderId="20" xfId="2" applyNumberFormat="1" applyFont="1" applyBorder="1" applyAlignment="1" applyProtection="1">
      <alignment horizontal="center" vertical="center" wrapText="1"/>
      <protection locked="0"/>
    </xf>
    <xf numFmtId="0" fontId="9" fillId="2" borderId="20" xfId="0" applyFont="1" applyFill="1" applyBorder="1" applyAlignment="1" applyProtection="1">
      <alignment vertical="center"/>
      <protection locked="0"/>
    </xf>
    <xf numFmtId="0" fontId="10" fillId="2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Protection="1"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Protection="1"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20" fillId="2" borderId="2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 wrapText="1"/>
    </xf>
    <xf numFmtId="0" fontId="19" fillId="0" borderId="20" xfId="0" applyFont="1" applyBorder="1" applyAlignment="1">
      <alignment vertical="center" wrapText="1"/>
    </xf>
    <xf numFmtId="0" fontId="19" fillId="2" borderId="20" xfId="0" applyFont="1" applyFill="1" applyBorder="1" applyAlignment="1">
      <alignment vertical="center" wrapText="1"/>
    </xf>
    <xf numFmtId="164" fontId="22" fillId="0" borderId="36" xfId="2" applyNumberFormat="1" applyFont="1" applyBorder="1" applyAlignment="1" applyProtection="1">
      <alignment horizontal="left" vertical="center" wrapText="1"/>
      <protection locked="0"/>
    </xf>
    <xf numFmtId="164" fontId="22" fillId="0" borderId="20" xfId="2" applyNumberFormat="1" applyFont="1" applyBorder="1" applyAlignment="1" applyProtection="1">
      <alignment horizontal="left" vertical="center" wrapText="1"/>
      <protection locked="0"/>
    </xf>
    <xf numFmtId="0" fontId="6" fillId="2" borderId="42" xfId="0" applyFont="1" applyFill="1" applyBorder="1" applyProtection="1">
      <protection locked="0"/>
    </xf>
    <xf numFmtId="0" fontId="6" fillId="2" borderId="43" xfId="0" applyFont="1" applyFill="1" applyBorder="1" applyAlignment="1" applyProtection="1">
      <alignment vertical="center"/>
      <protection locked="0"/>
    </xf>
    <xf numFmtId="0" fontId="7" fillId="2" borderId="44" xfId="0" applyFont="1" applyFill="1" applyBorder="1" applyAlignment="1" applyProtection="1">
      <alignment horizontal="left" vertical="center"/>
      <protection locked="0"/>
    </xf>
    <xf numFmtId="0" fontId="19" fillId="2" borderId="45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9" fillId="2" borderId="20" xfId="14" applyFont="1" applyFill="1" applyBorder="1" applyAlignment="1">
      <alignment horizontal="left" vertical="center" wrapText="1"/>
    </xf>
    <xf numFmtId="0" fontId="27" fillId="0" borderId="20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28" fillId="2" borderId="20" xfId="0" applyFont="1" applyFill="1" applyBorder="1" applyAlignment="1">
      <alignment horizontal="left" vertical="center" wrapText="1"/>
    </xf>
    <xf numFmtId="0" fontId="29" fillId="0" borderId="46" xfId="0" applyFont="1" applyBorder="1" applyAlignment="1">
      <alignment vertical="center" wrapText="1"/>
    </xf>
    <xf numFmtId="0" fontId="30" fillId="7" borderId="20" xfId="0" applyFont="1" applyFill="1" applyBorder="1" applyAlignment="1" applyProtection="1">
      <alignment horizontal="center" wrapText="1"/>
      <protection locked="0"/>
    </xf>
    <xf numFmtId="0" fontId="4" fillId="2" borderId="54" xfId="0" applyFont="1" applyFill="1" applyBorder="1" applyAlignment="1" applyProtection="1">
      <alignment horizontal="center" vertical="center"/>
      <protection hidden="1"/>
    </xf>
    <xf numFmtId="0" fontId="12" fillId="3" borderId="56" xfId="0" applyFont="1" applyFill="1" applyBorder="1" applyAlignment="1" applyProtection="1">
      <alignment horizontal="center" vertical="center"/>
      <protection locked="0"/>
    </xf>
    <xf numFmtId="0" fontId="4" fillId="2" borderId="54" xfId="0" applyFont="1" applyFill="1" applyBorder="1" applyAlignment="1" applyProtection="1">
      <alignment horizontal="center" vertical="center"/>
      <protection locked="0"/>
    </xf>
    <xf numFmtId="0" fontId="30" fillId="2" borderId="20" xfId="0" applyFont="1" applyFill="1" applyBorder="1" applyAlignment="1" applyProtection="1">
      <alignment horizontal="center" wrapText="1"/>
      <protection locked="0"/>
    </xf>
    <xf numFmtId="0" fontId="29" fillId="0" borderId="20" xfId="0" applyFont="1" applyBorder="1" applyAlignment="1">
      <alignment vertical="center" wrapText="1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55" xfId="0" applyFont="1" applyFill="1" applyBorder="1" applyAlignment="1" applyProtection="1">
      <alignment horizontal="center" vertical="center" wrapText="1"/>
      <protection locked="0"/>
    </xf>
    <xf numFmtId="0" fontId="12" fillId="3" borderId="50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left" vertical="top"/>
      <protection locked="0"/>
    </xf>
    <xf numFmtId="0" fontId="1" fillId="2" borderId="47" xfId="0" applyFont="1" applyFill="1" applyBorder="1" applyAlignment="1" applyProtection="1">
      <alignment horizontal="left" vertical="top"/>
      <protection locked="0"/>
    </xf>
    <xf numFmtId="0" fontId="1" fillId="2" borderId="48" xfId="0" applyFont="1" applyFill="1" applyBorder="1" applyAlignment="1" applyProtection="1">
      <alignment horizontal="left" vertical="top"/>
      <protection locked="0"/>
    </xf>
    <xf numFmtId="0" fontId="1" fillId="2" borderId="42" xfId="0" applyFont="1" applyFill="1" applyBorder="1" applyAlignment="1" applyProtection="1">
      <alignment horizontal="left" vertical="top"/>
      <protection locked="0"/>
    </xf>
    <xf numFmtId="0" fontId="1" fillId="2" borderId="49" xfId="0" applyFont="1" applyFill="1" applyBorder="1" applyAlignment="1" applyProtection="1">
      <alignment horizontal="left" vertical="top"/>
      <protection locked="0"/>
    </xf>
    <xf numFmtId="0" fontId="1" fillId="2" borderId="50" xfId="0" applyFont="1" applyFill="1" applyBorder="1" applyAlignment="1" applyProtection="1">
      <alignment horizontal="left" vertical="top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2" fillId="3" borderId="20" xfId="0" applyFont="1" applyFill="1" applyBorder="1" applyAlignment="1" applyProtection="1">
      <alignment horizontal="center" vertical="center" wrapText="1"/>
      <protection locked="0"/>
    </xf>
    <xf numFmtId="0" fontId="0" fillId="2" borderId="51" xfId="0" applyFill="1" applyBorder="1" applyAlignment="1" applyProtection="1">
      <alignment horizontal="left" vertical="top"/>
      <protection locked="0"/>
    </xf>
    <xf numFmtId="0" fontId="1" fillId="2" borderId="38" xfId="0" applyFont="1" applyFill="1" applyBorder="1" applyAlignment="1" applyProtection="1">
      <alignment horizontal="left" vertical="top"/>
      <protection locked="0"/>
    </xf>
    <xf numFmtId="0" fontId="1" fillId="2" borderId="52" xfId="0" applyFont="1" applyFill="1" applyBorder="1" applyAlignment="1" applyProtection="1">
      <alignment horizontal="left" vertical="top"/>
      <protection locked="0"/>
    </xf>
    <xf numFmtId="0" fontId="1" fillId="2" borderId="53" xfId="0" applyFont="1" applyFill="1" applyBorder="1" applyAlignment="1" applyProtection="1">
      <alignment horizontal="left" vertical="top"/>
      <protection locked="0"/>
    </xf>
    <xf numFmtId="0" fontId="1" fillId="2" borderId="32" xfId="0" applyFont="1" applyFill="1" applyBorder="1" applyAlignment="1" applyProtection="1">
      <alignment horizontal="left" vertical="top"/>
      <protection locked="0"/>
    </xf>
  </cellXfs>
  <cellStyles count="25">
    <cellStyle name="Comma 2" xfId="16" xr:uid="{00000000-0005-0000-0000-000000000000}"/>
    <cellStyle name="Hyperlink 3" xfId="6" xr:uid="{00000000-0005-0000-0000-000001000000}"/>
    <cellStyle name="Hyperlink 5" xfId="3" xr:uid="{00000000-0005-0000-0000-000002000000}"/>
    <cellStyle name="Milliers 3" xfId="17" xr:uid="{00000000-0005-0000-0000-000003000000}"/>
    <cellStyle name="Milliers 3 2" xfId="18" xr:uid="{00000000-0005-0000-0000-000004000000}"/>
    <cellStyle name="Normal" xfId="0" builtinId="0"/>
    <cellStyle name="Normal 2" xfId="5" xr:uid="{00000000-0005-0000-0000-000006000000}"/>
    <cellStyle name="Normal 2 2" xfId="2" xr:uid="{00000000-0005-0000-0000-000007000000}"/>
    <cellStyle name="Normal 21" xfId="7" xr:uid="{00000000-0005-0000-0000-000008000000}"/>
    <cellStyle name="Normal 22 12" xfId="8" xr:uid="{00000000-0005-0000-0000-000009000000}"/>
    <cellStyle name="Normal 23" xfId="9" xr:uid="{00000000-0005-0000-0000-00000A000000}"/>
    <cellStyle name="Normal 24 12" xfId="10" xr:uid="{00000000-0005-0000-0000-00000B000000}"/>
    <cellStyle name="Normal 29" xfId="11" xr:uid="{00000000-0005-0000-0000-00000C000000}"/>
    <cellStyle name="Normal 3" xfId="1" xr:uid="{00000000-0005-0000-0000-00000D000000}"/>
    <cellStyle name="Normal 3 2" xfId="14" xr:uid="{00000000-0005-0000-0000-00000E000000}"/>
    <cellStyle name="Normal 31" xfId="4" xr:uid="{00000000-0005-0000-0000-00000F000000}"/>
    <cellStyle name="Normal 32" xfId="12" xr:uid="{00000000-0005-0000-0000-000010000000}"/>
    <cellStyle name="Normal 33" xfId="13" xr:uid="{00000000-0005-0000-0000-000011000000}"/>
    <cellStyle name="Normal 4" xfId="19" xr:uid="{00000000-0005-0000-0000-000012000000}"/>
    <cellStyle name="Normal 5" xfId="20" xr:uid="{00000000-0005-0000-0000-000013000000}"/>
    <cellStyle name="Normal 6" xfId="21" xr:uid="{00000000-0005-0000-0000-000014000000}"/>
    <cellStyle name="Normal 7" xfId="22" xr:uid="{00000000-0005-0000-0000-000015000000}"/>
    <cellStyle name="Pourcentage 2" xfId="15" xr:uid="{00000000-0005-0000-0000-000016000000}"/>
    <cellStyle name="Pourcentage 3" xfId="23" xr:uid="{00000000-0005-0000-0000-000017000000}"/>
    <cellStyle name="Pourcentage 4" xfId="24" xr:uid="{00000000-0005-0000-0000-000018000000}"/>
  </cellStyles>
  <dxfs count="1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4129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0</xdr:colOff>
      <xdr:row>3</xdr:row>
      <xdr:rowOff>22225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1390"/>
          <a:ext cx="402167" cy="350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19806</xdr:rowOff>
    </xdr:from>
    <xdr:to>
      <xdr:col>2</xdr:col>
      <xdr:colOff>11906</xdr:colOff>
      <xdr:row>3</xdr:row>
      <xdr:rowOff>26193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2712"/>
          <a:ext cx="416719" cy="3492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180975</xdr:colOff>
      <xdr:row>2</xdr:row>
      <xdr:rowOff>552450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7932"/>
          <a:ext cx="609600" cy="53264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3</xdr:row>
      <xdr:rowOff>14288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807"/>
          <a:ext cx="542924" cy="33738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505238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807"/>
          <a:ext cx="547687" cy="480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fitToPage="1"/>
  </sheetPr>
  <dimension ref="B1:F21"/>
  <sheetViews>
    <sheetView view="pageBreakPreview" zoomScale="55" zoomScaleNormal="55" zoomScaleSheetLayoutView="55" zoomScalePageLayoutView="70" workbookViewId="0">
      <selection activeCell="C14" sqref="C14"/>
    </sheetView>
  </sheetViews>
  <sheetFormatPr defaultColWidth="11.42578125" defaultRowHeight="15"/>
  <cols>
    <col min="1" max="1" width="0.28515625" style="1" customWidth="1"/>
    <col min="2" max="2" width="7.855468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5.4257812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6" ht="1.5" customHeight="1"/>
    <row r="2" spans="2:6" ht="1.5" customHeight="1" thickBot="1"/>
    <row r="3" spans="2:6" ht="62.25" customHeight="1" thickBot="1">
      <c r="B3" s="91" t="s">
        <v>45</v>
      </c>
      <c r="C3" s="92"/>
      <c r="D3" s="92"/>
      <c r="E3" s="93"/>
      <c r="F3" s="69" t="s">
        <v>82</v>
      </c>
    </row>
    <row r="4" spans="2:6" ht="24" thickBot="1">
      <c r="B4" s="14"/>
      <c r="C4" s="15" t="s">
        <v>81</v>
      </c>
      <c r="D4" s="94" t="s">
        <v>113</v>
      </c>
      <c r="E4" s="95"/>
      <c r="F4" s="32" t="str">
        <f>+'Line &amp; frequency'!C2</f>
        <v>HEBDOMADAIRE</v>
      </c>
    </row>
    <row r="5" spans="2:6" ht="8.25" customHeight="1" thickBot="1">
      <c r="B5" s="2"/>
      <c r="C5" s="2"/>
      <c r="D5" s="3"/>
      <c r="E5" s="3"/>
      <c r="F5" s="3"/>
    </row>
    <row r="6" spans="2:6" ht="20.25" customHeight="1" thickBot="1">
      <c r="D6" s="96" t="s">
        <v>0</v>
      </c>
      <c r="E6" s="97"/>
    </row>
    <row r="7" spans="2:6" s="4" customFormat="1" ht="24" customHeight="1" thickBot="1">
      <c r="B7" s="25" t="s">
        <v>1</v>
      </c>
      <c r="C7" s="26" t="s">
        <v>2</v>
      </c>
      <c r="D7" s="29" t="s">
        <v>4</v>
      </c>
      <c r="E7" s="30" t="s">
        <v>5</v>
      </c>
      <c r="F7" s="28" t="s">
        <v>6</v>
      </c>
    </row>
    <row r="8" spans="2:6" s="4" customFormat="1" ht="18.75">
      <c r="B8" s="5">
        <v>1</v>
      </c>
      <c r="C8" s="66" t="s">
        <v>46</v>
      </c>
      <c r="D8" s="19"/>
      <c r="E8" s="20"/>
      <c r="F8" s="33"/>
    </row>
    <row r="9" spans="2:6" s="4" customFormat="1" ht="19.5" thickBot="1">
      <c r="B9" s="37">
        <v>2</v>
      </c>
      <c r="C9" s="66" t="s">
        <v>47</v>
      </c>
      <c r="D9" s="19"/>
      <c r="E9" s="20"/>
      <c r="F9" s="33"/>
    </row>
    <row r="10" spans="2:6" s="4" customFormat="1" ht="18.75">
      <c r="B10" s="5">
        <v>3</v>
      </c>
      <c r="C10" s="66" t="s">
        <v>48</v>
      </c>
      <c r="D10" s="19"/>
      <c r="E10" s="20"/>
      <c r="F10" s="33"/>
    </row>
    <row r="11" spans="2:6" s="4" customFormat="1" ht="19.5" thickBot="1">
      <c r="B11" s="37">
        <v>4</v>
      </c>
      <c r="C11" s="66" t="s">
        <v>87</v>
      </c>
      <c r="D11" s="19"/>
      <c r="E11" s="20"/>
      <c r="F11" s="33"/>
    </row>
    <row r="12" spans="2:6" s="4" customFormat="1" ht="18.75">
      <c r="B12" s="5">
        <v>5</v>
      </c>
      <c r="C12" s="66" t="s">
        <v>96</v>
      </c>
      <c r="D12" s="19"/>
      <c r="E12" s="20"/>
      <c r="F12" s="33"/>
    </row>
    <row r="13" spans="2:6" s="4" customFormat="1" ht="18.75">
      <c r="B13" s="37">
        <v>6</v>
      </c>
      <c r="C13" s="66" t="s">
        <v>107</v>
      </c>
      <c r="D13" s="59"/>
      <c r="E13" s="60"/>
      <c r="F13" s="61"/>
    </row>
    <row r="14" spans="2:6" s="4" customFormat="1" ht="18.75">
      <c r="B14" s="85"/>
      <c r="C14" s="66"/>
      <c r="D14" s="59"/>
      <c r="E14" s="60"/>
      <c r="F14" s="61"/>
    </row>
    <row r="15" spans="2:6" s="4" customFormat="1" ht="47.25">
      <c r="B15" s="58" t="s">
        <v>114</v>
      </c>
      <c r="C15" s="66"/>
      <c r="D15" s="82" t="s">
        <v>111</v>
      </c>
      <c r="E15" s="82" t="s">
        <v>112</v>
      </c>
      <c r="F15" s="61"/>
    </row>
    <row r="16" spans="2:6" s="12" customFormat="1" ht="18.75" thickBot="1">
      <c r="B16" s="98" t="s">
        <v>13</v>
      </c>
      <c r="C16" s="99"/>
      <c r="D16" s="100"/>
      <c r="E16" s="101"/>
      <c r="F16" s="84" t="s">
        <v>8</v>
      </c>
    </row>
    <row r="17" spans="2:6">
      <c r="B17" s="102"/>
      <c r="C17" s="103"/>
      <c r="D17" s="103"/>
      <c r="E17" s="103"/>
      <c r="F17" s="88"/>
    </row>
    <row r="18" spans="2:6">
      <c r="B18" s="104"/>
      <c r="C18" s="105"/>
      <c r="D18" s="105"/>
      <c r="E18" s="105"/>
      <c r="F18" s="89"/>
    </row>
    <row r="19" spans="2:6">
      <c r="B19" s="104"/>
      <c r="C19" s="105"/>
      <c r="D19" s="105"/>
      <c r="E19" s="105"/>
      <c r="F19" s="89"/>
    </row>
    <row r="20" spans="2:6">
      <c r="B20" s="104"/>
      <c r="C20" s="105"/>
      <c r="D20" s="105"/>
      <c r="E20" s="105"/>
      <c r="F20" s="89"/>
    </row>
    <row r="21" spans="2:6" ht="15.75" thickBot="1">
      <c r="B21" s="106"/>
      <c r="C21" s="107"/>
      <c r="D21" s="107"/>
      <c r="E21" s="107"/>
      <c r="F21" s="90"/>
    </row>
  </sheetData>
  <sheetProtection selectLockedCells="1"/>
  <mergeCells count="8">
    <mergeCell ref="F17:F21"/>
    <mergeCell ref="B3:E3"/>
    <mergeCell ref="D4:E4"/>
    <mergeCell ref="D6:E6"/>
    <mergeCell ref="B16:C16"/>
    <mergeCell ref="D16:E16"/>
    <mergeCell ref="B17:C21"/>
    <mergeCell ref="D17:E21"/>
  </mergeCells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4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  <pageSetUpPr fitToPage="1"/>
  </sheetPr>
  <dimension ref="B1:F32"/>
  <sheetViews>
    <sheetView view="pageBreakPreview" topLeftCell="A10" zoomScale="80" zoomScaleNormal="55" zoomScaleSheetLayoutView="80" zoomScalePageLayoutView="70" workbookViewId="0">
      <selection activeCell="B25" sqref="B25"/>
    </sheetView>
  </sheetViews>
  <sheetFormatPr defaultColWidth="11.42578125" defaultRowHeight="15"/>
  <cols>
    <col min="1" max="1" width="0.28515625" style="1" customWidth="1"/>
    <col min="2" max="2" width="7.855468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5.4257812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6" ht="1.5" customHeight="1"/>
    <row r="2" spans="2:6" ht="1.5" customHeight="1" thickBot="1"/>
    <row r="3" spans="2:6" ht="62.25" customHeight="1" thickBot="1">
      <c r="B3" s="91" t="s">
        <v>45</v>
      </c>
      <c r="C3" s="92"/>
      <c r="D3" s="92"/>
      <c r="E3" s="93"/>
      <c r="F3" s="69" t="s">
        <v>82</v>
      </c>
    </row>
    <row r="4" spans="2:6" ht="24" thickBot="1">
      <c r="B4" s="14"/>
      <c r="C4" s="15" t="s">
        <v>56</v>
      </c>
      <c r="D4" s="94" t="s">
        <v>113</v>
      </c>
      <c r="E4" s="95"/>
      <c r="F4" s="32" t="str">
        <f>+'Line &amp; frequency'!C2</f>
        <v>HEBDOMADAIRE</v>
      </c>
    </row>
    <row r="5" spans="2:6" ht="8.25" customHeight="1" thickBot="1">
      <c r="B5" s="2"/>
      <c r="C5" s="2"/>
      <c r="D5" s="3"/>
      <c r="E5" s="3"/>
      <c r="F5" s="3"/>
    </row>
    <row r="6" spans="2:6" ht="20.25" customHeight="1" thickBot="1">
      <c r="D6" s="96" t="s">
        <v>0</v>
      </c>
      <c r="E6" s="97"/>
    </row>
    <row r="7" spans="2:6" s="4" customFormat="1" ht="24" customHeight="1" thickBot="1">
      <c r="B7" s="25" t="s">
        <v>1</v>
      </c>
      <c r="C7" s="26" t="s">
        <v>2</v>
      </c>
      <c r="D7" s="29" t="s">
        <v>4</v>
      </c>
      <c r="E7" s="30" t="s">
        <v>5</v>
      </c>
      <c r="F7" s="28" t="s">
        <v>6</v>
      </c>
    </row>
    <row r="8" spans="2:6" s="4" customFormat="1" ht="18.75">
      <c r="B8" s="37">
        <v>1</v>
      </c>
      <c r="C8" s="79" t="s">
        <v>49</v>
      </c>
      <c r="D8" s="19"/>
      <c r="E8" s="20"/>
      <c r="F8" s="33"/>
    </row>
    <row r="9" spans="2:6" s="4" customFormat="1" ht="18.75">
      <c r="B9" s="37">
        <v>2</v>
      </c>
      <c r="C9" s="79" t="s">
        <v>89</v>
      </c>
      <c r="D9" s="19"/>
      <c r="E9" s="20"/>
      <c r="F9" s="33"/>
    </row>
    <row r="10" spans="2:6" s="4" customFormat="1" ht="18.75">
      <c r="B10" s="37">
        <v>3</v>
      </c>
      <c r="C10" s="79" t="s">
        <v>51</v>
      </c>
      <c r="D10" s="19"/>
      <c r="E10" s="20"/>
      <c r="F10" s="33"/>
    </row>
    <row r="11" spans="2:6" s="4" customFormat="1" ht="18.75">
      <c r="B11" s="37">
        <v>4</v>
      </c>
      <c r="C11" s="79" t="s">
        <v>52</v>
      </c>
      <c r="D11" s="19"/>
      <c r="E11" s="20"/>
      <c r="F11" s="33"/>
    </row>
    <row r="12" spans="2:6" s="4" customFormat="1" ht="18.75">
      <c r="B12" s="37">
        <v>5</v>
      </c>
      <c r="C12" s="79" t="s">
        <v>53</v>
      </c>
      <c r="D12" s="19"/>
      <c r="E12" s="20"/>
      <c r="F12" s="33"/>
    </row>
    <row r="13" spans="2:6" s="4" customFormat="1" ht="18.75">
      <c r="B13" s="37">
        <v>6</v>
      </c>
      <c r="C13" s="79" t="s">
        <v>54</v>
      </c>
      <c r="D13" s="19"/>
      <c r="E13" s="20"/>
      <c r="F13" s="33"/>
    </row>
    <row r="14" spans="2:6" s="4" customFormat="1" ht="31.5">
      <c r="B14" s="37">
        <v>7</v>
      </c>
      <c r="C14" s="79" t="s">
        <v>55</v>
      </c>
      <c r="D14" s="19"/>
      <c r="E14" s="20"/>
      <c r="F14" s="33"/>
    </row>
    <row r="15" spans="2:6" s="4" customFormat="1" ht="18.75">
      <c r="B15" s="37">
        <v>8</v>
      </c>
      <c r="C15" s="79" t="s">
        <v>88</v>
      </c>
      <c r="D15" s="19"/>
      <c r="E15" s="20"/>
      <c r="F15" s="33"/>
    </row>
    <row r="16" spans="2:6" s="4" customFormat="1" ht="31.5">
      <c r="B16" s="37">
        <v>9</v>
      </c>
      <c r="C16" s="78" t="s">
        <v>100</v>
      </c>
      <c r="D16" s="19"/>
      <c r="E16" s="20"/>
      <c r="F16" s="33"/>
    </row>
    <row r="17" spans="2:6" s="4" customFormat="1" ht="18.75">
      <c r="B17" s="37">
        <v>10</v>
      </c>
      <c r="C17" s="78" t="s">
        <v>101</v>
      </c>
      <c r="D17" s="19"/>
      <c r="E17" s="20"/>
      <c r="F17" s="33"/>
    </row>
    <row r="18" spans="2:6" s="4" customFormat="1" ht="18.75">
      <c r="B18" s="37">
        <v>11</v>
      </c>
      <c r="C18" s="78" t="s">
        <v>102</v>
      </c>
      <c r="D18" s="19"/>
      <c r="E18" s="20"/>
      <c r="F18" s="33"/>
    </row>
    <row r="19" spans="2:6" s="4" customFormat="1" ht="18.75">
      <c r="B19" s="37">
        <v>12</v>
      </c>
      <c r="C19" s="78" t="s">
        <v>103</v>
      </c>
      <c r="D19" s="19"/>
      <c r="E19" s="20"/>
      <c r="F19" s="33"/>
    </row>
    <row r="20" spans="2:6" s="4" customFormat="1" ht="18.75">
      <c r="B20" s="37">
        <v>13</v>
      </c>
      <c r="C20" s="78" t="s">
        <v>104</v>
      </c>
      <c r="D20" s="19"/>
      <c r="E20" s="20"/>
      <c r="F20" s="33"/>
    </row>
    <row r="21" spans="2:6" s="4" customFormat="1" ht="34.5" customHeight="1">
      <c r="B21" s="37">
        <v>14</v>
      </c>
      <c r="C21" s="78" t="s">
        <v>105</v>
      </c>
      <c r="D21" s="19"/>
      <c r="E21" s="20"/>
      <c r="F21" s="33"/>
    </row>
    <row r="22" spans="2:6" s="4" customFormat="1" ht="18.75">
      <c r="B22" s="37">
        <v>15</v>
      </c>
      <c r="C22" s="78" t="s">
        <v>106</v>
      </c>
      <c r="D22" s="19"/>
      <c r="E22" s="20"/>
      <c r="F22" s="33"/>
    </row>
    <row r="23" spans="2:6" s="4" customFormat="1" ht="18.75">
      <c r="B23" s="37">
        <v>16</v>
      </c>
      <c r="C23" s="66" t="s">
        <v>108</v>
      </c>
      <c r="D23" s="59"/>
      <c r="E23" s="60"/>
      <c r="F23" s="61"/>
    </row>
    <row r="24" spans="2:6" s="4" customFormat="1" ht="18.75">
      <c r="B24" s="85"/>
      <c r="C24" s="66"/>
      <c r="D24" s="59"/>
      <c r="E24" s="60"/>
      <c r="F24" s="61"/>
    </row>
    <row r="25" spans="2:6" s="4" customFormat="1" ht="47.25">
      <c r="B25" s="58"/>
      <c r="C25" s="66"/>
      <c r="D25" s="82" t="s">
        <v>111</v>
      </c>
      <c r="E25" s="82" t="s">
        <v>112</v>
      </c>
      <c r="F25" s="61"/>
    </row>
    <row r="26" spans="2:6" s="4" customFormat="1" ht="18.75">
      <c r="B26" s="58"/>
      <c r="C26" s="66"/>
      <c r="D26" s="86"/>
      <c r="E26" s="86"/>
      <c r="F26" s="61"/>
    </row>
    <row r="27" spans="2:6" s="12" customFormat="1" ht="18.75" thickBot="1">
      <c r="B27" s="98" t="s">
        <v>13</v>
      </c>
      <c r="C27" s="99"/>
      <c r="D27" s="100"/>
      <c r="E27" s="101"/>
      <c r="F27" s="84" t="s">
        <v>8</v>
      </c>
    </row>
    <row r="28" spans="2:6">
      <c r="B28" s="108"/>
      <c r="C28" s="109"/>
      <c r="D28" s="103"/>
      <c r="E28" s="103"/>
      <c r="F28" s="88"/>
    </row>
    <row r="29" spans="2:6">
      <c r="B29" s="110"/>
      <c r="C29" s="111"/>
      <c r="D29" s="105"/>
      <c r="E29" s="105"/>
      <c r="F29" s="89"/>
    </row>
    <row r="30" spans="2:6">
      <c r="B30" s="110"/>
      <c r="C30" s="111"/>
      <c r="D30" s="105"/>
      <c r="E30" s="105"/>
      <c r="F30" s="89"/>
    </row>
    <row r="31" spans="2:6">
      <c r="B31" s="110"/>
      <c r="C31" s="111"/>
      <c r="D31" s="105"/>
      <c r="E31" s="105"/>
      <c r="F31" s="89"/>
    </row>
    <row r="32" spans="2:6" ht="15.75" thickBot="1">
      <c r="B32" s="112"/>
      <c r="C32" s="113"/>
      <c r="D32" s="107"/>
      <c r="E32" s="107"/>
      <c r="F32" s="90"/>
    </row>
  </sheetData>
  <sheetProtection selectLockedCells="1"/>
  <mergeCells count="8">
    <mergeCell ref="B28:C32"/>
    <mergeCell ref="D28:E32"/>
    <mergeCell ref="F28:F32"/>
    <mergeCell ref="D6:E6"/>
    <mergeCell ref="B3:E3"/>
    <mergeCell ref="D4:E4"/>
    <mergeCell ref="B27:C27"/>
    <mergeCell ref="D27:E27"/>
  </mergeCells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4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fitToPage="1"/>
  </sheetPr>
  <dimension ref="B1:F28"/>
  <sheetViews>
    <sheetView view="pageBreakPreview" topLeftCell="A4" zoomScale="80" zoomScaleNormal="55" zoomScaleSheetLayoutView="80" zoomScalePageLayoutView="70" workbookViewId="0">
      <selection activeCell="C21" sqref="C21:E22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6" ht="1.5" customHeight="1"/>
    <row r="2" spans="2:6" ht="1.5" customHeight="1" thickBot="1"/>
    <row r="3" spans="2:6" ht="62.25" customHeight="1" thickBot="1">
      <c r="B3" s="91" t="s">
        <v>61</v>
      </c>
      <c r="C3" s="92"/>
      <c r="D3" s="92"/>
      <c r="E3" s="93"/>
      <c r="F3" s="69" t="s">
        <v>82</v>
      </c>
    </row>
    <row r="4" spans="2:6" ht="24" thickBot="1">
      <c r="B4" s="14"/>
      <c r="C4" s="15" t="s">
        <v>60</v>
      </c>
      <c r="D4" s="94" t="s">
        <v>113</v>
      </c>
      <c r="E4" s="95"/>
      <c r="F4" s="32" t="str">
        <f>+'Line &amp; frequency'!C2</f>
        <v>HEBDOMADAIRE</v>
      </c>
    </row>
    <row r="5" spans="2:6" ht="8.25" customHeight="1" thickBot="1">
      <c r="B5" s="2"/>
      <c r="C5" s="2"/>
      <c r="D5" s="3"/>
      <c r="E5" s="3"/>
      <c r="F5" s="3"/>
    </row>
    <row r="6" spans="2:6" ht="20.25" customHeight="1" thickBot="1">
      <c r="D6" s="96" t="s">
        <v>0</v>
      </c>
      <c r="E6" s="97"/>
    </row>
    <row r="7" spans="2:6" s="4" customFormat="1" ht="24" customHeight="1" thickBot="1">
      <c r="B7" s="25" t="s">
        <v>1</v>
      </c>
      <c r="C7" s="26" t="s">
        <v>2</v>
      </c>
      <c r="D7" s="29" t="s">
        <v>4</v>
      </c>
      <c r="E7" s="30" t="s">
        <v>5</v>
      </c>
      <c r="F7" s="28" t="s">
        <v>6</v>
      </c>
    </row>
    <row r="8" spans="2:6" s="4" customFormat="1" ht="18.75">
      <c r="B8" s="5">
        <v>1</v>
      </c>
      <c r="C8" s="80" t="s">
        <v>90</v>
      </c>
      <c r="D8" s="19"/>
      <c r="E8" s="20"/>
      <c r="F8" s="33"/>
    </row>
    <row r="9" spans="2:6" s="4" customFormat="1" ht="18.75">
      <c r="B9" s="6">
        <f>B8+1</f>
        <v>2</v>
      </c>
      <c r="C9" s="80" t="s">
        <v>57</v>
      </c>
      <c r="D9" s="19"/>
      <c r="E9" s="20"/>
      <c r="F9" s="33"/>
    </row>
    <row r="10" spans="2:6" s="4" customFormat="1" ht="18.75">
      <c r="B10" s="37">
        <f>+B9+1</f>
        <v>3</v>
      </c>
      <c r="C10" s="80" t="s">
        <v>58</v>
      </c>
      <c r="D10" s="19"/>
      <c r="E10" s="20"/>
      <c r="F10" s="33"/>
    </row>
    <row r="11" spans="2:6" s="4" customFormat="1" ht="18.75">
      <c r="B11" s="37">
        <f t="shared" ref="B11:B16" si="0">+B10+1</f>
        <v>4</v>
      </c>
      <c r="C11" s="80" t="s">
        <v>59</v>
      </c>
      <c r="D11" s="19"/>
      <c r="E11" s="20"/>
      <c r="F11" s="33"/>
    </row>
    <row r="12" spans="2:6" s="4" customFormat="1" ht="18.75">
      <c r="B12" s="37">
        <f t="shared" si="0"/>
        <v>5</v>
      </c>
      <c r="C12" s="80" t="s">
        <v>47</v>
      </c>
      <c r="D12" s="19"/>
      <c r="E12" s="20"/>
      <c r="F12" s="33"/>
    </row>
    <row r="13" spans="2:6" s="4" customFormat="1" ht="18.75">
      <c r="B13" s="37">
        <f t="shared" si="0"/>
        <v>6</v>
      </c>
      <c r="C13" s="80" t="s">
        <v>51</v>
      </c>
      <c r="D13" s="19"/>
      <c r="E13" s="20"/>
      <c r="F13" s="33"/>
    </row>
    <row r="14" spans="2:6" s="4" customFormat="1" ht="18.75">
      <c r="B14" s="37">
        <f t="shared" si="0"/>
        <v>7</v>
      </c>
      <c r="C14" s="80" t="s">
        <v>53</v>
      </c>
      <c r="D14" s="19"/>
      <c r="E14" s="20"/>
      <c r="F14" s="33"/>
    </row>
    <row r="15" spans="2:6" s="4" customFormat="1" ht="30">
      <c r="B15" s="37">
        <f t="shared" si="0"/>
        <v>8</v>
      </c>
      <c r="C15" s="80" t="s">
        <v>55</v>
      </c>
      <c r="D15" s="19"/>
      <c r="E15" s="20"/>
      <c r="F15" s="33"/>
    </row>
    <row r="16" spans="2:6" s="4" customFormat="1" ht="18.75">
      <c r="B16" s="37">
        <f t="shared" si="0"/>
        <v>9</v>
      </c>
      <c r="C16" s="80" t="s">
        <v>50</v>
      </c>
      <c r="D16" s="19"/>
      <c r="E16" s="20"/>
      <c r="F16" s="33"/>
    </row>
    <row r="17" spans="2:6" s="4" customFormat="1" ht="18.75">
      <c r="B17" s="37">
        <v>10</v>
      </c>
      <c r="C17" s="80" t="s">
        <v>92</v>
      </c>
      <c r="D17" s="19"/>
      <c r="E17" s="20"/>
      <c r="F17" s="33"/>
    </row>
    <row r="18" spans="2:6" s="4" customFormat="1" ht="18.75">
      <c r="B18" s="37">
        <v>11</v>
      </c>
      <c r="C18" s="80" t="s">
        <v>88</v>
      </c>
      <c r="D18" s="19"/>
      <c r="E18" s="20"/>
      <c r="F18" s="33"/>
    </row>
    <row r="19" spans="2:6" s="4" customFormat="1" ht="18.75">
      <c r="B19" s="37">
        <v>12</v>
      </c>
      <c r="C19" s="81" t="s">
        <v>109</v>
      </c>
      <c r="D19" s="19"/>
      <c r="E19" s="20"/>
      <c r="F19" s="33"/>
    </row>
    <row r="20" spans="2:6" s="4" customFormat="1" ht="18.75">
      <c r="B20" s="37"/>
      <c r="C20" s="80"/>
      <c r="D20" s="19"/>
      <c r="E20" s="20"/>
      <c r="F20" s="33"/>
    </row>
    <row r="21" spans="2:6" s="4" customFormat="1" ht="47.25">
      <c r="B21" s="58"/>
      <c r="C21" s="66"/>
      <c r="D21" s="82" t="s">
        <v>111</v>
      </c>
      <c r="E21" s="82" t="s">
        <v>112</v>
      </c>
      <c r="F21" s="33"/>
    </row>
    <row r="22" spans="2:6" s="4" customFormat="1" ht="19.5" thickBot="1">
      <c r="B22" s="37"/>
      <c r="C22" s="87"/>
      <c r="D22" s="59"/>
      <c r="E22" s="60"/>
      <c r="F22" s="33"/>
    </row>
    <row r="23" spans="2:6" ht="18.75" thickBot="1">
      <c r="B23" s="98" t="s">
        <v>13</v>
      </c>
      <c r="C23" s="99"/>
      <c r="D23" s="100"/>
      <c r="E23" s="101"/>
      <c r="F23" s="24" t="s">
        <v>8</v>
      </c>
    </row>
    <row r="24" spans="2:6">
      <c r="B24" s="102"/>
      <c r="C24" s="103"/>
      <c r="D24" s="103"/>
      <c r="E24" s="103"/>
      <c r="F24" s="88"/>
    </row>
    <row r="25" spans="2:6">
      <c r="B25" s="104"/>
      <c r="C25" s="105"/>
      <c r="D25" s="105"/>
      <c r="E25" s="105"/>
      <c r="F25" s="89"/>
    </row>
    <row r="26" spans="2:6">
      <c r="B26" s="104"/>
      <c r="C26" s="105"/>
      <c r="D26" s="105"/>
      <c r="E26" s="105"/>
      <c r="F26" s="89"/>
    </row>
    <row r="27" spans="2:6">
      <c r="B27" s="104"/>
      <c r="C27" s="105"/>
      <c r="D27" s="105"/>
      <c r="E27" s="105"/>
      <c r="F27" s="89"/>
    </row>
    <row r="28" spans="2:6" ht="15.75" thickBot="1">
      <c r="B28" s="106"/>
      <c r="C28" s="107"/>
      <c r="D28" s="107"/>
      <c r="E28" s="107"/>
      <c r="F28" s="90"/>
    </row>
  </sheetData>
  <sheetProtection selectLockedCells="1"/>
  <mergeCells count="8">
    <mergeCell ref="F24:F28"/>
    <mergeCell ref="B3:E3"/>
    <mergeCell ref="D4:E4"/>
    <mergeCell ref="D6:E6"/>
    <mergeCell ref="B23:C23"/>
    <mergeCell ref="D23:E23"/>
    <mergeCell ref="B24:C28"/>
    <mergeCell ref="D24:E28"/>
  </mergeCells>
  <printOptions horizontalCentered="1"/>
  <pageMargins left="0.15748031496062992" right="7.874015748031496E-2" top="0.19685039370078741" bottom="0.15748031496062992" header="0.31496062992125984" footer="0.31496062992125984"/>
  <pageSetup paperSize="9" scale="86" fitToHeight="0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fitToPage="1"/>
  </sheetPr>
  <dimension ref="B3:F23"/>
  <sheetViews>
    <sheetView view="pageLayout" topLeftCell="B7" zoomScaleNormal="90" workbookViewId="0">
      <selection activeCell="C16" sqref="C1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3" spans="2:6" ht="27" thickBot="1">
      <c r="B3" s="114" t="s">
        <v>45</v>
      </c>
      <c r="C3" s="114"/>
      <c r="D3" s="114"/>
      <c r="E3" s="114"/>
      <c r="F3" s="70" t="s">
        <v>82</v>
      </c>
    </row>
    <row r="4" spans="2:6" ht="24" thickBot="1">
      <c r="B4" s="51"/>
      <c r="C4" s="52" t="s">
        <v>38</v>
      </c>
      <c r="D4" s="94" t="s">
        <v>113</v>
      </c>
      <c r="E4" s="95"/>
      <c r="F4" s="50" t="s">
        <v>44</v>
      </c>
    </row>
    <row r="5" spans="2:6" ht="18">
      <c r="B5" s="54"/>
      <c r="C5" s="54"/>
      <c r="D5" s="115" t="s">
        <v>0</v>
      </c>
      <c r="E5" s="115"/>
      <c r="F5" s="54"/>
    </row>
    <row r="6" spans="2:6" s="4" customFormat="1" ht="15.75">
      <c r="B6" s="55" t="s">
        <v>1</v>
      </c>
      <c r="C6" s="55" t="s">
        <v>2</v>
      </c>
      <c r="D6" s="56" t="s">
        <v>4</v>
      </c>
      <c r="E6" s="56" t="s">
        <v>5</v>
      </c>
      <c r="F6" s="57" t="s">
        <v>6</v>
      </c>
    </row>
    <row r="7" spans="2:6" s="4" customFormat="1" ht="18.75">
      <c r="B7" s="58">
        <v>1</v>
      </c>
      <c r="C7" s="67" t="s">
        <v>62</v>
      </c>
      <c r="D7" s="59"/>
      <c r="E7" s="60"/>
      <c r="F7" s="61"/>
    </row>
    <row r="8" spans="2:6" s="4" customFormat="1" ht="18.75">
      <c r="B8" s="58">
        <v>2</v>
      </c>
      <c r="C8" s="67" t="s">
        <v>63</v>
      </c>
      <c r="D8" s="19"/>
      <c r="E8" s="20"/>
      <c r="F8" s="33"/>
    </row>
    <row r="9" spans="2:6" s="4" customFormat="1" ht="18.75">
      <c r="B9" s="58">
        <v>3</v>
      </c>
      <c r="C9" s="67" t="s">
        <v>64</v>
      </c>
      <c r="D9" s="19"/>
      <c r="E9" s="20"/>
      <c r="F9" s="33"/>
    </row>
    <row r="10" spans="2:6" s="4" customFormat="1" ht="18.75">
      <c r="B10" s="58">
        <v>4</v>
      </c>
      <c r="C10" s="68" t="s">
        <v>47</v>
      </c>
      <c r="D10" s="19"/>
      <c r="E10" s="20"/>
      <c r="F10" s="33"/>
    </row>
    <row r="11" spans="2:6" s="4" customFormat="1" ht="18.75">
      <c r="B11" s="58">
        <v>5</v>
      </c>
      <c r="C11" s="66" t="s">
        <v>51</v>
      </c>
      <c r="D11" s="19"/>
      <c r="E11" s="20"/>
      <c r="F11" s="33"/>
    </row>
    <row r="12" spans="2:6" s="4" customFormat="1" ht="18.75">
      <c r="B12" s="58">
        <v>6</v>
      </c>
      <c r="C12" s="66" t="s">
        <v>53</v>
      </c>
      <c r="D12" s="19"/>
      <c r="E12" s="20"/>
      <c r="F12" s="33"/>
    </row>
    <row r="13" spans="2:6" s="4" customFormat="1" ht="18.75">
      <c r="B13" s="58">
        <v>7</v>
      </c>
      <c r="C13" s="66" t="s">
        <v>50</v>
      </c>
      <c r="D13" s="19"/>
      <c r="E13" s="20"/>
      <c r="F13" s="33"/>
    </row>
    <row r="14" spans="2:6" s="4" customFormat="1" ht="31.5">
      <c r="B14" s="58">
        <v>8</v>
      </c>
      <c r="C14" s="66" t="s">
        <v>55</v>
      </c>
      <c r="D14" s="59"/>
      <c r="E14" s="60"/>
      <c r="F14" s="61"/>
    </row>
    <row r="15" spans="2:6" s="4" customFormat="1" ht="18.75">
      <c r="B15" s="58"/>
      <c r="C15" s="66"/>
      <c r="D15" s="59"/>
      <c r="E15" s="60"/>
      <c r="F15" s="61"/>
    </row>
    <row r="16" spans="2:6" s="4" customFormat="1" ht="47.25">
      <c r="B16" s="58"/>
      <c r="C16" s="66"/>
      <c r="D16" s="82" t="s">
        <v>111</v>
      </c>
      <c r="E16" s="82" t="s">
        <v>112</v>
      </c>
      <c r="F16" s="61"/>
    </row>
    <row r="17" spans="2:6" s="4" customFormat="1" ht="19.5" thickBot="1">
      <c r="B17" s="58"/>
      <c r="C17" s="67"/>
      <c r="D17" s="19"/>
      <c r="E17" s="20"/>
      <c r="F17" s="33"/>
    </row>
    <row r="18" spans="2:6" ht="18.75" thickBot="1">
      <c r="B18" s="98" t="s">
        <v>13</v>
      </c>
      <c r="C18" s="99"/>
      <c r="D18" s="116"/>
      <c r="E18" s="117"/>
      <c r="F18" s="24" t="s">
        <v>8</v>
      </c>
    </row>
    <row r="19" spans="2:6">
      <c r="B19" s="102"/>
      <c r="C19" s="103"/>
      <c r="D19" s="103"/>
      <c r="E19" s="103"/>
      <c r="F19" s="88"/>
    </row>
    <row r="20" spans="2:6">
      <c r="B20" s="104"/>
      <c r="C20" s="105"/>
      <c r="D20" s="105"/>
      <c r="E20" s="105"/>
      <c r="F20" s="89"/>
    </row>
    <row r="21" spans="2:6">
      <c r="B21" s="104"/>
      <c r="C21" s="105"/>
      <c r="D21" s="105"/>
      <c r="E21" s="105"/>
      <c r="F21" s="89"/>
    </row>
    <row r="22" spans="2:6">
      <c r="B22" s="104"/>
      <c r="C22" s="105"/>
      <c r="D22" s="105"/>
      <c r="E22" s="105"/>
      <c r="F22" s="89"/>
    </row>
    <row r="23" spans="2:6" ht="15.75" thickBot="1">
      <c r="B23" s="106"/>
      <c r="C23" s="107"/>
      <c r="D23" s="107"/>
      <c r="E23" s="107"/>
      <c r="F23" s="90"/>
    </row>
  </sheetData>
  <mergeCells count="8">
    <mergeCell ref="F19:F23"/>
    <mergeCell ref="B3:E3"/>
    <mergeCell ref="D4:E4"/>
    <mergeCell ref="D5:E5"/>
    <mergeCell ref="B18:C18"/>
    <mergeCell ref="D18:E18"/>
    <mergeCell ref="B19:C23"/>
    <mergeCell ref="D19:E23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fitToPage="1"/>
  </sheetPr>
  <dimension ref="B3:F21"/>
  <sheetViews>
    <sheetView view="pageLayout" topLeftCell="B7" zoomScaleNormal="80" workbookViewId="0">
      <selection activeCell="B14" sqref="B14:B15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3" spans="2:6" ht="27" thickBot="1">
      <c r="B3" s="114" t="s">
        <v>45</v>
      </c>
      <c r="C3" s="114"/>
      <c r="D3" s="114"/>
      <c r="E3" s="114"/>
      <c r="F3" s="69" t="s">
        <v>82</v>
      </c>
    </row>
    <row r="4" spans="2:6" ht="24" thickBot="1">
      <c r="B4" s="51"/>
      <c r="C4" s="65" t="s">
        <v>39</v>
      </c>
      <c r="D4" s="94" t="s">
        <v>113</v>
      </c>
      <c r="E4" s="95"/>
      <c r="F4" s="53" t="str">
        <f>+'Line &amp; frequency'!C2</f>
        <v>HEBDOMADAIRE</v>
      </c>
    </row>
    <row r="5" spans="2:6" ht="18">
      <c r="B5" s="54"/>
      <c r="C5" s="54"/>
      <c r="D5" s="115" t="s">
        <v>0</v>
      </c>
      <c r="E5" s="115"/>
      <c r="F5" s="54"/>
    </row>
    <row r="6" spans="2:6" s="4" customFormat="1" ht="15.75">
      <c r="B6" s="55" t="s">
        <v>1</v>
      </c>
      <c r="C6" s="55" t="s">
        <v>2</v>
      </c>
      <c r="D6" s="56" t="s">
        <v>4</v>
      </c>
      <c r="E6" s="56" t="s">
        <v>5</v>
      </c>
      <c r="F6" s="57" t="s">
        <v>6</v>
      </c>
    </row>
    <row r="7" spans="2:6" s="4" customFormat="1" ht="18.75">
      <c r="B7" s="58">
        <v>1</v>
      </c>
      <c r="C7" s="66" t="s">
        <v>47</v>
      </c>
      <c r="D7" s="59"/>
      <c r="E7" s="60"/>
      <c r="F7" s="61"/>
    </row>
    <row r="8" spans="2:6" s="4" customFormat="1" ht="18.75">
      <c r="B8" s="62">
        <f>B7+1</f>
        <v>2</v>
      </c>
      <c r="C8" s="68" t="s">
        <v>62</v>
      </c>
      <c r="D8" s="59"/>
      <c r="E8" s="60"/>
      <c r="F8" s="61"/>
    </row>
    <row r="9" spans="2:6" s="4" customFormat="1" ht="18.75">
      <c r="B9" s="58">
        <f>+B8+1</f>
        <v>3</v>
      </c>
      <c r="C9" s="68" t="s">
        <v>64</v>
      </c>
      <c r="D9" s="59"/>
      <c r="E9" s="60"/>
      <c r="F9" s="61"/>
    </row>
    <row r="10" spans="2:6" s="4" customFormat="1" ht="18.75">
      <c r="B10" s="6">
        <f t="shared" ref="B10:B12" si="0">B9+1</f>
        <v>4</v>
      </c>
      <c r="C10" s="68" t="s">
        <v>65</v>
      </c>
      <c r="D10" s="19"/>
      <c r="E10" s="20"/>
      <c r="F10" s="33"/>
    </row>
    <row r="11" spans="2:6" s="4" customFormat="1" ht="18.75">
      <c r="B11" s="6">
        <f t="shared" si="0"/>
        <v>5</v>
      </c>
      <c r="C11" s="66" t="s">
        <v>53</v>
      </c>
      <c r="D11" s="19"/>
      <c r="E11" s="20"/>
      <c r="F11" s="33"/>
    </row>
    <row r="12" spans="2:6" s="4" customFormat="1" ht="18.75">
      <c r="B12" s="6">
        <f t="shared" si="0"/>
        <v>6</v>
      </c>
      <c r="C12" s="66" t="s">
        <v>51</v>
      </c>
      <c r="D12" s="59"/>
      <c r="E12" s="60"/>
      <c r="F12" s="61"/>
    </row>
    <row r="13" spans="2:6" s="4" customFormat="1" ht="18.75">
      <c r="B13" s="83"/>
      <c r="C13" s="66"/>
      <c r="D13" s="59"/>
      <c r="E13" s="60"/>
      <c r="F13" s="61"/>
    </row>
    <row r="14" spans="2:6" s="4" customFormat="1" ht="47.25">
      <c r="B14" s="58"/>
      <c r="C14" s="66"/>
      <c r="D14" s="82" t="s">
        <v>111</v>
      </c>
      <c r="E14" s="82" t="s">
        <v>112</v>
      </c>
      <c r="F14" s="61"/>
    </row>
    <row r="15" spans="2:6" s="4" customFormat="1" ht="18.75">
      <c r="B15" s="6"/>
      <c r="C15" s="67"/>
      <c r="D15" s="59"/>
      <c r="E15" s="60"/>
      <c r="F15" s="61"/>
    </row>
    <row r="16" spans="2:6" ht="18.75" thickBot="1">
      <c r="B16" s="98" t="s">
        <v>13</v>
      </c>
      <c r="C16" s="99"/>
      <c r="D16" s="100"/>
      <c r="E16" s="101"/>
      <c r="F16" s="84" t="s">
        <v>8</v>
      </c>
    </row>
    <row r="17" spans="2:6">
      <c r="B17" s="102"/>
      <c r="C17" s="103"/>
      <c r="D17" s="103"/>
      <c r="E17" s="103"/>
      <c r="F17" s="88"/>
    </row>
    <row r="18" spans="2:6">
      <c r="B18" s="104"/>
      <c r="C18" s="105"/>
      <c r="D18" s="105"/>
      <c r="E18" s="105"/>
      <c r="F18" s="89"/>
    </row>
    <row r="19" spans="2:6">
      <c r="B19" s="104"/>
      <c r="C19" s="105"/>
      <c r="D19" s="105"/>
      <c r="E19" s="105"/>
      <c r="F19" s="89"/>
    </row>
    <row r="20" spans="2:6">
      <c r="B20" s="104"/>
      <c r="C20" s="105"/>
      <c r="D20" s="105"/>
      <c r="E20" s="105"/>
      <c r="F20" s="89"/>
    </row>
    <row r="21" spans="2:6" ht="15.75" thickBot="1">
      <c r="B21" s="106"/>
      <c r="C21" s="107"/>
      <c r="D21" s="107"/>
      <c r="E21" s="107"/>
      <c r="F21" s="90"/>
    </row>
  </sheetData>
  <mergeCells count="8">
    <mergeCell ref="F17:F21"/>
    <mergeCell ref="B3:E3"/>
    <mergeCell ref="D4:E4"/>
    <mergeCell ref="D5:E5"/>
    <mergeCell ref="B16:C16"/>
    <mergeCell ref="D16:E16"/>
    <mergeCell ref="B17:C21"/>
    <mergeCell ref="D17:E2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  <pageSetUpPr fitToPage="1"/>
  </sheetPr>
  <dimension ref="B1:F25"/>
  <sheetViews>
    <sheetView view="pageBreakPreview" topLeftCell="A4" zoomScale="90" zoomScaleNormal="55" zoomScaleSheetLayoutView="90" zoomScalePageLayoutView="70" workbookViewId="0">
      <selection activeCell="B18" sqref="B18:B19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6" ht="1.5" customHeight="1"/>
    <row r="2" spans="2:6" ht="1.5" customHeight="1" thickBot="1"/>
    <row r="3" spans="2:6" ht="62.25" customHeight="1" thickBot="1">
      <c r="B3" s="91" t="s">
        <v>61</v>
      </c>
      <c r="C3" s="92"/>
      <c r="D3" s="92"/>
      <c r="E3" s="93"/>
      <c r="F3" s="69" t="s">
        <v>82</v>
      </c>
    </row>
    <row r="4" spans="2:6" ht="24" thickBot="1">
      <c r="B4" s="14"/>
      <c r="C4" s="15" t="s">
        <v>66</v>
      </c>
      <c r="D4" s="94" t="s">
        <v>113</v>
      </c>
      <c r="E4" s="95"/>
      <c r="F4" s="32" t="str">
        <f>+'Line &amp; frequency'!C2</f>
        <v>HEBDOMADAIRE</v>
      </c>
    </row>
    <row r="5" spans="2:6" ht="8.25" customHeight="1" thickBot="1">
      <c r="B5" s="2"/>
      <c r="C5" s="2"/>
      <c r="D5" s="3"/>
      <c r="E5" s="3"/>
      <c r="F5" s="3"/>
    </row>
    <row r="6" spans="2:6" ht="20.25" customHeight="1" thickBot="1">
      <c r="D6" s="96" t="s">
        <v>0</v>
      </c>
      <c r="E6" s="97"/>
    </row>
    <row r="7" spans="2:6" s="4" customFormat="1" ht="24" customHeight="1" thickBot="1">
      <c r="B7" s="25" t="s">
        <v>1</v>
      </c>
      <c r="C7" s="26" t="s">
        <v>2</v>
      </c>
      <c r="D7" s="29" t="s">
        <v>4</v>
      </c>
      <c r="E7" s="30" t="s">
        <v>5</v>
      </c>
      <c r="F7" s="28" t="s">
        <v>6</v>
      </c>
    </row>
    <row r="8" spans="2:6" s="4" customFormat="1" ht="18.75">
      <c r="B8" s="5">
        <v>1</v>
      </c>
      <c r="C8" s="68" t="s">
        <v>67</v>
      </c>
      <c r="D8" s="19"/>
      <c r="E8" s="20"/>
      <c r="F8" s="33"/>
    </row>
    <row r="9" spans="2:6" s="4" customFormat="1" ht="21.75" customHeight="1" thickBot="1">
      <c r="B9" s="6">
        <v>2</v>
      </c>
      <c r="C9" s="68" t="s">
        <v>65</v>
      </c>
      <c r="D9" s="19"/>
      <c r="E9" s="20"/>
      <c r="F9" s="33"/>
    </row>
    <row r="10" spans="2:6" s="4" customFormat="1" ht="18.75">
      <c r="B10" s="5">
        <v>3</v>
      </c>
      <c r="C10" s="66" t="s">
        <v>53</v>
      </c>
      <c r="D10" s="19"/>
      <c r="E10" s="20"/>
      <c r="F10" s="33"/>
    </row>
    <row r="11" spans="2:6" s="4" customFormat="1" ht="19.5" thickBot="1">
      <c r="B11" s="6">
        <v>4</v>
      </c>
      <c r="C11" s="66" t="s">
        <v>50</v>
      </c>
      <c r="D11" s="19"/>
      <c r="E11" s="20"/>
      <c r="F11" s="33"/>
    </row>
    <row r="12" spans="2:6" s="4" customFormat="1" ht="18.75">
      <c r="B12" s="5">
        <v>5</v>
      </c>
      <c r="C12" s="66" t="s">
        <v>84</v>
      </c>
      <c r="D12" s="19"/>
      <c r="E12" s="20"/>
      <c r="F12" s="33"/>
    </row>
    <row r="13" spans="2:6" s="4" customFormat="1" ht="19.5" thickBot="1">
      <c r="B13" s="6">
        <v>6</v>
      </c>
      <c r="C13" s="66" t="s">
        <v>47</v>
      </c>
      <c r="D13" s="19"/>
      <c r="E13" s="20"/>
      <c r="F13" s="33"/>
    </row>
    <row r="14" spans="2:6" s="4" customFormat="1" ht="18.75">
      <c r="B14" s="5">
        <v>7</v>
      </c>
      <c r="C14" s="66" t="s">
        <v>51</v>
      </c>
      <c r="D14" s="19"/>
      <c r="E14" s="20"/>
      <c r="F14" s="33"/>
    </row>
    <row r="15" spans="2:6" s="4" customFormat="1" ht="19.5" thickBot="1">
      <c r="B15" s="6">
        <v>8</v>
      </c>
      <c r="C15" s="66" t="s">
        <v>95</v>
      </c>
      <c r="D15" s="19"/>
      <c r="E15" s="20"/>
      <c r="F15" s="33"/>
    </row>
    <row r="16" spans="2:6" s="4" customFormat="1" ht="18.75">
      <c r="B16" s="5">
        <v>9</v>
      </c>
      <c r="C16" s="66" t="s">
        <v>88</v>
      </c>
      <c r="D16" s="19"/>
      <c r="E16" s="20"/>
      <c r="F16" s="33"/>
    </row>
    <row r="17" spans="2:6" s="4" customFormat="1" ht="18.75">
      <c r="B17" s="6">
        <v>10</v>
      </c>
      <c r="C17" s="66"/>
      <c r="D17" s="19"/>
      <c r="E17" s="20"/>
      <c r="F17" s="33"/>
    </row>
    <row r="18" spans="2:6" s="4" customFormat="1" ht="47.25">
      <c r="B18" s="58"/>
      <c r="C18" s="66"/>
      <c r="D18" s="82" t="s">
        <v>111</v>
      </c>
      <c r="E18" s="82" t="s">
        <v>112</v>
      </c>
      <c r="F18" s="33"/>
    </row>
    <row r="19" spans="2:6" s="4" customFormat="1" ht="19.5" thickBot="1">
      <c r="B19" s="6"/>
      <c r="C19" s="66"/>
      <c r="D19" s="19"/>
      <c r="E19" s="20"/>
      <c r="F19" s="33"/>
    </row>
    <row r="20" spans="2:6" ht="18.75" thickBot="1">
      <c r="B20" s="98" t="s">
        <v>13</v>
      </c>
      <c r="C20" s="99"/>
      <c r="D20" s="116"/>
      <c r="E20" s="117"/>
      <c r="F20" s="24" t="s">
        <v>8</v>
      </c>
    </row>
    <row r="21" spans="2:6">
      <c r="B21" s="102"/>
      <c r="C21" s="103"/>
      <c r="D21" s="103"/>
      <c r="E21" s="103"/>
      <c r="F21" s="88"/>
    </row>
    <row r="22" spans="2:6">
      <c r="B22" s="104"/>
      <c r="C22" s="105"/>
      <c r="D22" s="105"/>
      <c r="E22" s="105"/>
      <c r="F22" s="89"/>
    </row>
    <row r="23" spans="2:6">
      <c r="B23" s="104"/>
      <c r="C23" s="105"/>
      <c r="D23" s="105"/>
      <c r="E23" s="105"/>
      <c r="F23" s="89"/>
    </row>
    <row r="24" spans="2:6">
      <c r="B24" s="104"/>
      <c r="C24" s="105"/>
      <c r="D24" s="105"/>
      <c r="E24" s="105"/>
      <c r="F24" s="89"/>
    </row>
    <row r="25" spans="2:6" ht="15.75" thickBot="1">
      <c r="B25" s="106"/>
      <c r="C25" s="107"/>
      <c r="D25" s="107"/>
      <c r="E25" s="107"/>
      <c r="F25" s="90"/>
    </row>
  </sheetData>
  <sheetProtection selectLockedCells="1"/>
  <mergeCells count="8">
    <mergeCell ref="B21:C25"/>
    <mergeCell ref="D21:E25"/>
    <mergeCell ref="F21:F25"/>
    <mergeCell ref="B3:E3"/>
    <mergeCell ref="D4:E4"/>
    <mergeCell ref="D6:E6"/>
    <mergeCell ref="B20:C20"/>
    <mergeCell ref="D20:E20"/>
  </mergeCells>
  <printOptions horizontalCentered="1"/>
  <pageMargins left="0.15748031496062992" right="7.874015748031496E-2" top="0.19685039370078741" bottom="0.15748031496062992" header="0.31496062992125984" footer="0.31496062992125984"/>
  <pageSetup paperSize="9" scale="86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  <pageSetUpPr fitToPage="1"/>
  </sheetPr>
  <dimension ref="B1:F27"/>
  <sheetViews>
    <sheetView view="pageBreakPreview" topLeftCell="A4" zoomScale="90" zoomScaleNormal="55" zoomScaleSheetLayoutView="90" zoomScalePageLayoutView="70" workbookViewId="0">
      <selection activeCell="B20" sqref="B20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6" ht="1.5" customHeight="1"/>
    <row r="2" spans="2:6" ht="1.5" customHeight="1" thickBot="1"/>
    <row r="3" spans="2:6" ht="62.25" customHeight="1" thickBot="1">
      <c r="B3" s="91" t="s">
        <v>45</v>
      </c>
      <c r="C3" s="92"/>
      <c r="D3" s="92"/>
      <c r="E3" s="93"/>
      <c r="F3" s="69" t="s">
        <v>82</v>
      </c>
    </row>
    <row r="4" spans="2:6" ht="24" thickBot="1">
      <c r="B4" s="14"/>
      <c r="C4" s="15" t="s">
        <v>40</v>
      </c>
      <c r="D4" s="94" t="s">
        <v>113</v>
      </c>
      <c r="E4" s="95"/>
      <c r="F4" s="32" t="str">
        <f>+'Line &amp; frequency'!C2</f>
        <v>HEBDOMADAIRE</v>
      </c>
    </row>
    <row r="5" spans="2:6" ht="8.25" customHeight="1" thickBot="1">
      <c r="B5" s="2"/>
      <c r="C5" s="2"/>
      <c r="D5" s="3"/>
      <c r="E5" s="3"/>
      <c r="F5" s="3"/>
    </row>
    <row r="6" spans="2:6" ht="20.25" customHeight="1" thickBot="1">
      <c r="D6" s="96" t="s">
        <v>0</v>
      </c>
      <c r="E6" s="97"/>
    </row>
    <row r="7" spans="2:6" s="4" customFormat="1" ht="24" customHeight="1" thickBot="1">
      <c r="B7" s="25" t="s">
        <v>1</v>
      </c>
      <c r="C7" s="26" t="s">
        <v>2</v>
      </c>
      <c r="D7" s="29" t="s">
        <v>4</v>
      </c>
      <c r="E7" s="30" t="s">
        <v>5</v>
      </c>
      <c r="F7" s="28" t="s">
        <v>6</v>
      </c>
    </row>
    <row r="8" spans="2:6" s="4" customFormat="1" ht="18.75">
      <c r="B8" s="6">
        <v>1</v>
      </c>
      <c r="C8" s="67" t="s">
        <v>62</v>
      </c>
      <c r="D8" s="19"/>
      <c r="E8" s="20"/>
      <c r="F8" s="33"/>
    </row>
    <row r="9" spans="2:6" s="4" customFormat="1" ht="18.75">
      <c r="B9" s="37">
        <f>+B8+1</f>
        <v>2</v>
      </c>
      <c r="C9" s="67" t="s">
        <v>63</v>
      </c>
      <c r="D9" s="19"/>
      <c r="E9" s="20"/>
      <c r="F9" s="33"/>
    </row>
    <row r="10" spans="2:6" s="4" customFormat="1" ht="18.75">
      <c r="B10" s="6">
        <v>3</v>
      </c>
      <c r="C10" s="67" t="s">
        <v>64</v>
      </c>
      <c r="D10" s="19"/>
      <c r="E10" s="20"/>
      <c r="F10" s="33"/>
    </row>
    <row r="11" spans="2:6" s="4" customFormat="1" ht="18.75">
      <c r="B11" s="6">
        <v>4</v>
      </c>
      <c r="C11" s="66" t="s">
        <v>51</v>
      </c>
      <c r="D11" s="19"/>
      <c r="E11" s="20"/>
      <c r="F11" s="33"/>
    </row>
    <row r="12" spans="2:6" s="4" customFormat="1" ht="18.75">
      <c r="B12" s="37">
        <f t="shared" ref="B12" si="0">+B11+1</f>
        <v>5</v>
      </c>
      <c r="C12" s="66" t="s">
        <v>53</v>
      </c>
      <c r="D12" s="19"/>
      <c r="E12" s="20"/>
      <c r="F12" s="33"/>
    </row>
    <row r="13" spans="2:6" s="4" customFormat="1" ht="18.75">
      <c r="B13" s="6">
        <v>6</v>
      </c>
      <c r="C13" s="66" t="s">
        <v>91</v>
      </c>
      <c r="D13" s="19"/>
      <c r="E13" s="20"/>
      <c r="F13" s="33"/>
    </row>
    <row r="14" spans="2:6" s="4" customFormat="1" ht="31.5">
      <c r="B14" s="6">
        <v>7</v>
      </c>
      <c r="C14" s="66" t="s">
        <v>55</v>
      </c>
      <c r="D14" s="19"/>
      <c r="E14" s="20"/>
      <c r="F14" s="33"/>
    </row>
    <row r="15" spans="2:6" s="4" customFormat="1" ht="18.75">
      <c r="B15" s="37">
        <f t="shared" ref="B15" si="1">+B14+1</f>
        <v>8</v>
      </c>
      <c r="C15" s="66" t="s">
        <v>52</v>
      </c>
      <c r="D15" s="19"/>
      <c r="E15" s="20"/>
      <c r="F15" s="33"/>
    </row>
    <row r="16" spans="2:6" s="4" customFormat="1" ht="18.75">
      <c r="B16" s="37">
        <v>9</v>
      </c>
      <c r="C16" s="66" t="s">
        <v>68</v>
      </c>
      <c r="D16" s="19"/>
      <c r="E16" s="20"/>
      <c r="F16" s="33"/>
    </row>
    <row r="17" spans="2:6" s="4" customFormat="1" ht="18.75">
      <c r="B17" s="37">
        <v>10</v>
      </c>
      <c r="C17" s="66" t="s">
        <v>88</v>
      </c>
      <c r="D17" s="19"/>
      <c r="E17" s="20"/>
      <c r="F17" s="33"/>
    </row>
    <row r="18" spans="2:6" s="4" customFormat="1" ht="18.75">
      <c r="B18" s="37">
        <v>11</v>
      </c>
      <c r="C18" s="66"/>
      <c r="D18" s="19"/>
      <c r="E18" s="20"/>
      <c r="F18" s="33"/>
    </row>
    <row r="19" spans="2:6" s="4" customFormat="1" ht="18.75">
      <c r="B19" s="6"/>
      <c r="C19" s="66"/>
      <c r="D19" s="19"/>
      <c r="E19" s="20"/>
      <c r="F19" s="33"/>
    </row>
    <row r="20" spans="2:6" s="4" customFormat="1" ht="47.25">
      <c r="B20" s="58"/>
      <c r="C20" s="66"/>
      <c r="D20" s="82" t="s">
        <v>111</v>
      </c>
      <c r="E20" s="82" t="s">
        <v>112</v>
      </c>
      <c r="F20" s="33"/>
    </row>
    <row r="21" spans="2:6" s="4" customFormat="1" ht="19.5" thickBot="1">
      <c r="B21" s="37"/>
      <c r="C21" s="67"/>
      <c r="D21" s="19"/>
      <c r="E21" s="20"/>
      <c r="F21" s="33"/>
    </row>
    <row r="22" spans="2:6" ht="18.75" thickBot="1">
      <c r="B22" s="98" t="s">
        <v>13</v>
      </c>
      <c r="C22" s="99"/>
      <c r="D22" s="116"/>
      <c r="E22" s="117"/>
      <c r="F22" s="24" t="s">
        <v>8</v>
      </c>
    </row>
    <row r="23" spans="2:6">
      <c r="B23" s="102"/>
      <c r="C23" s="103"/>
      <c r="D23" s="103"/>
      <c r="E23" s="103"/>
      <c r="F23" s="88"/>
    </row>
    <row r="24" spans="2:6">
      <c r="B24" s="104"/>
      <c r="C24" s="105"/>
      <c r="D24" s="105"/>
      <c r="E24" s="105"/>
      <c r="F24" s="89"/>
    </row>
    <row r="25" spans="2:6">
      <c r="B25" s="104"/>
      <c r="C25" s="105"/>
      <c r="D25" s="105"/>
      <c r="E25" s="105"/>
      <c r="F25" s="89"/>
    </row>
    <row r="26" spans="2:6">
      <c r="B26" s="104"/>
      <c r="C26" s="105"/>
      <c r="D26" s="105"/>
      <c r="E26" s="105"/>
      <c r="F26" s="89"/>
    </row>
    <row r="27" spans="2:6" ht="15.75" thickBot="1">
      <c r="B27" s="106"/>
      <c r="C27" s="107"/>
      <c r="D27" s="107"/>
      <c r="E27" s="107"/>
      <c r="F27" s="90"/>
    </row>
  </sheetData>
  <sheetProtection selectLockedCells="1"/>
  <mergeCells count="8">
    <mergeCell ref="B23:C27"/>
    <mergeCell ref="D23:E27"/>
    <mergeCell ref="F23:F27"/>
    <mergeCell ref="B3:E3"/>
    <mergeCell ref="D4:E4"/>
    <mergeCell ref="D6:E6"/>
    <mergeCell ref="B22:C22"/>
    <mergeCell ref="D22:E22"/>
  </mergeCells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6" fitToHeight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</sheetPr>
  <dimension ref="B1:F25"/>
  <sheetViews>
    <sheetView view="pageBreakPreview" topLeftCell="A4" zoomScaleNormal="55" zoomScaleSheetLayoutView="100" zoomScalePageLayoutView="70" workbookViewId="0">
      <selection activeCell="C18" sqref="C18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6" ht="1.5" customHeight="1"/>
    <row r="2" spans="2:6" ht="1.5" customHeight="1" thickBot="1"/>
    <row r="3" spans="2:6" ht="62.25" customHeight="1" thickBot="1">
      <c r="B3" s="91" t="s">
        <v>45</v>
      </c>
      <c r="C3" s="92"/>
      <c r="D3" s="92"/>
      <c r="E3" s="93"/>
      <c r="F3" s="69" t="s">
        <v>82</v>
      </c>
    </row>
    <row r="4" spans="2:6" ht="24" thickBot="1">
      <c r="B4" s="14"/>
      <c r="C4" s="15" t="s">
        <v>42</v>
      </c>
      <c r="D4" s="94" t="s">
        <v>113</v>
      </c>
      <c r="E4" s="95"/>
      <c r="F4" s="32" t="str">
        <f>+'Line &amp; frequency'!C2</f>
        <v>HEBDOMADAIRE</v>
      </c>
    </row>
    <row r="5" spans="2:6" ht="8.25" customHeight="1" thickBot="1">
      <c r="B5" s="2"/>
      <c r="C5" s="2"/>
      <c r="D5" s="3"/>
      <c r="E5" s="3"/>
      <c r="F5" s="3"/>
    </row>
    <row r="6" spans="2:6" ht="20.25" customHeight="1" thickBot="1">
      <c r="D6" s="96" t="s">
        <v>0</v>
      </c>
      <c r="E6" s="97"/>
    </row>
    <row r="7" spans="2:6" s="4" customFormat="1" ht="24" customHeight="1" thickBot="1">
      <c r="B7" s="25" t="s">
        <v>1</v>
      </c>
      <c r="C7" s="26" t="s">
        <v>2</v>
      </c>
      <c r="D7" s="29" t="s">
        <v>4</v>
      </c>
      <c r="E7" s="30" t="s">
        <v>5</v>
      </c>
      <c r="F7" s="28" t="s">
        <v>6</v>
      </c>
    </row>
    <row r="8" spans="2:6" s="4" customFormat="1" ht="19.5" thickBot="1">
      <c r="B8" s="5">
        <v>1</v>
      </c>
      <c r="C8" s="67" t="s">
        <v>63</v>
      </c>
      <c r="D8" s="19"/>
      <c r="E8" s="20"/>
      <c r="F8" s="33"/>
    </row>
    <row r="9" spans="2:6" s="4" customFormat="1" ht="19.5" thickBot="1">
      <c r="B9" s="5">
        <v>2</v>
      </c>
      <c r="C9" s="67" t="s">
        <v>64</v>
      </c>
      <c r="D9" s="19"/>
      <c r="E9" s="20"/>
      <c r="F9" s="33"/>
    </row>
    <row r="10" spans="2:6" s="4" customFormat="1" ht="19.5" thickBot="1">
      <c r="B10" s="5">
        <v>3</v>
      </c>
      <c r="C10" s="66" t="s">
        <v>53</v>
      </c>
      <c r="D10" s="19"/>
      <c r="E10" s="20"/>
      <c r="F10" s="33"/>
    </row>
    <row r="11" spans="2:6" s="4" customFormat="1" ht="19.5" thickBot="1">
      <c r="B11" s="5">
        <v>4</v>
      </c>
      <c r="C11" s="66" t="s">
        <v>91</v>
      </c>
      <c r="D11" s="19"/>
      <c r="E11" s="20"/>
      <c r="F11" s="33"/>
    </row>
    <row r="12" spans="2:6" s="4" customFormat="1" ht="32.25" thickBot="1">
      <c r="B12" s="5">
        <v>5</v>
      </c>
      <c r="C12" s="66" t="s">
        <v>55</v>
      </c>
      <c r="D12" s="19"/>
      <c r="E12" s="20"/>
      <c r="F12" s="33"/>
    </row>
    <row r="13" spans="2:6" s="4" customFormat="1" ht="19.5" thickBot="1">
      <c r="B13" s="5">
        <v>6</v>
      </c>
      <c r="C13" s="66" t="s">
        <v>52</v>
      </c>
      <c r="D13" s="19"/>
      <c r="E13" s="20"/>
      <c r="F13" s="33"/>
    </row>
    <row r="14" spans="2:6" s="4" customFormat="1" ht="19.5" thickBot="1">
      <c r="B14" s="5">
        <v>7</v>
      </c>
      <c r="C14" s="66" t="s">
        <v>68</v>
      </c>
      <c r="D14" s="19"/>
      <c r="E14" s="20"/>
      <c r="F14" s="33"/>
    </row>
    <row r="15" spans="2:6" s="4" customFormat="1" ht="19.5" thickBot="1">
      <c r="B15" s="5">
        <v>8</v>
      </c>
      <c r="C15" s="66" t="s">
        <v>88</v>
      </c>
      <c r="D15" s="19"/>
      <c r="E15" s="20"/>
      <c r="F15" s="33"/>
    </row>
    <row r="16" spans="2:6" s="4" customFormat="1" ht="19.5" thickBot="1">
      <c r="B16" s="5">
        <v>9</v>
      </c>
      <c r="C16" s="66"/>
      <c r="D16" s="19"/>
      <c r="E16" s="20"/>
      <c r="F16" s="33"/>
    </row>
    <row r="17" spans="2:6" s="4" customFormat="1" ht="18.75">
      <c r="B17" s="5">
        <v>10</v>
      </c>
      <c r="C17" s="66"/>
      <c r="D17" s="19"/>
      <c r="E17" s="20"/>
      <c r="F17" s="33"/>
    </row>
    <row r="18" spans="2:6" s="4" customFormat="1" ht="48" thickBot="1">
      <c r="B18" s="58"/>
      <c r="C18" s="66"/>
      <c r="D18" s="82" t="s">
        <v>111</v>
      </c>
      <c r="E18" s="82" t="s">
        <v>112</v>
      </c>
      <c r="F18" s="33"/>
    </row>
    <row r="19" spans="2:6" s="4" customFormat="1" ht="19.5" thickBot="1">
      <c r="B19" s="5"/>
      <c r="C19" s="67"/>
      <c r="D19" s="19"/>
      <c r="E19" s="20"/>
      <c r="F19" s="33"/>
    </row>
    <row r="20" spans="2:6" ht="18.75" thickBot="1">
      <c r="B20" s="98" t="s">
        <v>13</v>
      </c>
      <c r="C20" s="99"/>
      <c r="D20" s="116"/>
      <c r="E20" s="117"/>
      <c r="F20" s="24" t="s">
        <v>8</v>
      </c>
    </row>
    <row r="21" spans="2:6">
      <c r="B21" s="102"/>
      <c r="C21" s="103"/>
      <c r="D21" s="103"/>
      <c r="E21" s="103"/>
      <c r="F21" s="88"/>
    </row>
    <row r="22" spans="2:6">
      <c r="B22" s="104"/>
      <c r="C22" s="105"/>
      <c r="D22" s="105"/>
      <c r="E22" s="105"/>
      <c r="F22" s="89"/>
    </row>
    <row r="23" spans="2:6">
      <c r="B23" s="104"/>
      <c r="C23" s="105"/>
      <c r="D23" s="105"/>
      <c r="E23" s="105"/>
      <c r="F23" s="89"/>
    </row>
    <row r="24" spans="2:6">
      <c r="B24" s="104"/>
      <c r="C24" s="105"/>
      <c r="D24" s="105"/>
      <c r="E24" s="105"/>
      <c r="F24" s="89"/>
    </row>
    <row r="25" spans="2:6" ht="15.75" thickBot="1">
      <c r="B25" s="106"/>
      <c r="C25" s="107"/>
      <c r="D25" s="107"/>
      <c r="E25" s="107"/>
      <c r="F25" s="90"/>
    </row>
  </sheetData>
  <sheetProtection selectLockedCells="1"/>
  <mergeCells count="8">
    <mergeCell ref="B21:C25"/>
    <mergeCell ref="D21:E25"/>
    <mergeCell ref="F21:F25"/>
    <mergeCell ref="B3:E3"/>
    <mergeCell ref="D4:E4"/>
    <mergeCell ref="D6:E6"/>
    <mergeCell ref="B20:C20"/>
    <mergeCell ref="D20:E20"/>
  </mergeCells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2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fitToPage="1"/>
  </sheetPr>
  <dimension ref="B1:H29"/>
  <sheetViews>
    <sheetView view="pageBreakPreview" topLeftCell="A7" zoomScale="85" zoomScaleNormal="55" zoomScaleSheetLayoutView="85" zoomScalePageLayoutView="70" workbookViewId="0">
      <selection activeCell="B22" sqref="B22:B23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8" ht="1.5" customHeight="1"/>
    <row r="2" spans="2:8" ht="1.5" customHeight="1" thickBot="1"/>
    <row r="3" spans="2:8" ht="62.25" customHeight="1" thickBot="1">
      <c r="B3" s="91" t="s">
        <v>45</v>
      </c>
      <c r="C3" s="92"/>
      <c r="D3" s="92"/>
      <c r="E3" s="93"/>
      <c r="F3" s="69" t="s">
        <v>82</v>
      </c>
      <c r="G3" s="47"/>
      <c r="H3" s="48"/>
    </row>
    <row r="4" spans="2:8" ht="24" thickBot="1">
      <c r="B4" s="14"/>
      <c r="C4" s="15" t="s">
        <v>41</v>
      </c>
      <c r="D4" s="94" t="s">
        <v>113</v>
      </c>
      <c r="E4" s="95"/>
      <c r="F4" s="32" t="str">
        <f>+'Line &amp; frequency'!C2</f>
        <v>HEBDOMADAIRE</v>
      </c>
    </row>
    <row r="5" spans="2:8" ht="8.25" customHeight="1" thickBot="1">
      <c r="B5" s="2"/>
      <c r="C5" s="2"/>
      <c r="D5" s="3"/>
      <c r="E5" s="3"/>
      <c r="F5" s="3"/>
    </row>
    <row r="6" spans="2:8" ht="20.25" customHeight="1" thickBot="1">
      <c r="D6" s="96" t="s">
        <v>0</v>
      </c>
      <c r="E6" s="97"/>
    </row>
    <row r="7" spans="2:8" s="4" customFormat="1" ht="24" customHeight="1" thickBot="1">
      <c r="B7" s="25" t="s">
        <v>1</v>
      </c>
      <c r="C7" s="26" t="s">
        <v>2</v>
      </c>
      <c r="D7" s="29" t="s">
        <v>4</v>
      </c>
      <c r="E7" s="30" t="s">
        <v>5</v>
      </c>
      <c r="F7" s="28" t="s">
        <v>6</v>
      </c>
    </row>
    <row r="8" spans="2:8" s="4" customFormat="1" ht="19.5" thickBot="1">
      <c r="B8" s="5">
        <v>1</v>
      </c>
      <c r="C8" s="67" t="s">
        <v>69</v>
      </c>
      <c r="D8" s="19"/>
      <c r="E8" s="20"/>
      <c r="F8" s="33"/>
    </row>
    <row r="9" spans="2:8" s="4" customFormat="1" ht="19.5" thickBot="1">
      <c r="B9" s="5">
        <v>2</v>
      </c>
      <c r="C9" s="67" t="s">
        <v>70</v>
      </c>
      <c r="D9" s="19"/>
      <c r="E9" s="20"/>
      <c r="F9" s="33"/>
    </row>
    <row r="10" spans="2:8" s="4" customFormat="1" ht="19.5" thickBot="1">
      <c r="B10" s="5">
        <v>3</v>
      </c>
      <c r="C10" s="66" t="s">
        <v>71</v>
      </c>
      <c r="D10" s="19"/>
      <c r="E10" s="20"/>
      <c r="F10" s="33"/>
    </row>
    <row r="11" spans="2:8" s="4" customFormat="1" ht="19.5" thickBot="1">
      <c r="B11" s="5">
        <v>4</v>
      </c>
      <c r="C11" s="67" t="s">
        <v>62</v>
      </c>
      <c r="D11" s="19"/>
      <c r="E11" s="20"/>
      <c r="F11" s="33"/>
    </row>
    <row r="12" spans="2:8" s="4" customFormat="1" ht="19.5" thickBot="1">
      <c r="B12" s="5">
        <v>5</v>
      </c>
      <c r="C12" s="67" t="s">
        <v>85</v>
      </c>
      <c r="D12" s="19"/>
      <c r="E12" s="20"/>
      <c r="F12" s="33"/>
    </row>
    <row r="13" spans="2:8" s="4" customFormat="1" ht="19.5" thickBot="1">
      <c r="B13" s="5">
        <v>6</v>
      </c>
      <c r="C13" s="67" t="s">
        <v>64</v>
      </c>
      <c r="D13" s="19"/>
      <c r="E13" s="20"/>
      <c r="F13" s="33"/>
    </row>
    <row r="14" spans="2:8" s="4" customFormat="1" ht="19.5" thickBot="1">
      <c r="B14" s="5">
        <v>7</v>
      </c>
      <c r="C14" s="66" t="s">
        <v>53</v>
      </c>
      <c r="D14" s="19"/>
      <c r="E14" s="20"/>
      <c r="F14" s="33"/>
    </row>
    <row r="15" spans="2:8" s="4" customFormat="1" ht="19.5" thickBot="1">
      <c r="B15" s="5">
        <v>8</v>
      </c>
      <c r="C15" s="66" t="s">
        <v>50</v>
      </c>
      <c r="D15" s="19"/>
      <c r="E15" s="20"/>
      <c r="F15" s="33"/>
    </row>
    <row r="16" spans="2:8" s="4" customFormat="1" ht="32.25" thickBot="1">
      <c r="B16" s="5">
        <v>9</v>
      </c>
      <c r="C16" s="66" t="s">
        <v>55</v>
      </c>
      <c r="D16" s="19"/>
      <c r="E16" s="20"/>
      <c r="F16" s="33"/>
    </row>
    <row r="17" spans="2:6" s="4" customFormat="1" ht="19.5" thickBot="1">
      <c r="B17" s="5">
        <v>10</v>
      </c>
      <c r="C17" s="66" t="s">
        <v>52</v>
      </c>
      <c r="D17" s="19"/>
      <c r="E17" s="20"/>
      <c r="F17" s="33"/>
    </row>
    <row r="18" spans="2:6" s="4" customFormat="1" ht="19.5" thickBot="1">
      <c r="B18" s="5">
        <v>11</v>
      </c>
      <c r="C18" s="74" t="s">
        <v>68</v>
      </c>
      <c r="D18" s="19"/>
      <c r="E18" s="20"/>
      <c r="F18" s="33"/>
    </row>
    <row r="19" spans="2:6" s="4" customFormat="1" ht="19.5" thickBot="1">
      <c r="B19" s="5">
        <v>12</v>
      </c>
      <c r="C19" s="66" t="s">
        <v>83</v>
      </c>
      <c r="D19" s="19"/>
      <c r="E19" s="20"/>
      <c r="F19" s="33"/>
    </row>
    <row r="20" spans="2:6" s="4" customFormat="1" ht="19.5" thickBot="1">
      <c r="B20" s="5">
        <v>13</v>
      </c>
      <c r="C20" s="66"/>
      <c r="D20" s="71"/>
      <c r="E20" s="72"/>
      <c r="F20" s="73"/>
    </row>
    <row r="21" spans="2:6" s="4" customFormat="1" ht="18.75">
      <c r="B21" s="5">
        <v>14</v>
      </c>
      <c r="C21" s="66"/>
      <c r="D21" s="71"/>
      <c r="E21" s="72"/>
      <c r="F21" s="73"/>
    </row>
    <row r="22" spans="2:6" s="4" customFormat="1" ht="48" thickBot="1">
      <c r="B22" s="58"/>
      <c r="C22" s="66"/>
      <c r="D22" s="82" t="s">
        <v>111</v>
      </c>
      <c r="E22" s="82" t="s">
        <v>112</v>
      </c>
      <c r="F22" s="33"/>
    </row>
    <row r="23" spans="2:6" ht="21" thickBot="1">
      <c r="B23" s="5"/>
      <c r="C23" s="75"/>
      <c r="D23" s="10"/>
      <c r="E23" s="11"/>
      <c r="F23" s="36"/>
    </row>
    <row r="24" spans="2:6" ht="18.75" thickBot="1">
      <c r="B24" s="98" t="s">
        <v>13</v>
      </c>
      <c r="C24" s="99"/>
      <c r="D24" s="116"/>
      <c r="E24" s="117"/>
      <c r="F24" s="24" t="s">
        <v>8</v>
      </c>
    </row>
    <row r="25" spans="2:6">
      <c r="B25" s="102"/>
      <c r="C25" s="103"/>
      <c r="D25" s="103"/>
      <c r="E25" s="103"/>
      <c r="F25" s="88"/>
    </row>
    <row r="26" spans="2:6">
      <c r="B26" s="104"/>
      <c r="C26" s="105"/>
      <c r="D26" s="105"/>
      <c r="E26" s="105"/>
      <c r="F26" s="89"/>
    </row>
    <row r="27" spans="2:6">
      <c r="B27" s="104"/>
      <c r="C27" s="105"/>
      <c r="D27" s="105"/>
      <c r="E27" s="105"/>
      <c r="F27" s="89"/>
    </row>
    <row r="28" spans="2:6">
      <c r="B28" s="104"/>
      <c r="C28" s="105"/>
      <c r="D28" s="105"/>
      <c r="E28" s="105"/>
      <c r="F28" s="89"/>
    </row>
    <row r="29" spans="2:6" ht="15.75" thickBot="1">
      <c r="B29" s="106"/>
      <c r="C29" s="107"/>
      <c r="D29" s="107"/>
      <c r="E29" s="107"/>
      <c r="F29" s="90"/>
    </row>
  </sheetData>
  <sheetProtection selectLockedCells="1"/>
  <mergeCells count="8">
    <mergeCell ref="B25:C29"/>
    <mergeCell ref="D25:E29"/>
    <mergeCell ref="F25:F29"/>
    <mergeCell ref="B3:E3"/>
    <mergeCell ref="D4:E4"/>
    <mergeCell ref="D6:E6"/>
    <mergeCell ref="B24:C24"/>
    <mergeCell ref="D24:E24"/>
  </mergeCells>
  <printOptions horizontalCentered="1"/>
  <pageMargins left="0.15748031496062992" right="7.874015748031496E-2" top="0.19685039370078741" bottom="0.15748031496062992" header="0.31496062992125984" footer="0.31496062992125984"/>
  <pageSetup paperSize="9" scale="86" fitToHeight="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16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/>
      <c r="D8" s="21"/>
      <c r="E8" s="19"/>
      <c r="F8" s="20"/>
      <c r="G8" s="33"/>
    </row>
    <row r="9" spans="2:7" s="4" customFormat="1" ht="64.5" customHeight="1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98" t="s">
        <v>13</v>
      </c>
      <c r="C108" s="99"/>
      <c r="D108" s="119" t="s">
        <v>7</v>
      </c>
      <c r="E108" s="116"/>
      <c r="F108" s="117"/>
      <c r="G108" s="24" t="s">
        <v>8</v>
      </c>
    </row>
    <row r="109" spans="2:7">
      <c r="B109" s="102"/>
      <c r="C109" s="103"/>
      <c r="D109" s="103"/>
      <c r="E109" s="103"/>
      <c r="F109" s="103"/>
      <c r="G109" s="88"/>
    </row>
    <row r="110" spans="2:7">
      <c r="B110" s="104"/>
      <c r="C110" s="105"/>
      <c r="D110" s="105"/>
      <c r="E110" s="105"/>
      <c r="F110" s="105"/>
      <c r="G110" s="89"/>
    </row>
    <row r="111" spans="2:7">
      <c r="B111" s="104"/>
      <c r="C111" s="105"/>
      <c r="D111" s="105"/>
      <c r="E111" s="105"/>
      <c r="F111" s="105"/>
      <c r="G111" s="89"/>
    </row>
    <row r="112" spans="2:7">
      <c r="B112" s="104"/>
      <c r="C112" s="105"/>
      <c r="D112" s="105"/>
      <c r="E112" s="105"/>
      <c r="F112" s="105"/>
      <c r="G112" s="89"/>
    </row>
    <row r="113" spans="2:7" ht="15.75" thickBot="1">
      <c r="B113" s="106"/>
      <c r="C113" s="107"/>
      <c r="D113" s="107"/>
      <c r="E113" s="107"/>
      <c r="F113" s="107"/>
      <c r="G113" s="90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107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18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 t="s">
        <v>17</v>
      </c>
      <c r="D34" s="21">
        <v>10</v>
      </c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 t="s">
        <v>19</v>
      </c>
      <c r="D35" s="21">
        <v>30</v>
      </c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 t="s">
        <v>26</v>
      </c>
      <c r="D36" s="21">
        <v>30</v>
      </c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 t="s">
        <v>27</v>
      </c>
      <c r="D37" s="21">
        <v>30</v>
      </c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 t="s">
        <v>21</v>
      </c>
      <c r="D38" s="21">
        <v>30</v>
      </c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 t="s">
        <v>24</v>
      </c>
      <c r="D39" s="21">
        <v>30</v>
      </c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 t="s">
        <v>25</v>
      </c>
      <c r="D40" s="21">
        <v>25</v>
      </c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 t="s">
        <v>28</v>
      </c>
      <c r="D41" s="21">
        <v>120</v>
      </c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 t="s">
        <v>29</v>
      </c>
      <c r="D42" s="21">
        <v>60</v>
      </c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 t="s">
        <v>17</v>
      </c>
      <c r="D43" s="21">
        <v>10</v>
      </c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 t="s">
        <v>30</v>
      </c>
      <c r="D44" s="21">
        <v>30</v>
      </c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98" t="s">
        <v>13</v>
      </c>
      <c r="C108" s="99"/>
      <c r="D108" s="119" t="s">
        <v>7</v>
      </c>
      <c r="E108" s="116"/>
      <c r="F108" s="117"/>
      <c r="G108" s="24" t="s">
        <v>8</v>
      </c>
    </row>
    <row r="109" spans="2:7">
      <c r="B109" s="102"/>
      <c r="C109" s="103"/>
      <c r="D109" s="103"/>
      <c r="E109" s="103"/>
      <c r="F109" s="103"/>
      <c r="G109" s="88"/>
    </row>
    <row r="110" spans="2:7">
      <c r="B110" s="104"/>
      <c r="C110" s="105"/>
      <c r="D110" s="105"/>
      <c r="E110" s="105"/>
      <c r="F110" s="105"/>
      <c r="G110" s="89"/>
    </row>
    <row r="111" spans="2:7">
      <c r="B111" s="104"/>
      <c r="C111" s="105"/>
      <c r="D111" s="105"/>
      <c r="E111" s="105"/>
      <c r="F111" s="105"/>
      <c r="G111" s="89"/>
    </row>
    <row r="112" spans="2:7">
      <c r="B112" s="104"/>
      <c r="C112" s="105"/>
      <c r="D112" s="105"/>
      <c r="E112" s="105"/>
      <c r="F112" s="105"/>
      <c r="G112" s="89"/>
    </row>
    <row r="113" spans="2:7" ht="15.75" thickBot="1">
      <c r="B113" s="106"/>
      <c r="C113" s="107"/>
      <c r="D113" s="107"/>
      <c r="E113" s="107"/>
      <c r="F113" s="107"/>
      <c r="G113" s="90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107">
    <cfRule type="cellIs" dxfId="15" priority="1" operator="equal">
      <formula>3</formula>
    </cfRule>
    <cfRule type="cellIs" dxfId="1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31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98" t="s">
        <v>13</v>
      </c>
      <c r="C108" s="99"/>
      <c r="D108" s="119" t="s">
        <v>7</v>
      </c>
      <c r="E108" s="116"/>
      <c r="F108" s="117"/>
      <c r="G108" s="24" t="s">
        <v>8</v>
      </c>
    </row>
    <row r="109" spans="2:7">
      <c r="B109" s="102"/>
      <c r="C109" s="103"/>
      <c r="D109" s="103"/>
      <c r="E109" s="103"/>
      <c r="F109" s="103"/>
      <c r="G109" s="88"/>
    </row>
    <row r="110" spans="2:7">
      <c r="B110" s="104"/>
      <c r="C110" s="105"/>
      <c r="D110" s="105"/>
      <c r="E110" s="105"/>
      <c r="F110" s="105"/>
      <c r="G110" s="89"/>
    </row>
    <row r="111" spans="2:7">
      <c r="B111" s="104"/>
      <c r="C111" s="105"/>
      <c r="D111" s="105"/>
      <c r="E111" s="105"/>
      <c r="F111" s="105"/>
      <c r="G111" s="89"/>
    </row>
    <row r="112" spans="2:7">
      <c r="B112" s="104"/>
      <c r="C112" s="105"/>
      <c r="D112" s="105"/>
      <c r="E112" s="105"/>
      <c r="F112" s="105"/>
      <c r="G112" s="89"/>
    </row>
    <row r="113" spans="2:7" ht="15.75" thickBot="1">
      <c r="B113" s="106"/>
      <c r="C113" s="107"/>
      <c r="D113" s="107"/>
      <c r="E113" s="107"/>
      <c r="F113" s="107"/>
      <c r="G113" s="90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107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33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>
      <c r="B33" s="98" t="s">
        <v>13</v>
      </c>
      <c r="C33" s="99"/>
      <c r="D33" s="119" t="s">
        <v>7</v>
      </c>
      <c r="E33" s="116"/>
      <c r="F33" s="117"/>
      <c r="G33" s="24" t="s">
        <v>8</v>
      </c>
    </row>
    <row r="34" spans="2:7">
      <c r="B34" s="102"/>
      <c r="C34" s="103"/>
      <c r="D34" s="103"/>
      <c r="E34" s="103"/>
      <c r="F34" s="103"/>
      <c r="G34" s="88"/>
    </row>
    <row r="35" spans="2:7">
      <c r="B35" s="104"/>
      <c r="C35" s="105"/>
      <c r="D35" s="105"/>
      <c r="E35" s="105"/>
      <c r="F35" s="105"/>
      <c r="G35" s="89"/>
    </row>
    <row r="36" spans="2:7">
      <c r="B36" s="104"/>
      <c r="C36" s="105"/>
      <c r="D36" s="105"/>
      <c r="E36" s="105"/>
      <c r="F36" s="105"/>
      <c r="G36" s="89"/>
    </row>
    <row r="37" spans="2:7">
      <c r="B37" s="104"/>
      <c r="C37" s="105"/>
      <c r="D37" s="105"/>
      <c r="E37" s="105"/>
      <c r="F37" s="105"/>
      <c r="G37" s="89"/>
    </row>
    <row r="38" spans="2:7" ht="15.75" thickBot="1">
      <c r="B38" s="106"/>
      <c r="C38" s="107"/>
      <c r="D38" s="107"/>
      <c r="E38" s="107"/>
      <c r="F38" s="107"/>
      <c r="G38" s="90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1" priority="3" operator="equal">
      <formula>3</formula>
    </cfRule>
    <cfRule type="cellIs" dxfId="1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32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8" t="s">
        <v>13</v>
      </c>
      <c r="C38" s="99"/>
      <c r="D38" s="119" t="s">
        <v>7</v>
      </c>
      <c r="E38" s="116"/>
      <c r="F38" s="117"/>
      <c r="G38" s="24" t="s">
        <v>8</v>
      </c>
    </row>
    <row r="39" spans="2:7">
      <c r="B39" s="102"/>
      <c r="C39" s="103"/>
      <c r="D39" s="103"/>
      <c r="E39" s="103"/>
      <c r="F39" s="103"/>
      <c r="G39" s="88"/>
    </row>
    <row r="40" spans="2:7">
      <c r="B40" s="104"/>
      <c r="C40" s="105"/>
      <c r="D40" s="105"/>
      <c r="E40" s="105"/>
      <c r="F40" s="105"/>
      <c r="G40" s="89"/>
    </row>
    <row r="41" spans="2:7">
      <c r="B41" s="104"/>
      <c r="C41" s="105"/>
      <c r="D41" s="105"/>
      <c r="E41" s="105"/>
      <c r="F41" s="105"/>
      <c r="G41" s="89"/>
    </row>
    <row r="42" spans="2:7">
      <c r="B42" s="104"/>
      <c r="C42" s="105"/>
      <c r="D42" s="105"/>
      <c r="E42" s="105"/>
      <c r="F42" s="105"/>
      <c r="G42" s="89"/>
    </row>
    <row r="43" spans="2:7" ht="15.75" thickBot="1">
      <c r="B43" s="106"/>
      <c r="C43" s="107"/>
      <c r="D43" s="107"/>
      <c r="E43" s="107"/>
      <c r="F43" s="107"/>
      <c r="G43" s="90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34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8" t="s">
        <v>13</v>
      </c>
      <c r="C38" s="99"/>
      <c r="D38" s="119" t="s">
        <v>7</v>
      </c>
      <c r="E38" s="116"/>
      <c r="F38" s="117"/>
      <c r="G38" s="24" t="s">
        <v>8</v>
      </c>
    </row>
    <row r="39" spans="2:7">
      <c r="B39" s="102"/>
      <c r="C39" s="103"/>
      <c r="D39" s="103"/>
      <c r="E39" s="103"/>
      <c r="F39" s="103"/>
      <c r="G39" s="88"/>
    </row>
    <row r="40" spans="2:7">
      <c r="B40" s="104"/>
      <c r="C40" s="105"/>
      <c r="D40" s="105"/>
      <c r="E40" s="105"/>
      <c r="F40" s="105"/>
      <c r="G40" s="89"/>
    </row>
    <row r="41" spans="2:7">
      <c r="B41" s="104"/>
      <c r="C41" s="105"/>
      <c r="D41" s="105"/>
      <c r="E41" s="105"/>
      <c r="F41" s="105"/>
      <c r="G41" s="89"/>
    </row>
    <row r="42" spans="2:7">
      <c r="B42" s="104"/>
      <c r="C42" s="105"/>
      <c r="D42" s="105"/>
      <c r="E42" s="105"/>
      <c r="F42" s="105"/>
      <c r="G42" s="89"/>
    </row>
    <row r="43" spans="2:7" ht="15.75" thickBot="1">
      <c r="B43" s="106"/>
      <c r="C43" s="107"/>
      <c r="D43" s="107"/>
      <c r="E43" s="107"/>
      <c r="F43" s="107"/>
      <c r="G43" s="90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35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8" t="s">
        <v>13</v>
      </c>
      <c r="C38" s="99"/>
      <c r="D38" s="119" t="s">
        <v>7</v>
      </c>
      <c r="E38" s="116"/>
      <c r="F38" s="117"/>
      <c r="G38" s="24" t="s">
        <v>8</v>
      </c>
    </row>
    <row r="39" spans="2:7">
      <c r="B39" s="102"/>
      <c r="C39" s="103"/>
      <c r="D39" s="103"/>
      <c r="E39" s="103"/>
      <c r="F39" s="103"/>
      <c r="G39" s="88"/>
    </row>
    <row r="40" spans="2:7">
      <c r="B40" s="104"/>
      <c r="C40" s="105"/>
      <c r="D40" s="105"/>
      <c r="E40" s="105"/>
      <c r="F40" s="105"/>
      <c r="G40" s="89"/>
    </row>
    <row r="41" spans="2:7">
      <c r="B41" s="104"/>
      <c r="C41" s="105"/>
      <c r="D41" s="105"/>
      <c r="E41" s="105"/>
      <c r="F41" s="105"/>
      <c r="G41" s="89"/>
    </row>
    <row r="42" spans="2:7">
      <c r="B42" s="104"/>
      <c r="C42" s="105"/>
      <c r="D42" s="105"/>
      <c r="E42" s="105"/>
      <c r="F42" s="105"/>
      <c r="G42" s="89"/>
    </row>
    <row r="43" spans="2:7" ht="15.75" thickBot="1">
      <c r="B43" s="106"/>
      <c r="C43" s="107"/>
      <c r="D43" s="107"/>
      <c r="E43" s="107"/>
      <c r="F43" s="107"/>
      <c r="G43" s="90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36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8" t="s">
        <v>13</v>
      </c>
      <c r="C38" s="99"/>
      <c r="D38" s="119" t="s">
        <v>7</v>
      </c>
      <c r="E38" s="116"/>
      <c r="F38" s="117"/>
      <c r="G38" s="24" t="s">
        <v>8</v>
      </c>
    </row>
    <row r="39" spans="2:7">
      <c r="B39" s="102"/>
      <c r="C39" s="103"/>
      <c r="D39" s="103"/>
      <c r="E39" s="103"/>
      <c r="F39" s="103"/>
      <c r="G39" s="88"/>
    </row>
    <row r="40" spans="2:7">
      <c r="B40" s="104"/>
      <c r="C40" s="105"/>
      <c r="D40" s="105"/>
      <c r="E40" s="105"/>
      <c r="F40" s="105"/>
      <c r="G40" s="89"/>
    </row>
    <row r="41" spans="2:7">
      <c r="B41" s="104"/>
      <c r="C41" s="105"/>
      <c r="D41" s="105"/>
      <c r="E41" s="105"/>
      <c r="F41" s="105"/>
      <c r="G41" s="89"/>
    </row>
    <row r="42" spans="2:7">
      <c r="B42" s="104"/>
      <c r="C42" s="105"/>
      <c r="D42" s="105"/>
      <c r="E42" s="105"/>
      <c r="F42" s="105"/>
      <c r="G42" s="89"/>
    </row>
    <row r="43" spans="2:7" ht="15.75" thickBot="1">
      <c r="B43" s="106"/>
      <c r="C43" s="107"/>
      <c r="D43" s="107"/>
      <c r="E43" s="107"/>
      <c r="F43" s="107"/>
      <c r="G43" s="90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91" t="s">
        <v>11</v>
      </c>
      <c r="C3" s="92"/>
      <c r="D3" s="92"/>
      <c r="E3" s="92"/>
      <c r="F3" s="93"/>
      <c r="G3" s="31" t="s">
        <v>12</v>
      </c>
    </row>
    <row r="4" spans="2:7" ht="24" thickBot="1">
      <c r="B4" s="14"/>
      <c r="C4" s="15" t="s">
        <v>37</v>
      </c>
      <c r="D4" s="94" t="str">
        <f>+'Line &amp; frequency'!C1</f>
        <v>CHAINE 4</v>
      </c>
      <c r="E4" s="118"/>
      <c r="F4" s="118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6" t="s">
        <v>0</v>
      </c>
      <c r="F6" s="97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19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26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27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21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24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25</v>
      </c>
      <c r="D22" s="21">
        <v>25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28</v>
      </c>
      <c r="D23" s="21">
        <v>120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29</v>
      </c>
      <c r="D24" s="21">
        <v>60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8" t="s">
        <v>13</v>
      </c>
      <c r="C38" s="99"/>
      <c r="D38" s="119" t="s">
        <v>7</v>
      </c>
      <c r="E38" s="116"/>
      <c r="F38" s="117"/>
      <c r="G38" s="24" t="s">
        <v>8</v>
      </c>
    </row>
    <row r="39" spans="2:7">
      <c r="B39" s="102"/>
      <c r="C39" s="103"/>
      <c r="D39" s="103"/>
      <c r="E39" s="103"/>
      <c r="F39" s="103"/>
      <c r="G39" s="88"/>
    </row>
    <row r="40" spans="2:7">
      <c r="B40" s="104"/>
      <c r="C40" s="105"/>
      <c r="D40" s="105"/>
      <c r="E40" s="105"/>
      <c r="F40" s="105"/>
      <c r="G40" s="89"/>
    </row>
    <row r="41" spans="2:7">
      <c r="B41" s="104"/>
      <c r="C41" s="105"/>
      <c r="D41" s="105"/>
      <c r="E41" s="105"/>
      <c r="F41" s="105"/>
      <c r="G41" s="89"/>
    </row>
    <row r="42" spans="2:7">
      <c r="B42" s="104"/>
      <c r="C42" s="105"/>
      <c r="D42" s="105"/>
      <c r="E42" s="105"/>
      <c r="F42" s="105"/>
      <c r="G42" s="89"/>
    </row>
    <row r="43" spans="2:7" ht="15.75" thickBot="1">
      <c r="B43" s="106"/>
      <c r="C43" s="107"/>
      <c r="D43" s="107"/>
      <c r="E43" s="107"/>
      <c r="F43" s="107"/>
      <c r="G43" s="90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3"/>
  <sheetViews>
    <sheetView workbookViewId="0">
      <selection activeCell="F10" sqref="F10"/>
    </sheetView>
  </sheetViews>
  <sheetFormatPr defaultColWidth="11.42578125" defaultRowHeight="15"/>
  <cols>
    <col min="3" max="3" width="15.42578125" bestFit="1" customWidth="1"/>
    <col min="7" max="7" width="46.28515625" bestFit="1" customWidth="1"/>
  </cols>
  <sheetData>
    <row r="1" spans="2:7">
      <c r="B1" t="s">
        <v>9</v>
      </c>
      <c r="C1" s="13" t="s">
        <v>14</v>
      </c>
    </row>
    <row r="2" spans="2:7">
      <c r="B2" t="s">
        <v>10</v>
      </c>
      <c r="C2" s="13" t="s">
        <v>15</v>
      </c>
    </row>
    <row r="3" spans="2:7" ht="26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F21"/>
  <sheetViews>
    <sheetView view="pageLayout" topLeftCell="B4" zoomScaleNormal="80" workbookViewId="0">
      <selection activeCell="B14" sqref="B14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2" spans="2:6" ht="3.75" customHeight="1" thickBot="1"/>
    <row r="3" spans="2:6" ht="44.25" customHeight="1" thickBot="1">
      <c r="B3" s="91" t="s">
        <v>45</v>
      </c>
      <c r="C3" s="92"/>
      <c r="D3" s="92"/>
      <c r="E3" s="93"/>
      <c r="F3" s="70" t="s">
        <v>82</v>
      </c>
    </row>
    <row r="4" spans="2:6" ht="24" thickBot="1">
      <c r="B4" s="51"/>
      <c r="C4" s="52" t="s">
        <v>43</v>
      </c>
      <c r="D4" s="94" t="s">
        <v>113</v>
      </c>
      <c r="E4" s="95"/>
      <c r="F4" s="53" t="str">
        <f>+'Line &amp; frequency'!C2</f>
        <v>HEBDOMADAIRE</v>
      </c>
    </row>
    <row r="5" spans="2:6" ht="18">
      <c r="B5" s="54"/>
      <c r="C5" s="54"/>
      <c r="D5" s="115" t="s">
        <v>0</v>
      </c>
      <c r="E5" s="115"/>
      <c r="F5" s="54"/>
    </row>
    <row r="6" spans="2:6" s="4" customFormat="1" ht="15.75">
      <c r="B6" s="55" t="s">
        <v>1</v>
      </c>
      <c r="C6" s="55" t="s">
        <v>2</v>
      </c>
      <c r="D6" s="56" t="s">
        <v>4</v>
      </c>
      <c r="E6" s="56" t="s">
        <v>5</v>
      </c>
      <c r="F6" s="57" t="s">
        <v>6</v>
      </c>
    </row>
    <row r="7" spans="2:6" s="4" customFormat="1" ht="18.75">
      <c r="B7" s="58">
        <v>1</v>
      </c>
      <c r="C7" s="66" t="s">
        <v>52</v>
      </c>
      <c r="D7" s="59"/>
      <c r="E7" s="60"/>
      <c r="F7" s="61"/>
    </row>
    <row r="8" spans="2:6" s="4" customFormat="1" ht="18.75">
      <c r="B8" s="62">
        <f>B7+1</f>
        <v>2</v>
      </c>
      <c r="C8" s="66" t="s">
        <v>53</v>
      </c>
      <c r="D8" s="59"/>
      <c r="E8" s="60"/>
      <c r="F8" s="61"/>
    </row>
    <row r="9" spans="2:6" s="4" customFormat="1" ht="18.75">
      <c r="B9" s="58">
        <f>+B8+1</f>
        <v>3</v>
      </c>
      <c r="C9" s="66" t="s">
        <v>54</v>
      </c>
      <c r="D9" s="59"/>
      <c r="E9" s="60"/>
      <c r="F9" s="61"/>
    </row>
    <row r="10" spans="2:6" s="4" customFormat="1" ht="18.75">
      <c r="B10" s="58">
        <v>4</v>
      </c>
      <c r="C10" s="76" t="s">
        <v>98</v>
      </c>
      <c r="D10" s="59"/>
      <c r="E10" s="60"/>
      <c r="F10" s="61"/>
    </row>
    <row r="11" spans="2:6" s="4" customFormat="1" ht="18.75">
      <c r="B11" s="58">
        <v>5</v>
      </c>
      <c r="C11" s="77" t="s">
        <v>94</v>
      </c>
      <c r="D11" s="59"/>
      <c r="E11" s="60"/>
      <c r="F11" s="61"/>
    </row>
    <row r="12" spans="2:6" s="4" customFormat="1" ht="18.75">
      <c r="B12" s="58"/>
      <c r="C12" s="66"/>
      <c r="D12" s="59"/>
      <c r="E12" s="60"/>
      <c r="F12" s="61"/>
    </row>
    <row r="13" spans="2:6" s="4" customFormat="1" ht="18.75">
      <c r="B13" s="58"/>
      <c r="C13" s="66"/>
      <c r="D13" s="59"/>
      <c r="E13" s="60"/>
      <c r="F13" s="61"/>
    </row>
    <row r="14" spans="2:6" s="4" customFormat="1" ht="47.25">
      <c r="B14" s="58"/>
      <c r="C14" s="66"/>
      <c r="D14" s="82" t="s">
        <v>111</v>
      </c>
      <c r="E14" s="82" t="s">
        <v>112</v>
      </c>
      <c r="F14" s="33"/>
    </row>
    <row r="15" spans="2:6" s="4" customFormat="1" ht="18.75">
      <c r="B15" s="58"/>
      <c r="C15" s="77"/>
      <c r="D15" s="59"/>
      <c r="E15" s="60"/>
      <c r="F15" s="61"/>
    </row>
    <row r="16" spans="2:6" ht="18">
      <c r="B16" s="120" t="s">
        <v>13</v>
      </c>
      <c r="C16" s="120"/>
      <c r="D16" s="121"/>
      <c r="E16" s="121"/>
      <c r="F16" s="64" t="s">
        <v>8</v>
      </c>
    </row>
    <row r="17" spans="2:6">
      <c r="B17" s="105"/>
      <c r="C17" s="105"/>
      <c r="D17" s="105"/>
      <c r="E17" s="105"/>
      <c r="F17" s="105"/>
    </row>
    <row r="18" spans="2:6">
      <c r="B18" s="105"/>
      <c r="C18" s="105"/>
      <c r="D18" s="105"/>
      <c r="E18" s="105"/>
      <c r="F18" s="105"/>
    </row>
    <row r="19" spans="2:6">
      <c r="B19" s="105"/>
      <c r="C19" s="105"/>
      <c r="D19" s="105"/>
      <c r="E19" s="105"/>
      <c r="F19" s="105"/>
    </row>
    <row r="20" spans="2:6">
      <c r="B20" s="105"/>
      <c r="C20" s="105"/>
      <c r="D20" s="105"/>
      <c r="E20" s="105"/>
      <c r="F20" s="105"/>
    </row>
    <row r="21" spans="2:6">
      <c r="B21" s="105"/>
      <c r="C21" s="105"/>
      <c r="D21" s="105"/>
      <c r="E21" s="105"/>
      <c r="F21" s="105"/>
    </row>
  </sheetData>
  <mergeCells count="8">
    <mergeCell ref="F17:F21"/>
    <mergeCell ref="B3:E3"/>
    <mergeCell ref="D4:E4"/>
    <mergeCell ref="D5:E5"/>
    <mergeCell ref="B16:C16"/>
    <mergeCell ref="D16:E16"/>
    <mergeCell ref="B17:C21"/>
    <mergeCell ref="D17:E21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3:F24"/>
  <sheetViews>
    <sheetView view="pageLayout" topLeftCell="B10" zoomScaleNormal="80" workbookViewId="0">
      <selection activeCell="B17" sqref="B17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3" spans="2:6" ht="27" thickBot="1">
      <c r="B3" s="114" t="s">
        <v>45</v>
      </c>
      <c r="C3" s="114"/>
      <c r="D3" s="114"/>
      <c r="E3" s="114"/>
      <c r="F3" s="70" t="s">
        <v>82</v>
      </c>
    </row>
    <row r="4" spans="2:6" ht="24" thickBot="1">
      <c r="B4" s="51"/>
      <c r="C4" s="52" t="s">
        <v>97</v>
      </c>
      <c r="D4" s="94" t="s">
        <v>113</v>
      </c>
      <c r="E4" s="95"/>
      <c r="F4" s="53" t="str">
        <f>+'Line &amp; frequency'!C2</f>
        <v>HEBDOMADAIRE</v>
      </c>
    </row>
    <row r="5" spans="2:6" ht="18">
      <c r="B5" s="54"/>
      <c r="C5" s="54"/>
      <c r="D5" s="115" t="s">
        <v>0</v>
      </c>
      <c r="E5" s="115"/>
      <c r="F5" s="54"/>
    </row>
    <row r="6" spans="2:6" s="4" customFormat="1" ht="15.75">
      <c r="B6" s="55" t="s">
        <v>1</v>
      </c>
      <c r="C6" s="55" t="s">
        <v>2</v>
      </c>
      <c r="D6" s="56" t="s">
        <v>4</v>
      </c>
      <c r="E6" s="56" t="s">
        <v>5</v>
      </c>
      <c r="F6" s="57" t="s">
        <v>6</v>
      </c>
    </row>
    <row r="7" spans="2:6" s="4" customFormat="1" ht="18.75">
      <c r="B7" s="58">
        <v>1</v>
      </c>
      <c r="C7" s="66" t="s">
        <v>72</v>
      </c>
      <c r="D7" s="59"/>
      <c r="E7" s="60"/>
      <c r="F7" s="61"/>
    </row>
    <row r="8" spans="2:6" s="4" customFormat="1" ht="18.75">
      <c r="B8" s="62">
        <f>B7+1</f>
        <v>2</v>
      </c>
      <c r="C8" s="66" t="s">
        <v>73</v>
      </c>
      <c r="D8" s="59"/>
      <c r="E8" s="60"/>
      <c r="F8" s="61"/>
    </row>
    <row r="9" spans="2:6" s="4" customFormat="1" ht="18.75">
      <c r="B9" s="58">
        <f>+B8+1</f>
        <v>3</v>
      </c>
      <c r="C9" s="66" t="s">
        <v>74</v>
      </c>
      <c r="D9" s="59"/>
      <c r="E9" s="60"/>
      <c r="F9" s="61"/>
    </row>
    <row r="10" spans="2:6" s="4" customFormat="1" ht="18.75">
      <c r="B10" s="62">
        <f t="shared" ref="B10:B14" si="0">B9+1</f>
        <v>4</v>
      </c>
      <c r="C10" s="66" t="s">
        <v>75</v>
      </c>
      <c r="D10" s="59"/>
      <c r="E10" s="60"/>
      <c r="F10" s="61"/>
    </row>
    <row r="11" spans="2:6" s="4" customFormat="1" ht="18.75">
      <c r="B11" s="62">
        <f t="shared" si="0"/>
        <v>5</v>
      </c>
      <c r="C11" s="66" t="s">
        <v>76</v>
      </c>
      <c r="D11" s="59"/>
      <c r="E11" s="60"/>
      <c r="F11" s="61"/>
    </row>
    <row r="12" spans="2:6" s="4" customFormat="1" ht="18.75">
      <c r="B12" s="58">
        <f t="shared" ref="B12" si="1">+B11+1</f>
        <v>6</v>
      </c>
      <c r="C12" s="66" t="s">
        <v>77</v>
      </c>
      <c r="D12" s="59"/>
      <c r="E12" s="60"/>
      <c r="F12" s="61"/>
    </row>
    <row r="13" spans="2:6" s="4" customFormat="1" ht="18.75">
      <c r="B13" s="62">
        <f t="shared" si="0"/>
        <v>7</v>
      </c>
      <c r="C13" s="66" t="s">
        <v>78</v>
      </c>
      <c r="D13" s="59"/>
      <c r="E13" s="60"/>
      <c r="F13" s="61"/>
    </row>
    <row r="14" spans="2:6" s="4" customFormat="1" ht="18.75">
      <c r="B14" s="62">
        <f t="shared" si="0"/>
        <v>8</v>
      </c>
      <c r="C14" s="66" t="s">
        <v>93</v>
      </c>
      <c r="D14" s="59"/>
      <c r="E14" s="60"/>
      <c r="F14" s="61"/>
    </row>
    <row r="15" spans="2:6" s="4" customFormat="1" ht="18.75">
      <c r="B15" s="58">
        <f t="shared" ref="B15" si="2">+B14+1</f>
        <v>9</v>
      </c>
      <c r="C15" s="63" t="s">
        <v>99</v>
      </c>
      <c r="D15" s="59"/>
      <c r="E15" s="60"/>
      <c r="F15" s="61"/>
    </row>
    <row r="16" spans="2:6" s="4" customFormat="1" ht="18.75">
      <c r="B16" s="58"/>
      <c r="C16" s="63"/>
      <c r="D16" s="59"/>
      <c r="E16" s="60"/>
      <c r="F16" s="61"/>
    </row>
    <row r="17" spans="2:6" s="4" customFormat="1" ht="47.25">
      <c r="B17" s="58"/>
      <c r="C17" s="66"/>
      <c r="D17" s="82" t="s">
        <v>111</v>
      </c>
      <c r="E17" s="82" t="s">
        <v>112</v>
      </c>
      <c r="F17" s="33"/>
    </row>
    <row r="18" spans="2:6" s="4" customFormat="1" ht="18.75">
      <c r="B18" s="62"/>
      <c r="C18" s="49"/>
      <c r="D18" s="59"/>
      <c r="E18" s="60"/>
      <c r="F18" s="61"/>
    </row>
    <row r="19" spans="2:6" ht="18">
      <c r="B19" s="120" t="s">
        <v>13</v>
      </c>
      <c r="C19" s="120"/>
      <c r="D19" s="121"/>
      <c r="E19" s="121"/>
      <c r="F19" s="64" t="s">
        <v>8</v>
      </c>
    </row>
    <row r="20" spans="2:6">
      <c r="B20" s="105"/>
      <c r="C20" s="105"/>
      <c r="D20" s="105"/>
      <c r="E20" s="105"/>
      <c r="F20" s="105"/>
    </row>
    <row r="21" spans="2:6">
      <c r="B21" s="105"/>
      <c r="C21" s="105"/>
      <c r="D21" s="105"/>
      <c r="E21" s="105"/>
      <c r="F21" s="105"/>
    </row>
    <row r="22" spans="2:6">
      <c r="B22" s="105"/>
      <c r="C22" s="105"/>
      <c r="D22" s="105"/>
      <c r="E22" s="105"/>
      <c r="F22" s="105"/>
    </row>
    <row r="23" spans="2:6">
      <c r="B23" s="105"/>
      <c r="C23" s="105"/>
      <c r="D23" s="105"/>
      <c r="E23" s="105"/>
      <c r="F23" s="105"/>
    </row>
    <row r="24" spans="2:6">
      <c r="B24" s="105"/>
      <c r="C24" s="105"/>
      <c r="D24" s="105"/>
      <c r="E24" s="105"/>
      <c r="F24" s="105"/>
    </row>
  </sheetData>
  <mergeCells count="8">
    <mergeCell ref="F20:F24"/>
    <mergeCell ref="B3:E3"/>
    <mergeCell ref="D4:E4"/>
    <mergeCell ref="D5:E5"/>
    <mergeCell ref="B19:C19"/>
    <mergeCell ref="D19:E19"/>
    <mergeCell ref="B20:C24"/>
    <mergeCell ref="D20:E24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3:F19"/>
  <sheetViews>
    <sheetView tabSelected="1" view="pageLayout" topLeftCell="A4" zoomScale="115" zoomScaleNormal="80" zoomScalePageLayoutView="115" workbookViewId="0">
      <selection activeCell="B15" sqref="B15:C19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8.42578125" style="1" customWidth="1"/>
    <col min="5" max="5" width="10.5703125" style="1" customWidth="1"/>
    <col min="6" max="6" width="54.85546875" style="1" bestFit="1" customWidth="1"/>
    <col min="7" max="7" width="6.5703125" style="1" customWidth="1"/>
    <col min="8" max="8" width="7.85546875" style="1" customWidth="1"/>
    <col min="9" max="10" width="8.1406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3" spans="2:6" ht="39.75" customHeight="1" thickBot="1">
      <c r="B3" s="114" t="s">
        <v>45</v>
      </c>
      <c r="C3" s="114"/>
      <c r="D3" s="114"/>
      <c r="E3" s="114"/>
      <c r="F3" s="70" t="s">
        <v>82</v>
      </c>
    </row>
    <row r="4" spans="2:6" ht="24" thickBot="1">
      <c r="B4" s="51"/>
      <c r="C4" s="52" t="s">
        <v>115</v>
      </c>
      <c r="D4" s="94" t="s">
        <v>113</v>
      </c>
      <c r="E4" s="95"/>
      <c r="F4" s="53" t="str">
        <f>+'Line &amp; frequency'!C2</f>
        <v>HEBDOMADAIRE</v>
      </c>
    </row>
    <row r="5" spans="2:6" ht="18">
      <c r="B5" s="54"/>
      <c r="C5" s="54"/>
      <c r="D5" s="115" t="s">
        <v>0</v>
      </c>
      <c r="E5" s="115"/>
      <c r="F5" s="54"/>
    </row>
    <row r="6" spans="2:6" s="4" customFormat="1" ht="15.75">
      <c r="B6" s="55" t="s">
        <v>1</v>
      </c>
      <c r="C6" s="55" t="s">
        <v>2</v>
      </c>
      <c r="D6" s="56" t="s">
        <v>4</v>
      </c>
      <c r="E6" s="56" t="s">
        <v>5</v>
      </c>
      <c r="F6" s="57" t="s">
        <v>6</v>
      </c>
    </row>
    <row r="7" spans="2:6" s="4" customFormat="1" ht="18.75">
      <c r="B7" s="58">
        <v>1</v>
      </c>
      <c r="C7" s="66" t="s">
        <v>79</v>
      </c>
      <c r="D7" s="59"/>
      <c r="E7" s="60"/>
      <c r="F7" s="61"/>
    </row>
    <row r="8" spans="2:6" s="4" customFormat="1" ht="18.75">
      <c r="B8" s="62">
        <v>2</v>
      </c>
      <c r="C8" s="66" t="s">
        <v>80</v>
      </c>
      <c r="D8" s="59"/>
      <c r="E8" s="60"/>
      <c r="F8" s="61"/>
    </row>
    <row r="9" spans="2:6" s="4" customFormat="1" ht="18.75">
      <c r="B9" s="58">
        <v>3</v>
      </c>
      <c r="C9" s="66" t="s">
        <v>86</v>
      </c>
      <c r="D9" s="59"/>
      <c r="E9" s="60"/>
      <c r="F9" s="61"/>
    </row>
    <row r="10" spans="2:6" s="4" customFormat="1" ht="18.75">
      <c r="B10" s="58">
        <v>4</v>
      </c>
      <c r="C10" s="66" t="s">
        <v>110</v>
      </c>
      <c r="D10" s="59"/>
      <c r="E10" s="60"/>
      <c r="F10" s="61"/>
    </row>
    <row r="11" spans="2:6" s="4" customFormat="1" ht="18.75">
      <c r="B11" s="58"/>
      <c r="C11" s="66"/>
      <c r="D11" s="59"/>
      <c r="E11" s="60"/>
      <c r="F11" s="61"/>
    </row>
    <row r="12" spans="2:6" s="4" customFormat="1" ht="47.25">
      <c r="B12" s="58"/>
      <c r="C12" s="66"/>
      <c r="D12" s="82" t="s">
        <v>111</v>
      </c>
      <c r="E12" s="82" t="s">
        <v>112</v>
      </c>
      <c r="F12" s="33"/>
    </row>
    <row r="13" spans="2:6" s="4" customFormat="1" ht="18.75">
      <c r="B13" s="62"/>
      <c r="C13" s="66"/>
      <c r="D13" s="59"/>
      <c r="E13" s="60"/>
      <c r="F13" s="61"/>
    </row>
    <row r="14" spans="2:6" ht="18">
      <c r="B14" s="120" t="s">
        <v>13</v>
      </c>
      <c r="C14" s="120"/>
      <c r="D14" s="121"/>
      <c r="E14" s="121"/>
      <c r="F14" s="64" t="s">
        <v>8</v>
      </c>
    </row>
    <row r="15" spans="2:6">
      <c r="B15" s="122"/>
      <c r="C15" s="123"/>
      <c r="D15" s="105"/>
      <c r="E15" s="105"/>
      <c r="F15" s="105"/>
    </row>
    <row r="16" spans="2:6">
      <c r="B16" s="124"/>
      <c r="C16" s="111"/>
      <c r="D16" s="105"/>
      <c r="E16" s="105"/>
      <c r="F16" s="105"/>
    </row>
    <row r="17" spans="2:6">
      <c r="B17" s="124"/>
      <c r="C17" s="111"/>
      <c r="D17" s="105"/>
      <c r="E17" s="105"/>
      <c r="F17" s="105"/>
    </row>
    <row r="18" spans="2:6">
      <c r="B18" s="124"/>
      <c r="C18" s="111"/>
      <c r="D18" s="105"/>
      <c r="E18" s="105"/>
      <c r="F18" s="105"/>
    </row>
    <row r="19" spans="2:6">
      <c r="B19" s="125"/>
      <c r="C19" s="126"/>
      <c r="D19" s="105"/>
      <c r="E19" s="105"/>
      <c r="F19" s="105"/>
    </row>
  </sheetData>
  <mergeCells count="8">
    <mergeCell ref="F15:F19"/>
    <mergeCell ref="B3:E3"/>
    <mergeCell ref="D4:E4"/>
    <mergeCell ref="D5:E5"/>
    <mergeCell ref="B14:C14"/>
    <mergeCell ref="D14:E14"/>
    <mergeCell ref="B15:C19"/>
    <mergeCell ref="D15:E19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16</vt:i4>
      </vt:variant>
    </vt:vector>
  </HeadingPairs>
  <TitlesOfParts>
    <vt:vector size="38" baseType="lpstr">
      <vt:lpstr>AF Compressor</vt:lpstr>
      <vt:lpstr>Blomax</vt:lpstr>
      <vt:lpstr>FILLER</vt:lpstr>
      <vt:lpstr>Paramix</vt:lpstr>
      <vt:lpstr>CIP</vt:lpstr>
      <vt:lpstr>Labeller</vt:lpstr>
      <vt:lpstr>Kisters</vt:lpstr>
      <vt:lpstr>Handle applicator</vt:lpstr>
      <vt:lpstr>Convoyeurs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Cooling towers</vt:lpstr>
      <vt:lpstr>FBI</vt:lpstr>
      <vt:lpstr>Video Jet</vt:lpstr>
      <vt:lpstr>'AF Compressor'!Print_Area</vt:lpstr>
      <vt:lpstr>Blomax!Print_Area</vt:lpstr>
      <vt:lpstr>'CC C1'!Print_Area</vt:lpstr>
      <vt:lpstr>'CC C2'!Print_Area</vt:lpstr>
      <vt:lpstr>'CC C3'!Print_Area</vt:lpstr>
      <vt:lpstr>'CC C4'!Print_Area</vt:lpstr>
      <vt:lpstr>'CC C5'!Print_Area</vt:lpstr>
      <vt:lpstr>'CC C6'!Print_Area</vt:lpstr>
      <vt:lpstr>'CC C7'!Print_Area</vt:lpstr>
      <vt:lpstr>'CC C8'!Print_Area</vt:lpstr>
      <vt:lpstr>Convoyeurs!Print_Area</vt:lpstr>
      <vt:lpstr>'Cvyr Btles'!Print_Area</vt:lpstr>
      <vt:lpstr>FILLER!Print_Area</vt:lpstr>
      <vt:lpstr>'Handle applicator'!Print_Area</vt:lpstr>
      <vt:lpstr>Kisters!Print_Area</vt:lpstr>
      <vt:lpstr>Labeller!Print_Area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2025-02-18T07:11:10Z</cp:lastPrinted>
  <dcterms:created xsi:type="dcterms:W3CDTF">2021-01-06T16:50:41Z</dcterms:created>
  <dcterms:modified xsi:type="dcterms:W3CDTF">2025-04-14T08:32:26Z</dcterms:modified>
</cp:coreProperties>
</file>