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9135" tabRatio="949" activeTab="5"/>
  </bookViews>
  <sheets>
    <sheet name="Compresseur à air," sheetId="32" r:id="rId1"/>
    <sheet name="Blomax" sheetId="1" r:id="rId2"/>
    <sheet name="Soutireuse " sheetId="31" r:id="rId3"/>
    <sheet name="Paramix" sheetId="29" r:id="rId4"/>
    <sheet name="CIP " sheetId="30" r:id="rId5"/>
    <sheet name="Labeller" sheetId="8" r:id="rId6"/>
    <sheet name="Convoyeurs" sheetId="11" r:id="rId7"/>
    <sheet name="Cooling towers" sheetId="34" r:id="rId8"/>
    <sheet name="Robopac" sheetId="35" r:id="rId9"/>
    <sheet name="Cvyr Btles" sheetId="12" state="hidden" r:id="rId10"/>
    <sheet name="CC C1" sheetId="13" state="hidden" r:id="rId11"/>
    <sheet name="CC C2" sheetId="15" state="hidden" r:id="rId12"/>
    <sheet name="CC C3" sheetId="16" state="hidden" r:id="rId13"/>
    <sheet name="CC C4" sheetId="17" state="hidden" r:id="rId14"/>
    <sheet name="CC C5" sheetId="18" state="hidden" r:id="rId15"/>
    <sheet name="CC C6" sheetId="19" state="hidden" r:id="rId16"/>
    <sheet name="CC C7" sheetId="20" state="hidden" r:id="rId17"/>
    <sheet name="CC C8" sheetId="21" state="hidden" r:id="rId18"/>
    <sheet name="Line &amp; frequency" sheetId="2" state="hidden" r:id="rId19"/>
  </sheets>
  <definedNames>
    <definedName name="_xlnm.Print_Area" localSheetId="1">Blomax!$B$3:$G$20</definedName>
    <definedName name="_xlnm.Print_Area" localSheetId="10">'CC C1'!$B$3:$G$63</definedName>
    <definedName name="_xlnm.Print_Area" localSheetId="11">'CC C2'!$B$3:$G$63</definedName>
    <definedName name="_xlnm.Print_Area" localSheetId="12">'CC C3'!$B$3:$G$32</definedName>
    <definedName name="_xlnm.Print_Area" localSheetId="13">'CC C4'!$B$3:$G$37</definedName>
    <definedName name="_xlnm.Print_Area" localSheetId="14">'CC C5'!$B$3:$G$37</definedName>
    <definedName name="_xlnm.Print_Area" localSheetId="15">'CC C6'!$B$3:$G$37</definedName>
    <definedName name="_xlnm.Print_Area" localSheetId="16">'CC C7'!$B$3:$G$37</definedName>
    <definedName name="_xlnm.Print_Area" localSheetId="17">'CC C8'!$B$3:$G$37</definedName>
    <definedName name="_xlnm.Print_Area" localSheetId="0">'Compresseur à air,'!$B$3:$G$24</definedName>
    <definedName name="_xlnm.Print_Area" localSheetId="6">Convoyeurs!$B$1:$G$17</definedName>
    <definedName name="_xlnm.Print_Area" localSheetId="9">'Cvyr Btles'!$B$3:$G$63</definedName>
    <definedName name="_xlnm.Print_Area" localSheetId="5">Labeller!$B$3:$G$21</definedName>
    <definedName name="_xlnm.Print_Area" localSheetId="2">'Soutireuse '!$B$3:$G$18</definedName>
  </definedNames>
  <calcPr calcId="144525"/>
</workbook>
</file>

<file path=xl/calcChain.xml><?xml version="1.0" encoding="utf-8"?>
<calcChain xmlns="http://schemas.openxmlformats.org/spreadsheetml/2006/main">
  <c r="B9" i="32" l="1"/>
  <c r="B10" i="32" s="1"/>
  <c r="B11" i="32" s="1"/>
  <c r="B12" i="32" s="1"/>
  <c r="B13" i="32" s="1"/>
  <c r="B14" i="32" s="1"/>
  <c r="B15" i="32" s="1"/>
  <c r="B16" i="32" s="1"/>
  <c r="B17" i="32" s="1"/>
  <c r="B18" i="32" s="1"/>
  <c r="B8" i="30" l="1"/>
  <c r="B9" i="30" s="1"/>
  <c r="B9" i="29" l="1"/>
  <c r="B10" i="29" s="1"/>
  <c r="B9" i="31" l="1"/>
  <c r="B10" i="31" s="1"/>
  <c r="B11" i="31" s="1"/>
  <c r="B12" i="31" s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G4" i="13" l="1"/>
  <c r="D4" i="13"/>
  <c r="G4" i="12"/>
  <c r="D4" i="12"/>
</calcChain>
</file>

<file path=xl/sharedStrings.xml><?xml version="1.0" encoding="utf-8"?>
<sst xmlns="http://schemas.openxmlformats.org/spreadsheetml/2006/main" count="505" uniqueCount="94">
  <si>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</si>
  <si>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</si>
  <si>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</si>
  <si>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</si>
  <si>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</si>
  <si>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</si>
  <si>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</si>
  <si>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</si>
  <si>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</si>
  <si>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</si>
  <si>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</si>
  <si>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</si>
  <si>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</si>
  <si>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</si>
  <si>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</si>
  <si>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</si>
  <si>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SOUTIREUSE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</si>
  <si>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</si>
  <si>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</si>
  <si>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</si>
  <si>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</si>
  <si>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</si>
  <si>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</si>
  <si>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</si>
  <si>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</si>
  <si>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</si>
  <si>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</si>
  <si>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</si>
  <si>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</si>
  <si>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</si>
  <si>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</si>
  <si>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</si>
  <si>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</si>
  <si>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</si>
  <si>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</si>
  <si>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</si>
  <si>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</si>
  <si>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</si>
  <si>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</si>
  <si>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Compresseur à air</t>
  </si>
  <si>
    <t>New PET line</t>
  </si>
  <si>
    <t>PARAMIX</t>
  </si>
  <si>
    <t>CIP</t>
  </si>
  <si>
    <t>Contrôler le système de refroidissement d'eau</t>
  </si>
  <si>
    <t>Opérez le commutateur TEST au purgeur automatique</t>
  </si>
  <si>
    <t>Controler le niveau d'huile</t>
  </si>
  <si>
    <t>Contrôler le bon fonctionnement de l'élimination du condensat</t>
  </si>
  <si>
    <t>Nettoyer les moteurs</t>
  </si>
  <si>
    <t>Nettoyer le Air dryer</t>
  </si>
  <si>
    <t>Contrôler et/ou nettoyer le système de refroidissement du sécheur</t>
  </si>
  <si>
    <t>Controler  le filtre d'huile et nettoyer si besoin</t>
  </si>
  <si>
    <t>Tester la machine à la fin de la maintenance</t>
  </si>
  <si>
    <t>Controler l'état du filtre d'air d'alimentation sur le verre indicateur et nettoyer si besoin</t>
  </si>
  <si>
    <t>Chercher le bruit anormal et eliminer</t>
  </si>
  <si>
    <t>Contrôler la présence d'endommagements ou de fuites sur la conduite de lubrifiant de la boucheuse</t>
  </si>
  <si>
    <t>TRIMESTRIELLE</t>
  </si>
  <si>
    <t>Nettoyer les canaux de vide à l'aide de la brosse de nettoyage fournie du Tambour à vide</t>
  </si>
  <si>
    <t>Contrôler la courroie d'entraînement et la remplacer, si nécessaire. Voir la section « Maintenance de l'encolleur »</t>
  </si>
  <si>
    <t>Vérifier l'absence de bruits anormaux sur les entraînements</t>
  </si>
  <si>
    <t>Verifier la la coquille de coussinet et remplacer si  usée</t>
  </si>
  <si>
    <t xml:space="preserve"> Nettoyer les canaux de vide par le haut à l'aide de la brosse de nettoyage fournie</t>
  </si>
  <si>
    <t>Controler l'usure du Dispositif de coupe et remplacer si necessaire également</t>
  </si>
  <si>
    <t>Démonter le revêtement du capot de centrage pour Contrôler l'usure de la came de levage et
des rouleaux et Remplacer les rouleaux si nécessaire</t>
  </si>
  <si>
    <t>Nettoyer les canaux de vide par le haut à l'aide de la brosse de nettoyage fournie (Rouleau de transfert)</t>
  </si>
  <si>
    <t>Contrôler les raccords de flexibles d'eau du Poste de soufflage</t>
  </si>
  <si>
    <t>Contrôler les raccords de flexibles d'air du Poste de soufflage</t>
  </si>
  <si>
    <t>Contrôler la tension de courroie du  Bâti de base</t>
  </si>
  <si>
    <t>Faire la maintenance de l'entraînement du réducteur de la boucheuse conformément aux indications du fabrican</t>
  </si>
  <si>
    <t>Vérifier le fonctionnement de la soupape de sécurité, (machine en arret)</t>
  </si>
  <si>
    <t>BLOMAX</t>
  </si>
  <si>
    <t>Contrôler le distributeur principal et les conduites de la lubrification centrale de la boucheuse à la recherche de détériorations et de fuites</t>
  </si>
  <si>
    <t>LABELLER</t>
  </si>
  <si>
    <t>COOLING TOWERS</t>
  </si>
  <si>
    <t>Nettoyer le Hublot de bul d'air</t>
  </si>
  <si>
    <t>Date:</t>
  </si>
  <si>
    <t>CONVEYORS</t>
  </si>
  <si>
    <t>Nettoyer (souffler) le filtre de la pompe à vide</t>
  </si>
  <si>
    <t>Controler le serrage des toutes les piéces sollicitées</t>
  </si>
  <si>
    <t>Nettoyer les aillettes avec le Katcher à faible pression (demonter les ventillateurs)</t>
  </si>
  <si>
    <t>Nettoyer les aillettes du chiller avec le Katcher à faible pression</t>
  </si>
  <si>
    <t>Nettoyer les helices</t>
  </si>
  <si>
    <t>Contrôler les flexibles du four</t>
  </si>
  <si>
    <t>Controler l'état des caissons chauffants et signaler toutes anomalies</t>
  </si>
  <si>
    <t>ROBOPAC</t>
  </si>
  <si>
    <t>Controler la tension des chaines motrices des plateaux</t>
  </si>
  <si>
    <t>Controler la tension des chaines motrices du chariot</t>
  </si>
  <si>
    <t>20min</t>
  </si>
  <si>
    <t>30min</t>
  </si>
  <si>
    <t>1min</t>
  </si>
  <si>
    <t>1H</t>
  </si>
  <si>
    <t>15min</t>
  </si>
  <si>
    <t>35min</t>
  </si>
  <si>
    <t>25min</t>
  </si>
  <si>
    <t>10min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</si>
</sst>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1"/>
      <color rgb="FF000000"/>
      <name val="ArialUnicodeMS"/>
    </font>
    <font>
      <b/>
      <i/>
      <sz val="18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0" fontId="22" fillId="0" borderId="0"/>
  </cellStyleXfs>
  <cellXfs count="116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8" fillId="0" borderId="20" xfId="0" applyFont="1" applyBorder="1" applyAlignment="1">
      <alignment vertical="center" wrapText="1"/>
    </xf>
    <xf numFmtId="0" fontId="20" fillId="2" borderId="13" xfId="0" applyFont="1" applyFill="1" applyBorder="1" applyAlignment="1">
      <alignment horizontal="left" vertical="center" wrapText="1"/>
    </xf>
    <xf numFmtId="0" fontId="20" fillId="2" borderId="14" xfId="0" applyFont="1" applyFill="1" applyBorder="1" applyAlignment="1">
      <alignment horizontal="left" vertical="center" wrapText="1"/>
    </xf>
    <xf numFmtId="0" fontId="21" fillId="0" borderId="20" xfId="0" applyFont="1" applyBorder="1" applyAlignment="1">
      <alignment vertical="center" wrapText="1"/>
    </xf>
    <xf numFmtId="0" fontId="7" fillId="2" borderId="32" xfId="0" applyFont="1" applyFill="1" applyBorder="1" applyAlignment="1" applyProtection="1">
      <alignment horizontal="center" vertical="center"/>
      <protection hidden="1"/>
    </xf>
    <xf numFmtId="164" fontId="23" fillId="0" borderId="41" xfId="2" applyNumberFormat="1" applyFont="1" applyBorder="1" applyAlignment="1" applyProtection="1">
      <alignment vertical="center" wrapText="1"/>
      <protection locked="0"/>
    </xf>
    <xf numFmtId="164" fontId="23" fillId="0" borderId="38" xfId="2" applyNumberFormat="1" applyFont="1" applyBorder="1" applyAlignment="1" applyProtection="1">
      <alignment vertical="center" wrapText="1"/>
      <protection locked="0"/>
    </xf>
    <xf numFmtId="164" fontId="23" fillId="0" borderId="36" xfId="2" applyNumberFormat="1" applyFont="1" applyBorder="1" applyAlignment="1" applyProtection="1">
      <alignment horizontal="center" vertical="center" wrapText="1"/>
      <protection locked="0"/>
    </xf>
    <xf numFmtId="0" fontId="24" fillId="2" borderId="14" xfId="0" applyFont="1" applyFill="1" applyBorder="1" applyAlignment="1">
      <alignment horizontal="left" vertical="center" wrapText="1"/>
    </xf>
    <xf numFmtId="164" fontId="23" fillId="0" borderId="20" xfId="2" applyNumberFormat="1" applyFont="1" applyBorder="1" applyAlignment="1" applyProtection="1">
      <alignment horizontal="center" vertical="center" wrapText="1"/>
      <protection locked="0"/>
    </xf>
    <xf numFmtId="0" fontId="9" fillId="2" borderId="20" xfId="0" applyFont="1" applyFill="1" applyBorder="1" applyAlignment="1" applyProtection="1">
      <alignment vertical="center"/>
      <protection locked="0"/>
    </xf>
    <xf numFmtId="0" fontId="19" fillId="2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 applyProtection="1">
      <alignment horizontal="left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Protection="1"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hidden="1"/>
    </xf>
    <xf numFmtId="0" fontId="6" fillId="2" borderId="20" xfId="0" applyFont="1" applyFill="1" applyBorder="1" applyProtection="1"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10" fillId="2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20" fillId="0" borderId="20" xfId="0" applyFont="1" applyBorder="1" applyAlignment="1">
      <alignment vertical="center" wrapText="1"/>
    </xf>
    <xf numFmtId="0" fontId="20" fillId="2" borderId="20" xfId="0" applyFont="1" applyFill="1" applyBorder="1" applyAlignment="1">
      <alignment vertical="center" wrapText="1"/>
    </xf>
    <xf numFmtId="0" fontId="7" fillId="2" borderId="42" xfId="0" applyFont="1" applyFill="1" applyBorder="1" applyAlignment="1" applyProtection="1">
      <alignment horizontal="center" vertical="center"/>
      <protection hidden="1"/>
    </xf>
    <xf numFmtId="0" fontId="6" fillId="2" borderId="42" xfId="0" applyFont="1" applyFill="1" applyBorder="1" applyProtection="1">
      <protection locked="0"/>
    </xf>
    <xf numFmtId="0" fontId="6" fillId="2" borderId="43" xfId="0" applyFont="1" applyFill="1" applyBorder="1" applyAlignment="1" applyProtection="1">
      <alignment vertical="center"/>
      <protection locked="0"/>
    </xf>
    <xf numFmtId="0" fontId="7" fillId="2" borderId="44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20" fillId="0" borderId="45" xfId="0" applyFont="1" applyBorder="1" applyAlignment="1">
      <alignment vertical="center" wrapText="1"/>
    </xf>
    <xf numFmtId="0" fontId="11" fillId="2" borderId="46" xfId="0" applyFont="1" applyFill="1" applyBorder="1" applyAlignment="1">
      <alignment horizontal="left" vertical="center" wrapText="1"/>
    </xf>
    <xf numFmtId="164" fontId="23" fillId="0" borderId="36" xfId="2" applyNumberFormat="1" applyFont="1" applyBorder="1" applyAlignment="1" applyProtection="1">
      <alignment horizontal="left" vertical="center" wrapText="1"/>
      <protection locked="0"/>
    </xf>
    <xf numFmtId="0" fontId="13" fillId="3" borderId="47" xfId="0" applyFont="1" applyFill="1" applyBorder="1" applyAlignment="1" applyProtection="1">
      <alignment horizontal="center" vertical="center"/>
      <protection locked="0"/>
    </xf>
    <xf numFmtId="0" fontId="13" fillId="3" borderId="48" xfId="0" applyFont="1" applyFill="1" applyBorder="1" applyAlignment="1" applyProtection="1">
      <alignment horizontal="center" vertical="center"/>
      <protection locked="0"/>
    </xf>
    <xf numFmtId="0" fontId="13" fillId="3" borderId="46" xfId="0" applyFont="1" applyFill="1" applyBorder="1" applyAlignment="1" applyProtection="1">
      <alignment horizontal="center" vertical="center"/>
      <protection locked="0"/>
    </xf>
    <xf numFmtId="0" fontId="14" fillId="3" borderId="26" xfId="0" applyFont="1" applyFill="1" applyBorder="1" applyAlignment="1" applyProtection="1">
      <alignment horizontal="center" vertical="center"/>
      <protection locked="0"/>
    </xf>
    <xf numFmtId="0" fontId="14" fillId="3" borderId="49" xfId="0" applyFont="1" applyFill="1" applyBorder="1" applyAlignment="1" applyProtection="1">
      <alignment horizontal="center" vertical="center"/>
      <protection locked="0"/>
    </xf>
    <xf numFmtId="0" fontId="13" fillId="3" borderId="50" xfId="0" applyFont="1" applyFill="1" applyBorder="1" applyAlignment="1" applyProtection="1">
      <alignment horizontal="center" vertical="center" wrapText="1"/>
      <protection locked="0"/>
    </xf>
    <xf numFmtId="164" fontId="23" fillId="0" borderId="20" xfId="2" applyNumberFormat="1" applyFont="1" applyBorder="1" applyAlignment="1" applyProtection="1">
      <alignment horizontal="left" vertical="center" wrapText="1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2" xfId="2"/>
    <cellStyle name="Normal 3" xfId="1"/>
  </cellStyles>
  <dxfs count="4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4129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1</xdr:col>
      <xdr:colOff>370416</xdr:colOff>
      <xdr:row>3</xdr:row>
      <xdr:rowOff>31750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807"/>
          <a:ext cx="391583" cy="350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19806</xdr:rowOff>
    </xdr:from>
    <xdr:to>
      <xdr:col>2</xdr:col>
      <xdr:colOff>23812</xdr:colOff>
      <xdr:row>3</xdr:row>
      <xdr:rowOff>35718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806"/>
          <a:ext cx="428625" cy="3492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19808</xdr:rowOff>
    </xdr:from>
    <xdr:to>
      <xdr:col>2</xdr:col>
      <xdr:colOff>539750</xdr:colOff>
      <xdr:row>3</xdr:row>
      <xdr:rowOff>57151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8"/>
          <a:ext cx="939800" cy="8279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19808</xdr:rowOff>
    </xdr:from>
    <xdr:to>
      <xdr:col>2</xdr:col>
      <xdr:colOff>539750</xdr:colOff>
      <xdr:row>3</xdr:row>
      <xdr:rowOff>57151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8"/>
          <a:ext cx="939800" cy="8279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4"/>
  <sheetViews>
    <sheetView view="pageBreakPreview" zoomScaleNormal="55" zoomScaleSheetLayoutView="100" zoomScalePageLayoutView="70" workbookViewId="0">
      <selection activeCell="G3" sqref="G3"/>
    </sheetView>
  </sheetViews>
  <sheetFormatPr baseColWidth="10" defaultColWidth="11.42578125" defaultRowHeight="1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54"/>
    </row>
    <row r="4" spans="2:7" ht="24" thickBot="1">
      <c r="B4" s="14"/>
      <c r="C4" s="15" t="s">
        <v>39</v>
      </c>
      <c r="D4" s="98" t="s">
        <v>40</v>
      </c>
      <c r="E4" s="99"/>
      <c r="F4" s="99"/>
      <c r="G4" s="32" t="s">
        <v>55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48" t="s">
        <v>43</v>
      </c>
      <c r="D8" s="21"/>
      <c r="E8" s="19"/>
      <c r="F8" s="20"/>
      <c r="G8" s="33"/>
    </row>
    <row r="9" spans="2:7" s="4" customFormat="1" ht="18.75">
      <c r="B9" s="6">
        <f>B8+1</f>
        <v>2</v>
      </c>
      <c r="C9" s="49" t="s">
        <v>49</v>
      </c>
      <c r="D9" s="21"/>
      <c r="E9" s="19"/>
      <c r="F9" s="20"/>
      <c r="G9" s="33"/>
    </row>
    <row r="10" spans="2:7" s="4" customFormat="1" ht="18.75">
      <c r="B10" s="37">
        <f>+B9+1</f>
        <v>3</v>
      </c>
      <c r="C10" s="49" t="s">
        <v>50</v>
      </c>
      <c r="D10" s="21"/>
      <c r="E10" s="19"/>
      <c r="F10" s="20"/>
      <c r="G10" s="33"/>
    </row>
    <row r="11" spans="2:7" s="4" customFormat="1" ht="18.75">
      <c r="B11" s="6">
        <f t="shared" ref="B11" si="0">B10+1</f>
        <v>4</v>
      </c>
      <c r="C11" s="49" t="s">
        <v>52</v>
      </c>
      <c r="D11" s="21"/>
      <c r="E11" s="19"/>
      <c r="F11" s="20"/>
      <c r="G11" s="33"/>
    </row>
    <row r="12" spans="2:7" s="4" customFormat="1" ht="18.75">
      <c r="B12" s="37">
        <f t="shared" ref="B12" si="1">+B11+1</f>
        <v>5</v>
      </c>
      <c r="C12" s="49" t="s">
        <v>45</v>
      </c>
      <c r="D12" s="21"/>
      <c r="E12" s="19"/>
      <c r="F12" s="20"/>
      <c r="G12" s="33"/>
    </row>
    <row r="13" spans="2:7" s="4" customFormat="1" ht="18.75">
      <c r="B13" s="6">
        <f t="shared" ref="B13:B18" si="2">B12+1</f>
        <v>6</v>
      </c>
      <c r="C13" s="49" t="s">
        <v>44</v>
      </c>
      <c r="D13" s="21"/>
      <c r="E13" s="19"/>
      <c r="F13" s="20"/>
      <c r="G13" s="33"/>
    </row>
    <row r="14" spans="2:7" s="4" customFormat="1" ht="18.75">
      <c r="B14" s="6">
        <f t="shared" si="2"/>
        <v>7</v>
      </c>
      <c r="C14" s="49" t="s">
        <v>46</v>
      </c>
      <c r="D14" s="21"/>
      <c r="E14" s="19"/>
      <c r="F14" s="20"/>
      <c r="G14" s="33"/>
    </row>
    <row r="15" spans="2:7" s="4" customFormat="1" ht="18.75">
      <c r="B15" s="6">
        <f t="shared" si="2"/>
        <v>8</v>
      </c>
      <c r="C15" s="49" t="s">
        <v>48</v>
      </c>
      <c r="D15" s="21"/>
      <c r="E15" s="19"/>
      <c r="F15" s="20"/>
      <c r="G15" s="33"/>
    </row>
    <row r="16" spans="2:7" s="4" customFormat="1" ht="18.75">
      <c r="B16" s="6">
        <f t="shared" si="2"/>
        <v>9</v>
      </c>
      <c r="C16" s="49" t="s">
        <v>47</v>
      </c>
      <c r="D16" s="21"/>
      <c r="E16" s="19"/>
      <c r="F16" s="20"/>
      <c r="G16" s="33"/>
    </row>
    <row r="17" spans="2:7" s="4" customFormat="1" ht="18.75">
      <c r="B17" s="6">
        <f t="shared" si="2"/>
        <v>10</v>
      </c>
      <c r="C17" s="55" t="s">
        <v>53</v>
      </c>
      <c r="D17" s="21"/>
      <c r="E17" s="19"/>
      <c r="F17" s="20"/>
      <c r="G17" s="33"/>
    </row>
    <row r="18" spans="2:7" s="4" customFormat="1" ht="19.5" thickBot="1">
      <c r="B18" s="6">
        <f t="shared" si="2"/>
        <v>11</v>
      </c>
      <c r="C18" s="49" t="s">
        <v>51</v>
      </c>
      <c r="D18" s="21"/>
      <c r="E18" s="19"/>
      <c r="F18" s="20"/>
      <c r="G18" s="33"/>
    </row>
    <row r="19" spans="2:7" s="12" customFormat="1" ht="18.75" thickBot="1">
      <c r="B19" s="102" t="s">
        <v>13</v>
      </c>
      <c r="C19" s="103"/>
      <c r="D19" s="104" t="s">
        <v>7</v>
      </c>
      <c r="E19" s="105"/>
      <c r="F19" s="106"/>
      <c r="G19" s="24" t="s">
        <v>8</v>
      </c>
    </row>
    <row r="20" spans="2:7">
      <c r="B20" s="107"/>
      <c r="C20" s="108"/>
      <c r="D20" s="108"/>
      <c r="E20" s="108"/>
      <c r="F20" s="108"/>
      <c r="G20" s="92"/>
    </row>
    <row r="21" spans="2:7">
      <c r="B21" s="109"/>
      <c r="C21" s="110"/>
      <c r="D21" s="110"/>
      <c r="E21" s="110"/>
      <c r="F21" s="110"/>
      <c r="G21" s="93"/>
    </row>
    <row r="22" spans="2:7">
      <c r="B22" s="109"/>
      <c r="C22" s="110"/>
      <c r="D22" s="110"/>
      <c r="E22" s="110"/>
      <c r="F22" s="110"/>
      <c r="G22" s="93"/>
    </row>
    <row r="23" spans="2:7">
      <c r="B23" s="109"/>
      <c r="C23" s="110"/>
      <c r="D23" s="110"/>
      <c r="E23" s="110"/>
      <c r="F23" s="110"/>
      <c r="G23" s="93"/>
    </row>
    <row r="24" spans="2:7" ht="15.75" thickBot="1">
      <c r="B24" s="111"/>
      <c r="C24" s="112"/>
      <c r="D24" s="112"/>
      <c r="E24" s="112"/>
      <c r="F24" s="112"/>
      <c r="G24" s="94"/>
    </row>
  </sheetData>
  <sheetProtection selectLockedCells="1"/>
  <mergeCells count="8">
    <mergeCell ref="G20:G24"/>
    <mergeCell ref="B3:F3"/>
    <mergeCell ref="D4:F4"/>
    <mergeCell ref="E6:F6"/>
    <mergeCell ref="B19:C19"/>
    <mergeCell ref="D19:F19"/>
    <mergeCell ref="B20:C24"/>
    <mergeCell ref="D20:F24"/>
  </mergeCells>
  <conditionalFormatting sqref="D8:D18">
    <cfRule type="cellIs" dxfId="41" priority="1" operator="equal">
      <formula>3</formula>
    </cfRule>
    <cfRule type="cellIs" dxfId="4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0"/>
  <sheetViews>
    <sheetView view="pageBreakPreview" zoomScale="80" zoomScaleNormal="55" zoomScaleSheetLayoutView="80" zoomScalePageLayoutView="70" workbookViewId="0">
      <selection activeCell="C8" sqref="C8:C14"/>
    </sheetView>
  </sheetViews>
  <sheetFormatPr baseColWidth="10" defaultColWidth="11.42578125" defaultRowHeight="1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82" t="s">
        <v>74</v>
      </c>
    </row>
    <row r="4" spans="2:7" ht="24" thickBot="1">
      <c r="B4" s="14"/>
      <c r="C4" s="15" t="s">
        <v>69</v>
      </c>
      <c r="D4" s="98" t="s">
        <v>40</v>
      </c>
      <c r="E4" s="99"/>
      <c r="F4" s="99"/>
      <c r="G4" s="32" t="s">
        <v>55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16.5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37">
        <v>1</v>
      </c>
      <c r="C8" s="73" t="s">
        <v>64</v>
      </c>
      <c r="D8" s="21"/>
      <c r="E8" s="19"/>
      <c r="F8" s="20"/>
      <c r="G8" s="33"/>
    </row>
    <row r="9" spans="2:7" s="4" customFormat="1" ht="18.75">
      <c r="B9" s="6">
        <v>2</v>
      </c>
      <c r="C9" s="73" t="s">
        <v>65</v>
      </c>
      <c r="D9" s="21"/>
      <c r="E9" s="19"/>
      <c r="F9" s="20"/>
      <c r="G9" s="33"/>
    </row>
    <row r="10" spans="2:7" s="4" customFormat="1" ht="18.75">
      <c r="B10" s="37">
        <v>3</v>
      </c>
      <c r="C10" s="73" t="s">
        <v>81</v>
      </c>
      <c r="D10" s="21"/>
      <c r="E10" s="19"/>
      <c r="F10" s="20"/>
      <c r="G10" s="33"/>
    </row>
    <row r="11" spans="2:7" s="4" customFormat="1" ht="18.75">
      <c r="B11" s="6">
        <v>4</v>
      </c>
      <c r="C11" s="73" t="s">
        <v>66</v>
      </c>
      <c r="D11" s="21"/>
      <c r="E11" s="19"/>
      <c r="F11" s="20"/>
      <c r="G11" s="33"/>
    </row>
    <row r="12" spans="2:7" s="4" customFormat="1" ht="18.75">
      <c r="B12" s="37">
        <v>5</v>
      </c>
      <c r="C12" s="47" t="s">
        <v>77</v>
      </c>
      <c r="D12" s="21"/>
      <c r="E12" s="19"/>
      <c r="F12" s="20"/>
      <c r="G12" s="33"/>
    </row>
    <row r="13" spans="2:7" s="4" customFormat="1" ht="18.75">
      <c r="B13" s="6">
        <v>6</v>
      </c>
      <c r="C13" s="73" t="s">
        <v>79</v>
      </c>
      <c r="D13" s="21"/>
      <c r="E13" s="19"/>
      <c r="F13" s="20"/>
      <c r="G13" s="33"/>
    </row>
    <row r="14" spans="2:7" s="4" customFormat="1" ht="19.5" thickBot="1">
      <c r="B14" s="37">
        <v>7</v>
      </c>
      <c r="C14" s="73" t="s">
        <v>82</v>
      </c>
      <c r="D14" s="21"/>
      <c r="E14" s="19"/>
      <c r="F14" s="20"/>
      <c r="G14" s="33"/>
    </row>
    <row r="15" spans="2:7" s="12" customFormat="1" ht="18.75" thickBot="1">
      <c r="B15" s="102" t="s">
        <v>13</v>
      </c>
      <c r="C15" s="103"/>
      <c r="D15" s="104" t="s">
        <v>7</v>
      </c>
      <c r="E15" s="105"/>
      <c r="F15" s="106"/>
      <c r="G15" s="24" t="s">
        <v>8</v>
      </c>
    </row>
    <row r="16" spans="2:7">
      <c r="B16" s="107"/>
      <c r="C16" s="108"/>
      <c r="D16" s="108"/>
      <c r="E16" s="108"/>
      <c r="F16" s="108"/>
      <c r="G16" s="92"/>
    </row>
    <row r="17" spans="2:7">
      <c r="B17" s="109"/>
      <c r="C17" s="110"/>
      <c r="D17" s="110"/>
      <c r="E17" s="110"/>
      <c r="F17" s="110"/>
      <c r="G17" s="93"/>
    </row>
    <row r="18" spans="2:7">
      <c r="B18" s="109"/>
      <c r="C18" s="110"/>
      <c r="D18" s="110"/>
      <c r="E18" s="110"/>
      <c r="F18" s="110"/>
      <c r="G18" s="93"/>
    </row>
    <row r="19" spans="2:7">
      <c r="B19" s="109"/>
      <c r="C19" s="110"/>
      <c r="D19" s="110"/>
      <c r="E19" s="110"/>
      <c r="F19" s="110"/>
      <c r="G19" s="93"/>
    </row>
    <row r="20" spans="2:7" ht="15.75" thickBot="1">
      <c r="B20" s="111"/>
      <c r="C20" s="112"/>
      <c r="D20" s="112"/>
      <c r="E20" s="112"/>
      <c r="F20" s="112"/>
      <c r="G20" s="94"/>
    </row>
  </sheetData>
  <sheetProtection selectLockedCells="1"/>
  <mergeCells count="8">
    <mergeCell ref="B16:C20"/>
    <mergeCell ref="D16:F20"/>
    <mergeCell ref="G16:G20"/>
    <mergeCell ref="E6:F6"/>
    <mergeCell ref="B3:F3"/>
    <mergeCell ref="D4:F4"/>
    <mergeCell ref="B15:C15"/>
    <mergeCell ref="D15:F15"/>
  </mergeCells>
  <conditionalFormatting sqref="D8:D14">
    <cfRule type="cellIs" dxfId="39" priority="3" operator="equal">
      <formula>3</formula>
    </cfRule>
    <cfRule type="cellIs" dxfId="38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8"/>
  <sheetViews>
    <sheetView view="pageBreakPreview" zoomScale="80" zoomScaleNormal="55" zoomScaleSheetLayoutView="80" zoomScalePageLayoutView="70" workbookViewId="0">
      <selection activeCell="C8" sqref="C8:C11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82" t="s">
        <v>74</v>
      </c>
    </row>
    <row r="4" spans="2:7" ht="24" thickBot="1">
      <c r="B4" s="14"/>
      <c r="C4" s="15" t="s">
        <v>16</v>
      </c>
      <c r="D4" s="98" t="s">
        <v>40</v>
      </c>
      <c r="E4" s="99"/>
      <c r="F4" s="99"/>
      <c r="G4" s="32" t="s">
        <v>55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1.5">
      <c r="B8" s="5">
        <v>1</v>
      </c>
      <c r="C8" s="74" t="s">
        <v>67</v>
      </c>
      <c r="D8" s="21"/>
      <c r="E8" s="19"/>
      <c r="F8" s="20"/>
      <c r="G8" s="33"/>
    </row>
    <row r="9" spans="2:7" s="4" customFormat="1" ht="31.5">
      <c r="B9" s="6">
        <f>B8+1</f>
        <v>2</v>
      </c>
      <c r="C9" s="73" t="s">
        <v>70</v>
      </c>
      <c r="D9" s="21"/>
      <c r="E9" s="19"/>
      <c r="F9" s="20"/>
      <c r="G9" s="33"/>
    </row>
    <row r="10" spans="2:7" s="4" customFormat="1" ht="33" customHeight="1">
      <c r="B10" s="37">
        <f>+B9+1</f>
        <v>3</v>
      </c>
      <c r="C10" s="73" t="s">
        <v>54</v>
      </c>
      <c r="D10" s="21"/>
      <c r="E10" s="19"/>
      <c r="F10" s="20"/>
      <c r="G10" s="33"/>
    </row>
    <row r="11" spans="2:7" s="4" customFormat="1" ht="18.75">
      <c r="B11" s="37">
        <f t="shared" ref="B11:B12" si="0">+B10+1</f>
        <v>4</v>
      </c>
      <c r="C11" s="47" t="s">
        <v>77</v>
      </c>
      <c r="D11" s="21"/>
      <c r="E11" s="19"/>
      <c r="F11" s="20"/>
      <c r="G11" s="33"/>
    </row>
    <row r="12" spans="2:7" s="4" customFormat="1" ht="19.5" thickBot="1">
      <c r="B12" s="37">
        <f t="shared" si="0"/>
        <v>5</v>
      </c>
      <c r="C12" s="47"/>
      <c r="D12" s="21"/>
      <c r="E12" s="19"/>
      <c r="F12" s="20"/>
      <c r="G12" s="33"/>
    </row>
    <row r="13" spans="2:7" ht="18.75" thickBot="1">
      <c r="B13" s="102" t="s">
        <v>13</v>
      </c>
      <c r="C13" s="103"/>
      <c r="D13" s="104" t="s">
        <v>7</v>
      </c>
      <c r="E13" s="105"/>
      <c r="F13" s="106"/>
      <c r="G13" s="24" t="s">
        <v>8</v>
      </c>
    </row>
    <row r="14" spans="2:7">
      <c r="B14" s="107"/>
      <c r="C14" s="108"/>
      <c r="D14" s="108"/>
      <c r="E14" s="108"/>
      <c r="F14" s="108"/>
      <c r="G14" s="92"/>
    </row>
    <row r="15" spans="2:7">
      <c r="B15" s="109"/>
      <c r="C15" s="110"/>
      <c r="D15" s="110"/>
      <c r="E15" s="110"/>
      <c r="F15" s="110"/>
      <c r="G15" s="93"/>
    </row>
    <row r="16" spans="2:7">
      <c r="B16" s="109"/>
      <c r="C16" s="110"/>
      <c r="D16" s="110"/>
      <c r="E16" s="110"/>
      <c r="F16" s="110"/>
      <c r="G16" s="93"/>
    </row>
    <row r="17" spans="2:7">
      <c r="B17" s="109"/>
      <c r="C17" s="110"/>
      <c r="D17" s="110"/>
      <c r="E17" s="110"/>
      <c r="F17" s="110"/>
      <c r="G17" s="93"/>
    </row>
    <row r="18" spans="2:7" ht="15.75" thickBot="1">
      <c r="B18" s="111"/>
      <c r="C18" s="112"/>
      <c r="D18" s="112"/>
      <c r="E18" s="112"/>
      <c r="F18" s="112"/>
      <c r="G18" s="94"/>
    </row>
  </sheetData>
  <sheetProtection selectLockedCells="1"/>
  <mergeCells count="8">
    <mergeCell ref="G14:G18"/>
    <mergeCell ref="B3:F3"/>
    <mergeCell ref="D4:F4"/>
    <mergeCell ref="E6:F6"/>
    <mergeCell ref="B13:C13"/>
    <mergeCell ref="D13:F13"/>
    <mergeCell ref="B14:C18"/>
    <mergeCell ref="D14:F18"/>
  </mergeCells>
  <conditionalFormatting sqref="D8:D12">
    <cfRule type="cellIs" dxfId="37" priority="1" operator="equal">
      <formula>3</formula>
    </cfRule>
    <cfRule type="cellIs" dxfId="36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3:G16"/>
  <sheetViews>
    <sheetView zoomScale="90" zoomScaleNormal="90" zoomScalePageLayoutView="80" workbookViewId="0">
      <selection activeCell="C8" sqref="C8:C9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3" spans="2:7" ht="26.25">
      <c r="B3" s="113" t="s">
        <v>11</v>
      </c>
      <c r="C3" s="113"/>
      <c r="D3" s="113"/>
      <c r="E3" s="113"/>
      <c r="F3" s="113"/>
      <c r="G3" s="82" t="s">
        <v>74</v>
      </c>
    </row>
    <row r="4" spans="2:7" ht="23.25">
      <c r="B4" s="57"/>
      <c r="C4" s="71" t="s">
        <v>41</v>
      </c>
      <c r="D4" s="114" t="s">
        <v>40</v>
      </c>
      <c r="E4" s="114"/>
      <c r="F4" s="114"/>
      <c r="G4" s="56" t="s">
        <v>55</v>
      </c>
    </row>
    <row r="5" spans="2:7">
      <c r="B5" s="60"/>
      <c r="C5" s="60"/>
      <c r="D5" s="61"/>
      <c r="E5" s="61"/>
      <c r="F5" s="61"/>
      <c r="G5" s="61"/>
    </row>
    <row r="6" spans="2:7" ht="18">
      <c r="B6" s="62"/>
      <c r="C6" s="62"/>
      <c r="D6" s="62"/>
      <c r="E6" s="115" t="s">
        <v>0</v>
      </c>
      <c r="F6" s="115"/>
      <c r="G6" s="62"/>
    </row>
    <row r="7" spans="2:7" s="4" customFormat="1" ht="15.75">
      <c r="B7" s="63" t="s">
        <v>1</v>
      </c>
      <c r="C7" s="63" t="s">
        <v>2</v>
      </c>
      <c r="D7" s="63" t="s">
        <v>3</v>
      </c>
      <c r="E7" s="64" t="s">
        <v>4</v>
      </c>
      <c r="F7" s="64" t="s">
        <v>5</v>
      </c>
      <c r="G7" s="65" t="s">
        <v>6</v>
      </c>
    </row>
    <row r="8" spans="2:7" s="4" customFormat="1" ht="18.75">
      <c r="B8" s="66">
        <v>1</v>
      </c>
      <c r="C8" s="47" t="s">
        <v>68</v>
      </c>
      <c r="D8" s="67"/>
      <c r="E8" s="68"/>
      <c r="F8" s="69"/>
      <c r="G8" s="70"/>
    </row>
    <row r="9" spans="2:7" s="4" customFormat="1" ht="18.75">
      <c r="B9" s="6">
        <f>B8+1</f>
        <v>2</v>
      </c>
      <c r="C9" s="47" t="s">
        <v>77</v>
      </c>
      <c r="D9" s="21"/>
      <c r="E9" s="19"/>
      <c r="F9" s="20"/>
      <c r="G9" s="33"/>
    </row>
    <row r="10" spans="2:7" s="4" customFormat="1" ht="19.5" thickBot="1">
      <c r="B10" s="37">
        <f>+B9+1</f>
        <v>3</v>
      </c>
      <c r="C10" s="47"/>
      <c r="D10" s="21"/>
      <c r="E10" s="19"/>
      <c r="F10" s="20"/>
      <c r="G10" s="33"/>
    </row>
    <row r="11" spans="2:7" ht="18.75" thickBot="1">
      <c r="B11" s="102" t="s">
        <v>13</v>
      </c>
      <c r="C11" s="103"/>
      <c r="D11" s="104" t="s">
        <v>7</v>
      </c>
      <c r="E11" s="105"/>
      <c r="F11" s="106"/>
      <c r="G11" s="24" t="s">
        <v>8</v>
      </c>
    </row>
    <row r="12" spans="2:7">
      <c r="B12" s="107"/>
      <c r="C12" s="108"/>
      <c r="D12" s="108"/>
      <c r="E12" s="108"/>
      <c r="F12" s="108"/>
      <c r="G12" s="92"/>
    </row>
    <row r="13" spans="2:7">
      <c r="B13" s="109"/>
      <c r="C13" s="110"/>
      <c r="D13" s="110"/>
      <c r="E13" s="110"/>
      <c r="F13" s="110"/>
      <c r="G13" s="93"/>
    </row>
    <row r="14" spans="2:7">
      <c r="B14" s="109"/>
      <c r="C14" s="110"/>
      <c r="D14" s="110"/>
      <c r="E14" s="110"/>
      <c r="F14" s="110"/>
      <c r="G14" s="93"/>
    </row>
    <row r="15" spans="2:7">
      <c r="B15" s="109"/>
      <c r="C15" s="110"/>
      <c r="D15" s="110"/>
      <c r="E15" s="110"/>
      <c r="F15" s="110"/>
      <c r="G15" s="93"/>
    </row>
    <row r="16" spans="2:7" ht="15.75" thickBot="1">
      <c r="B16" s="111"/>
      <c r="C16" s="112"/>
      <c r="D16" s="112"/>
      <c r="E16" s="112"/>
      <c r="F16" s="112"/>
      <c r="G16" s="94"/>
    </row>
  </sheetData>
  <mergeCells count="8">
    <mergeCell ref="G12:G16"/>
    <mergeCell ref="B3:F3"/>
    <mergeCell ref="D4:F4"/>
    <mergeCell ref="E6:F6"/>
    <mergeCell ref="B11:C11"/>
    <mergeCell ref="D11:F11"/>
    <mergeCell ref="B12:C16"/>
    <mergeCell ref="D12:F16"/>
  </mergeCells>
  <conditionalFormatting sqref="D8:D10">
    <cfRule type="cellIs" dxfId="35" priority="1" operator="equal">
      <formula>3</formula>
    </cfRule>
    <cfRule type="cellIs" dxfId="34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3:G15"/>
  <sheetViews>
    <sheetView view="pageLayout" topLeftCell="B4" zoomScaleNormal="80" workbookViewId="0">
      <selection activeCell="C7" sqref="C7:C8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3" spans="2:7" ht="26.25">
      <c r="B3" s="113" t="s">
        <v>11</v>
      </c>
      <c r="C3" s="113"/>
      <c r="D3" s="113"/>
      <c r="E3" s="113"/>
      <c r="F3" s="113"/>
      <c r="G3" s="82" t="s">
        <v>74</v>
      </c>
    </row>
    <row r="4" spans="2:7" ht="23.25">
      <c r="B4" s="57"/>
      <c r="C4" s="58" t="s">
        <v>42</v>
      </c>
      <c r="D4" s="114" t="s">
        <v>40</v>
      </c>
      <c r="E4" s="114"/>
      <c r="F4" s="114"/>
      <c r="G4" s="59" t="s">
        <v>55</v>
      </c>
    </row>
    <row r="5" spans="2:7" ht="18">
      <c r="B5" s="62"/>
      <c r="C5" s="62"/>
      <c r="D5" s="62"/>
      <c r="E5" s="115" t="s">
        <v>0</v>
      </c>
      <c r="F5" s="115"/>
      <c r="G5" s="62"/>
    </row>
    <row r="6" spans="2:7" s="4" customFormat="1" ht="15.75">
      <c r="B6" s="63" t="s">
        <v>1</v>
      </c>
      <c r="C6" s="63" t="s">
        <v>2</v>
      </c>
      <c r="D6" s="63" t="s">
        <v>3</v>
      </c>
      <c r="E6" s="64" t="s">
        <v>4</v>
      </c>
      <c r="F6" s="64" t="s">
        <v>5</v>
      </c>
      <c r="G6" s="65" t="s">
        <v>6</v>
      </c>
    </row>
    <row r="7" spans="2:7" s="4" customFormat="1" ht="18.75">
      <c r="B7" s="66">
        <v>1</v>
      </c>
      <c r="C7" s="47" t="s">
        <v>68</v>
      </c>
      <c r="D7" s="67"/>
      <c r="E7" s="68"/>
      <c r="F7" s="69"/>
      <c r="G7" s="70"/>
    </row>
    <row r="8" spans="2:7" s="4" customFormat="1" ht="18.75">
      <c r="B8" s="6">
        <f>B7+1</f>
        <v>2</v>
      </c>
      <c r="C8" s="47" t="s">
        <v>77</v>
      </c>
      <c r="D8" s="21"/>
      <c r="E8" s="19"/>
      <c r="F8" s="20"/>
      <c r="G8" s="33"/>
    </row>
    <row r="9" spans="2:7" s="4" customFormat="1" ht="19.5" thickBot="1">
      <c r="B9" s="37">
        <f>+B8+1</f>
        <v>3</v>
      </c>
      <c r="C9" s="47"/>
      <c r="D9" s="21"/>
      <c r="E9" s="19"/>
      <c r="F9" s="20"/>
      <c r="G9" s="33"/>
    </row>
    <row r="10" spans="2:7" ht="18.75" thickBot="1">
      <c r="B10" s="102" t="s">
        <v>13</v>
      </c>
      <c r="C10" s="103"/>
      <c r="D10" s="104" t="s">
        <v>7</v>
      </c>
      <c r="E10" s="105"/>
      <c r="F10" s="106"/>
      <c r="G10" s="24" t="s">
        <v>8</v>
      </c>
    </row>
    <row r="11" spans="2:7">
      <c r="B11" s="107"/>
      <c r="C11" s="108"/>
      <c r="D11" s="108"/>
      <c r="E11" s="108"/>
      <c r="F11" s="108"/>
      <c r="G11" s="92"/>
    </row>
    <row r="12" spans="2:7">
      <c r="B12" s="109"/>
      <c r="C12" s="110"/>
      <c r="D12" s="110"/>
      <c r="E12" s="110"/>
      <c r="F12" s="110"/>
      <c r="G12" s="93"/>
    </row>
    <row r="13" spans="2:7">
      <c r="B13" s="109"/>
      <c r="C13" s="110"/>
      <c r="D13" s="110"/>
      <c r="E13" s="110"/>
      <c r="F13" s="110"/>
      <c r="G13" s="93"/>
    </row>
    <row r="14" spans="2:7">
      <c r="B14" s="109"/>
      <c r="C14" s="110"/>
      <c r="D14" s="110"/>
      <c r="E14" s="110"/>
      <c r="F14" s="110"/>
      <c r="G14" s="93"/>
    </row>
    <row r="15" spans="2:7" ht="15.75" thickBot="1">
      <c r="B15" s="111"/>
      <c r="C15" s="112"/>
      <c r="D15" s="112"/>
      <c r="E15" s="112"/>
      <c r="F15" s="112"/>
      <c r="G15" s="94"/>
    </row>
  </sheetData>
  <mergeCells count="8">
    <mergeCell ref="G11:G15"/>
    <mergeCell ref="B3:F3"/>
    <mergeCell ref="D4:F4"/>
    <mergeCell ref="E5:F5"/>
    <mergeCell ref="B10:C10"/>
    <mergeCell ref="D10:F10"/>
    <mergeCell ref="B11:C15"/>
    <mergeCell ref="D11:F15"/>
  </mergeCells>
  <conditionalFormatting sqref="D7:D9">
    <cfRule type="cellIs" dxfId="33" priority="1" operator="equal">
      <formula>3</formula>
    </cfRule>
    <cfRule type="cellIs" dxfId="32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1"/>
  <sheetViews>
    <sheetView tabSelected="1" view="pageBreakPreview" zoomScale="90" zoomScaleNormal="55" zoomScaleSheetLayoutView="90" zoomScalePageLayoutView="70" workbookViewId="0">
      <selection activeCell="D13" sqref="D13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82" t="s">
        <v>74</v>
      </c>
    </row>
    <row r="4" spans="2:7" ht="24" thickBot="1">
      <c r="B4" s="14"/>
      <c r="C4" s="15" t="s">
        <v>71</v>
      </c>
      <c r="D4" s="98" t="s">
        <v>40</v>
      </c>
      <c r="E4" s="99"/>
      <c r="F4" s="99"/>
      <c r="G4" s="32" t="s">
        <v>55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1.5">
      <c r="B8" s="5">
        <v>1</v>
      </c>
      <c r="C8" s="73" t="s">
        <v>62</v>
      </c>
      <c r="D8" s="21" t="s">
        <v>91</v>
      </c>
      <c r="E8" s="19"/>
      <c r="F8" s="20"/>
      <c r="G8" s="33"/>
    </row>
    <row r="9" spans="2:7" s="4" customFormat="1" ht="18.75">
      <c r="B9" s="37">
        <v>2</v>
      </c>
      <c r="C9" s="73" t="s">
        <v>61</v>
      </c>
      <c r="D9" s="21" t="s">
        <v>90</v>
      </c>
      <c r="E9" s="19"/>
      <c r="F9" s="20"/>
      <c r="G9" s="33"/>
    </row>
    <row r="10" spans="2:7" s="4" customFormat="1" ht="31.5">
      <c r="B10" s="6">
        <v>3</v>
      </c>
      <c r="C10" s="73" t="s">
        <v>63</v>
      </c>
      <c r="D10" s="21" t="s">
        <v>92</v>
      </c>
      <c r="E10" s="19"/>
      <c r="F10" s="20"/>
      <c r="G10" s="33"/>
    </row>
    <row r="11" spans="2:7" s="4" customFormat="1" ht="19.5" thickBot="1">
      <c r="B11" s="37">
        <v>4</v>
      </c>
      <c r="C11" s="73" t="s">
        <v>56</v>
      </c>
      <c r="D11" s="21" t="s">
        <v>86</v>
      </c>
      <c r="E11" s="19"/>
      <c r="F11" s="20"/>
      <c r="G11" s="33"/>
    </row>
    <row r="12" spans="2:7" s="4" customFormat="1" ht="31.5">
      <c r="B12" s="5">
        <v>5</v>
      </c>
      <c r="C12" s="73" t="s">
        <v>57</v>
      </c>
      <c r="D12" s="21" t="s">
        <v>93</v>
      </c>
      <c r="E12" s="19"/>
      <c r="F12" s="20"/>
      <c r="G12" s="33"/>
    </row>
    <row r="13" spans="2:7" s="4" customFormat="1" ht="18.75">
      <c r="B13" s="37">
        <v>6</v>
      </c>
      <c r="C13" s="73" t="s">
        <v>60</v>
      </c>
      <c r="D13" s="21" t="s">
        <v>87</v>
      </c>
      <c r="E13" s="19"/>
      <c r="F13" s="20"/>
      <c r="G13" s="33"/>
    </row>
    <row r="14" spans="2:7" s="4" customFormat="1" ht="18.75">
      <c r="B14" s="6">
        <v>7</v>
      </c>
      <c r="C14" s="47" t="s">
        <v>76</v>
      </c>
      <c r="D14" s="21" t="s">
        <v>90</v>
      </c>
      <c r="E14" s="19"/>
      <c r="F14" s="20"/>
      <c r="G14" s="33"/>
    </row>
    <row r="15" spans="2:7" s="4" customFormat="1" ht="19.5" thickBot="1">
      <c r="B15" s="37">
        <v>8</v>
      </c>
      <c r="C15" s="47" t="s">
        <v>77</v>
      </c>
      <c r="D15" s="21" t="s">
        <v>87</v>
      </c>
      <c r="E15" s="19"/>
      <c r="F15" s="20"/>
      <c r="G15" s="33"/>
    </row>
    <row r="16" spans="2:7" ht="18.75" thickBot="1">
      <c r="B16" s="102" t="s">
        <v>13</v>
      </c>
      <c r="C16" s="103"/>
      <c r="D16" s="104" t="s">
        <v>7</v>
      </c>
      <c r="E16" s="105"/>
      <c r="F16" s="106"/>
      <c r="G16" s="24" t="s">
        <v>8</v>
      </c>
    </row>
    <row r="17" spans="2:7">
      <c r="B17" s="107"/>
      <c r="C17" s="108"/>
      <c r="D17" s="108"/>
      <c r="E17" s="108"/>
      <c r="F17" s="108"/>
      <c r="G17" s="92"/>
    </row>
    <row r="18" spans="2:7">
      <c r="B18" s="109"/>
      <c r="C18" s="110"/>
      <c r="D18" s="110"/>
      <c r="E18" s="110"/>
      <c r="F18" s="110"/>
      <c r="G18" s="93"/>
    </row>
    <row r="19" spans="2:7">
      <c r="B19" s="109"/>
      <c r="C19" s="110"/>
      <c r="D19" s="110"/>
      <c r="E19" s="110"/>
      <c r="F19" s="110"/>
      <c r="G19" s="93"/>
    </row>
    <row r="20" spans="2:7">
      <c r="B20" s="109"/>
      <c r="C20" s="110"/>
      <c r="D20" s="110"/>
      <c r="E20" s="110"/>
      <c r="F20" s="110"/>
      <c r="G20" s="93"/>
    </row>
    <row r="21" spans="2:7" ht="15.75" thickBot="1">
      <c r="B21" s="111"/>
      <c r="C21" s="112"/>
      <c r="D21" s="112"/>
      <c r="E21" s="112"/>
      <c r="F21" s="112"/>
      <c r="G21" s="94"/>
    </row>
  </sheetData>
  <sheetProtection selectLockedCells="1"/>
  <mergeCells count="8">
    <mergeCell ref="B17:C21"/>
    <mergeCell ref="D17:F21"/>
    <mergeCell ref="G17:G21"/>
    <mergeCell ref="B3:F3"/>
    <mergeCell ref="D4:F4"/>
    <mergeCell ref="E6:F6"/>
    <mergeCell ref="B16:C16"/>
    <mergeCell ref="D16:F16"/>
  </mergeCells>
  <conditionalFormatting sqref="D8:D15">
    <cfRule type="cellIs" dxfId="31" priority="3" operator="equal">
      <formula>3</formula>
    </cfRule>
    <cfRule type="cellIs" dxfId="30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I17"/>
  <sheetViews>
    <sheetView view="pageBreakPreview" topLeftCell="A2" zoomScaleNormal="55" zoomScaleSheetLayoutView="100" zoomScalePageLayoutView="70" workbookViewId="0">
      <selection activeCell="C8" sqref="C8:C10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9" ht="1.5" customHeight="1"/>
    <row r="2" spans="2:9" ht="1.5" customHeight="1" thickBot="1"/>
    <row r="3" spans="2:9" ht="62.25" customHeight="1" thickBot="1">
      <c r="B3" s="95" t="s">
        <v>11</v>
      </c>
      <c r="C3" s="96"/>
      <c r="D3" s="96"/>
      <c r="E3" s="96"/>
      <c r="F3" s="97"/>
      <c r="G3" s="82" t="s">
        <v>74</v>
      </c>
      <c r="H3" s="52"/>
      <c r="I3" s="53"/>
    </row>
    <row r="4" spans="2:9" ht="24" thickBot="1">
      <c r="B4" s="14"/>
      <c r="C4" s="15" t="s">
        <v>75</v>
      </c>
      <c r="D4" s="98" t="s">
        <v>40</v>
      </c>
      <c r="E4" s="99"/>
      <c r="F4" s="99"/>
      <c r="G4" s="32" t="s">
        <v>55</v>
      </c>
    </row>
    <row r="5" spans="2:9" ht="8.25" customHeight="1" thickBot="1">
      <c r="B5" s="2"/>
      <c r="C5" s="2"/>
      <c r="D5" s="3"/>
      <c r="E5" s="3"/>
      <c r="F5" s="3"/>
      <c r="G5" s="3"/>
    </row>
    <row r="6" spans="2:9" ht="20.25" customHeight="1" thickBot="1">
      <c r="E6" s="100" t="s">
        <v>0</v>
      </c>
      <c r="F6" s="101"/>
    </row>
    <row r="7" spans="2:9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9" s="4" customFormat="1" ht="19.5" thickBot="1">
      <c r="B8" s="5">
        <v>1</v>
      </c>
      <c r="C8" s="50" t="s">
        <v>58</v>
      </c>
      <c r="D8" s="21"/>
      <c r="E8" s="19"/>
      <c r="F8" s="20"/>
      <c r="G8" s="33"/>
    </row>
    <row r="9" spans="2:9" s="4" customFormat="1" ht="19.5" thickBot="1">
      <c r="B9" s="5">
        <v>2</v>
      </c>
      <c r="C9" s="50" t="s">
        <v>59</v>
      </c>
      <c r="D9" s="21"/>
      <c r="E9" s="19"/>
      <c r="F9" s="20"/>
      <c r="G9" s="33"/>
    </row>
    <row r="10" spans="2:9" s="4" customFormat="1" ht="19.5" thickBot="1">
      <c r="B10" s="5">
        <v>3</v>
      </c>
      <c r="C10" s="50" t="s">
        <v>77</v>
      </c>
      <c r="D10" s="51"/>
      <c r="E10" s="19"/>
      <c r="F10" s="20"/>
      <c r="G10" s="33"/>
    </row>
    <row r="11" spans="2:9" s="4" customFormat="1" ht="19.5" thickBot="1">
      <c r="B11" s="5">
        <v>4</v>
      </c>
      <c r="C11" s="50"/>
      <c r="D11" s="51"/>
      <c r="E11" s="19"/>
      <c r="F11" s="20"/>
      <c r="G11" s="33"/>
    </row>
    <row r="12" spans="2:9" ht="18.75" thickBot="1">
      <c r="B12" s="102" t="s">
        <v>13</v>
      </c>
      <c r="C12" s="103"/>
      <c r="D12" s="104" t="s">
        <v>7</v>
      </c>
      <c r="E12" s="105"/>
      <c r="F12" s="106"/>
      <c r="G12" s="24" t="s">
        <v>8</v>
      </c>
    </row>
    <row r="13" spans="2:9">
      <c r="B13" s="107"/>
      <c r="C13" s="108"/>
      <c r="D13" s="108"/>
      <c r="E13" s="108"/>
      <c r="F13" s="108"/>
      <c r="G13" s="92"/>
    </row>
    <row r="14" spans="2:9">
      <c r="B14" s="109"/>
      <c r="C14" s="110"/>
      <c r="D14" s="110"/>
      <c r="E14" s="110"/>
      <c r="F14" s="110"/>
      <c r="G14" s="93"/>
    </row>
    <row r="15" spans="2:9">
      <c r="B15" s="109"/>
      <c r="C15" s="110"/>
      <c r="D15" s="110"/>
      <c r="E15" s="110"/>
      <c r="F15" s="110"/>
      <c r="G15" s="93"/>
    </row>
    <row r="16" spans="2:9">
      <c r="B16" s="109"/>
      <c r="C16" s="110"/>
      <c r="D16" s="110"/>
      <c r="E16" s="110"/>
      <c r="F16" s="110"/>
      <c r="G16" s="93"/>
    </row>
    <row r="17" spans="2:7" ht="15.75" thickBot="1">
      <c r="B17" s="111"/>
      <c r="C17" s="112"/>
      <c r="D17" s="112"/>
      <c r="E17" s="112"/>
      <c r="F17" s="112"/>
      <c r="G17" s="94"/>
    </row>
  </sheetData>
  <sheetProtection selectLockedCells="1"/>
  <mergeCells count="8">
    <mergeCell ref="B13:C17"/>
    <mergeCell ref="D13:F17"/>
    <mergeCell ref="G13:G17"/>
    <mergeCell ref="B3:F3"/>
    <mergeCell ref="D4:F4"/>
    <mergeCell ref="E6:F6"/>
    <mergeCell ref="B12:C12"/>
    <mergeCell ref="D12:F12"/>
  </mergeCells>
  <conditionalFormatting sqref="D8:D11">
    <cfRule type="cellIs" dxfId="29" priority="3" operator="equal">
      <formula>3</formula>
    </cfRule>
    <cfRule type="cellIs" dxfId="28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topLeftCell="B1" zoomScaleNormal="100" workbookViewId="0">
      <selection activeCell="D8" sqref="D8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9" ht="1.5" customHeight="1"/>
    <row r="2" spans="2:9" ht="1.5" customHeight="1"/>
    <row r="3" spans="2:9" ht="62.25" customHeight="1">
      <c r="B3" s="113" t="s">
        <v>11</v>
      </c>
      <c r="C3" s="113"/>
      <c r="D3" s="113"/>
      <c r="E3" s="113"/>
      <c r="F3" s="113"/>
      <c r="G3" s="89" t="s">
        <v>74</v>
      </c>
      <c r="H3" s="52"/>
      <c r="I3" s="53"/>
    </row>
    <row r="4" spans="2:9" ht="23.25">
      <c r="B4" s="57"/>
      <c r="C4" s="71" t="s">
        <v>72</v>
      </c>
      <c r="D4" s="114" t="s">
        <v>40</v>
      </c>
      <c r="E4" s="114"/>
      <c r="F4" s="114"/>
      <c r="G4" s="72" t="s">
        <v>55</v>
      </c>
    </row>
    <row r="5" spans="2:9" ht="20.25" customHeight="1">
      <c r="B5" s="62"/>
      <c r="C5" s="62"/>
      <c r="D5" s="62"/>
      <c r="E5" s="115" t="s">
        <v>0</v>
      </c>
      <c r="F5" s="115"/>
      <c r="G5" s="62"/>
    </row>
    <row r="6" spans="2:9" s="4" customFormat="1" ht="24" customHeight="1" thickBot="1">
      <c r="B6" s="83" t="s">
        <v>1</v>
      </c>
      <c r="C6" s="84" t="s">
        <v>2</v>
      </c>
      <c r="D6" s="85" t="s">
        <v>3</v>
      </c>
      <c r="E6" s="86" t="s">
        <v>4</v>
      </c>
      <c r="F6" s="87" t="s">
        <v>5</v>
      </c>
      <c r="G6" s="88" t="s">
        <v>6</v>
      </c>
    </row>
    <row r="7" spans="2:9" s="4" customFormat="1" ht="18.75">
      <c r="B7" s="79">
        <v>1</v>
      </c>
      <c r="C7" s="80" t="s">
        <v>80</v>
      </c>
      <c r="D7" s="21" t="s">
        <v>87</v>
      </c>
      <c r="E7" s="19"/>
      <c r="F7" s="20"/>
      <c r="G7" s="33"/>
    </row>
    <row r="8" spans="2:9" s="4" customFormat="1" ht="18.75">
      <c r="B8" s="66">
        <v>2</v>
      </c>
      <c r="C8" s="73" t="s">
        <v>78</v>
      </c>
      <c r="D8" s="51" t="s">
        <v>89</v>
      </c>
      <c r="E8" s="19"/>
      <c r="F8" s="20"/>
      <c r="G8" s="33"/>
    </row>
    <row r="9" spans="2:9" s="4" customFormat="1" ht="18.75">
      <c r="B9" s="66">
        <v>3</v>
      </c>
      <c r="C9" s="73" t="s">
        <v>73</v>
      </c>
      <c r="D9" s="51" t="s">
        <v>88</v>
      </c>
      <c r="E9" s="19"/>
      <c r="F9" s="20"/>
      <c r="G9" s="33"/>
    </row>
    <row r="10" spans="2:9" s="4" customFormat="1" ht="18.75">
      <c r="B10" s="66">
        <v>4</v>
      </c>
      <c r="C10" s="73" t="s">
        <v>77</v>
      </c>
      <c r="D10" s="75" t="s">
        <v>86</v>
      </c>
      <c r="E10" s="76"/>
      <c r="F10" s="77"/>
      <c r="G10" s="78"/>
    </row>
    <row r="11" spans="2:9" ht="21" thickBot="1">
      <c r="B11" s="37">
        <v>5</v>
      </c>
      <c r="C11" s="81"/>
      <c r="D11" s="23"/>
      <c r="E11" s="10"/>
      <c r="F11" s="11"/>
      <c r="G11" s="36"/>
    </row>
    <row r="12" spans="2:9" ht="18.75" thickBot="1">
      <c r="B12" s="102" t="s">
        <v>13</v>
      </c>
      <c r="C12" s="103"/>
      <c r="D12" s="104" t="s">
        <v>7</v>
      </c>
      <c r="E12" s="105"/>
      <c r="F12" s="106"/>
      <c r="G12" s="24" t="s">
        <v>8</v>
      </c>
    </row>
    <row r="13" spans="2:9">
      <c r="B13" s="107"/>
      <c r="C13" s="108"/>
      <c r="D13" s="108"/>
      <c r="E13" s="108"/>
      <c r="F13" s="108"/>
      <c r="G13" s="92"/>
    </row>
    <row r="14" spans="2:9">
      <c r="B14" s="109"/>
      <c r="C14" s="110"/>
      <c r="D14" s="110"/>
      <c r="E14" s="110"/>
      <c r="F14" s="110"/>
      <c r="G14" s="93"/>
    </row>
    <row r="15" spans="2:9">
      <c r="B15" s="109"/>
      <c r="C15" s="110"/>
      <c r="D15" s="110"/>
      <c r="E15" s="110"/>
      <c r="F15" s="110"/>
      <c r="G15" s="93"/>
    </row>
    <row r="16" spans="2:9">
      <c r="B16" s="109"/>
      <c r="C16" s="110"/>
      <c r="D16" s="110"/>
      <c r="E16" s="110"/>
      <c r="F16" s="110"/>
      <c r="G16" s="93"/>
    </row>
    <row r="17" spans="2:7" ht="15.75" thickBot="1">
      <c r="B17" s="111"/>
      <c r="C17" s="112"/>
      <c r="D17" s="112"/>
      <c r="E17" s="112"/>
      <c r="F17" s="112"/>
      <c r="G17" s="94"/>
    </row>
  </sheetData>
  <mergeCells count="8">
    <mergeCell ref="G13:G17"/>
    <mergeCell ref="B3:F3"/>
    <mergeCell ref="D4:F4"/>
    <mergeCell ref="E5:F5"/>
    <mergeCell ref="B12:C12"/>
    <mergeCell ref="D12:F12"/>
    <mergeCell ref="B13:C17"/>
    <mergeCell ref="D13:F17"/>
  </mergeCells>
  <conditionalFormatting sqref="D7:D11">
    <cfRule type="cellIs" dxfId="27" priority="1" operator="equal">
      <formula>3</formula>
    </cfRule>
    <cfRule type="cellIs" dxfId="26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topLeftCell="B1" zoomScaleNormal="100" workbookViewId="0">
      <selection activeCell="D7" sqref="D7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9" ht="1.5" customHeight="1"/>
    <row r="2" spans="2:9" ht="1.5" customHeight="1"/>
    <row r="3" spans="2:9" ht="62.25" customHeight="1">
      <c r="B3" s="113" t="s">
        <v>11</v>
      </c>
      <c r="C3" s="113"/>
      <c r="D3" s="113"/>
      <c r="E3" s="113"/>
      <c r="F3" s="113"/>
      <c r="G3" s="89" t="s">
        <v>74</v>
      </c>
      <c r="H3" s="52"/>
      <c r="I3" s="53"/>
    </row>
    <row r="4" spans="2:9" ht="23.25">
      <c r="B4" s="57"/>
      <c r="C4" s="71" t="s">
        <v>83</v>
      </c>
      <c r="D4" s="114" t="s">
        <v>40</v>
      </c>
      <c r="E4" s="114"/>
      <c r="F4" s="114"/>
      <c r="G4" s="90" t="s">
        <v>55</v>
      </c>
    </row>
    <row r="5" spans="2:9" ht="20.25" customHeight="1">
      <c r="B5" s="62"/>
      <c r="C5" s="62"/>
      <c r="D5" s="62"/>
      <c r="E5" s="115" t="s">
        <v>0</v>
      </c>
      <c r="F5" s="115"/>
      <c r="G5" s="62"/>
    </row>
    <row r="6" spans="2:9" s="4" customFormat="1" ht="24" customHeight="1" thickBot="1">
      <c r="B6" s="83" t="s">
        <v>1</v>
      </c>
      <c r="C6" s="84" t="s">
        <v>2</v>
      </c>
      <c r="D6" s="85" t="s">
        <v>3</v>
      </c>
      <c r="E6" s="86" t="s">
        <v>4</v>
      </c>
      <c r="F6" s="87" t="s">
        <v>5</v>
      </c>
      <c r="G6" s="88" t="s">
        <v>6</v>
      </c>
    </row>
    <row r="7" spans="2:9" s="4" customFormat="1" ht="18.75">
      <c r="B7" s="79">
        <v>1</v>
      </c>
      <c r="C7" s="91" t="s">
        <v>84</v>
      </c>
      <c r="D7" s="21" t="s">
        <v>86</v>
      </c>
      <c r="E7" s="19"/>
      <c r="F7" s="20"/>
      <c r="G7" s="33"/>
    </row>
    <row r="8" spans="2:9" s="4" customFormat="1" ht="18.75">
      <c r="B8" s="66">
        <v>2</v>
      </c>
      <c r="C8" s="91" t="s">
        <v>85</v>
      </c>
      <c r="D8" s="51" t="s">
        <v>86</v>
      </c>
      <c r="E8" s="19"/>
      <c r="F8" s="20"/>
      <c r="G8" s="33"/>
    </row>
    <row r="9" spans="2:9" s="4" customFormat="1" ht="18.75">
      <c r="B9" s="66">
        <v>3</v>
      </c>
      <c r="C9" s="73"/>
      <c r="D9" s="51"/>
      <c r="E9" s="19"/>
      <c r="F9" s="20"/>
      <c r="G9" s="33"/>
    </row>
    <row r="10" spans="2:9" s="4" customFormat="1" ht="18.75">
      <c r="B10" s="66">
        <v>4</v>
      </c>
      <c r="C10" s="73"/>
      <c r="D10" s="75"/>
      <c r="E10" s="76"/>
      <c r="F10" s="77"/>
      <c r="G10" s="78"/>
    </row>
    <row r="11" spans="2:9" ht="21" thickBot="1">
      <c r="B11" s="37">
        <v>5</v>
      </c>
      <c r="C11" s="81"/>
      <c r="D11" s="23"/>
      <c r="E11" s="10"/>
      <c r="F11" s="11"/>
      <c r="G11" s="36"/>
    </row>
    <row r="12" spans="2:9" ht="18.75" thickBot="1">
      <c r="B12" s="102" t="s">
        <v>13</v>
      </c>
      <c r="C12" s="103"/>
      <c r="D12" s="104" t="s">
        <v>7</v>
      </c>
      <c r="E12" s="105"/>
      <c r="F12" s="106"/>
      <c r="G12" s="24" t="s">
        <v>8</v>
      </c>
    </row>
    <row r="13" spans="2:9">
      <c r="B13" s="107"/>
      <c r="C13" s="108"/>
      <c r="D13" s="108"/>
      <c r="E13" s="108"/>
      <c r="F13" s="108"/>
      <c r="G13" s="92"/>
    </row>
    <row r="14" spans="2:9">
      <c r="B14" s="109"/>
      <c r="C14" s="110"/>
      <c r="D14" s="110"/>
      <c r="E14" s="110"/>
      <c r="F14" s="110"/>
      <c r="G14" s="93"/>
    </row>
    <row r="15" spans="2:9">
      <c r="B15" s="109"/>
      <c r="C15" s="110"/>
      <c r="D15" s="110"/>
      <c r="E15" s="110"/>
      <c r="F15" s="110"/>
      <c r="G15" s="93"/>
    </row>
    <row r="16" spans="2:9">
      <c r="B16" s="109"/>
      <c r="C16" s="110"/>
      <c r="D16" s="110"/>
      <c r="E16" s="110"/>
      <c r="F16" s="110"/>
      <c r="G16" s="93"/>
    </row>
    <row r="17" spans="2:7" ht="15.75" thickBot="1">
      <c r="B17" s="111"/>
      <c r="C17" s="112"/>
      <c r="D17" s="112"/>
      <c r="E17" s="112"/>
      <c r="F17" s="112"/>
      <c r="G17" s="94"/>
    </row>
  </sheetData>
  <mergeCells count="8">
    <mergeCell ref="G13:G17"/>
    <mergeCell ref="B3:F3"/>
    <mergeCell ref="D4:F4"/>
    <mergeCell ref="E5:F5"/>
    <mergeCell ref="B12:C12"/>
    <mergeCell ref="D12:F12"/>
    <mergeCell ref="B13:C17"/>
    <mergeCell ref="D13:F17"/>
  </mergeCells>
  <conditionalFormatting sqref="D7:D11">
    <cfRule type="cellIs" dxfId="25" priority="1" operator="equal">
      <formula>3</formula>
    </cfRule>
    <cfRule type="cellIs" dxfId="24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17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/>
      <c r="D8" s="21"/>
      <c r="E8" s="19"/>
      <c r="F8" s="20"/>
      <c r="G8" s="33"/>
    </row>
    <row r="9" spans="2:7" s="4" customFormat="1" ht="64.5" customHeight="1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102" t="s">
        <v>13</v>
      </c>
      <c r="C108" s="103"/>
      <c r="D108" s="104" t="s">
        <v>7</v>
      </c>
      <c r="E108" s="105"/>
      <c r="F108" s="106"/>
      <c r="G108" s="24" t="s">
        <v>8</v>
      </c>
    </row>
    <row r="109" spans="2:7">
      <c r="B109" s="107"/>
      <c r="C109" s="108"/>
      <c r="D109" s="108"/>
      <c r="E109" s="108"/>
      <c r="F109" s="108"/>
      <c r="G109" s="92"/>
    </row>
    <row r="110" spans="2:7">
      <c r="B110" s="109"/>
      <c r="C110" s="110"/>
      <c r="D110" s="110"/>
      <c r="E110" s="110"/>
      <c r="F110" s="110"/>
      <c r="G110" s="93"/>
    </row>
    <row r="111" spans="2:7">
      <c r="B111" s="109"/>
      <c r="C111" s="110"/>
      <c r="D111" s="110"/>
      <c r="E111" s="110"/>
      <c r="F111" s="110"/>
      <c r="G111" s="93"/>
    </row>
    <row r="112" spans="2:7">
      <c r="B112" s="109"/>
      <c r="C112" s="110"/>
      <c r="D112" s="110"/>
      <c r="E112" s="110"/>
      <c r="F112" s="110"/>
      <c r="G112" s="93"/>
    </row>
    <row r="113" spans="2:7" ht="15.75" thickBot="1">
      <c r="B113" s="111"/>
      <c r="C113" s="112"/>
      <c r="D113" s="112"/>
      <c r="E113" s="112"/>
      <c r="F113" s="112"/>
      <c r="G113" s="94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3" priority="3" operator="equal">
      <formula>3</formula>
    </cfRule>
    <cfRule type="cellIs" dxfId="22" priority="4" operator="equal">
      <formula>4</formula>
    </cfRule>
  </conditionalFormatting>
  <conditionalFormatting sqref="D89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19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27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21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22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25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27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23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24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25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18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20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27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21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22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25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27</v>
      </c>
      <c r="D31" s="21">
        <v>30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25</v>
      </c>
      <c r="D32" s="21">
        <v>30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26</v>
      </c>
      <c r="D33" s="21">
        <v>25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 t="s">
        <v>18</v>
      </c>
      <c r="D34" s="21">
        <v>10</v>
      </c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 t="s">
        <v>20</v>
      </c>
      <c r="D35" s="21">
        <v>30</v>
      </c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 t="s">
        <v>27</v>
      </c>
      <c r="D36" s="21">
        <v>30</v>
      </c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 t="s">
        <v>28</v>
      </c>
      <c r="D37" s="21">
        <v>30</v>
      </c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 t="s">
        <v>22</v>
      </c>
      <c r="D38" s="21">
        <v>30</v>
      </c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 t="s">
        <v>25</v>
      </c>
      <c r="D39" s="21">
        <v>30</v>
      </c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 t="s">
        <v>26</v>
      </c>
      <c r="D40" s="21">
        <v>25</v>
      </c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 t="s">
        <v>29</v>
      </c>
      <c r="D41" s="21">
        <v>120</v>
      </c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 t="s">
        <v>30</v>
      </c>
      <c r="D42" s="21">
        <v>60</v>
      </c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 t="s">
        <v>18</v>
      </c>
      <c r="D43" s="21">
        <v>10</v>
      </c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 t="s">
        <v>31</v>
      </c>
      <c r="D44" s="21">
        <v>30</v>
      </c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102" t="s">
        <v>13</v>
      </c>
      <c r="C108" s="103"/>
      <c r="D108" s="104" t="s">
        <v>7</v>
      </c>
      <c r="E108" s="105"/>
      <c r="F108" s="106"/>
      <c r="G108" s="24" t="s">
        <v>8</v>
      </c>
    </row>
    <row r="109" spans="2:7">
      <c r="B109" s="107"/>
      <c r="C109" s="108"/>
      <c r="D109" s="108"/>
      <c r="E109" s="108"/>
      <c r="F109" s="108"/>
      <c r="G109" s="92"/>
    </row>
    <row r="110" spans="2:7">
      <c r="B110" s="109"/>
      <c r="C110" s="110"/>
      <c r="D110" s="110"/>
      <c r="E110" s="110"/>
      <c r="F110" s="110"/>
      <c r="G110" s="93"/>
    </row>
    <row r="111" spans="2:7">
      <c r="B111" s="109"/>
      <c r="C111" s="110"/>
      <c r="D111" s="110"/>
      <c r="E111" s="110"/>
      <c r="F111" s="110"/>
      <c r="G111" s="93"/>
    </row>
    <row r="112" spans="2:7">
      <c r="B112" s="109"/>
      <c r="C112" s="110"/>
      <c r="D112" s="110"/>
      <c r="E112" s="110"/>
      <c r="F112" s="110"/>
      <c r="G112" s="93"/>
    </row>
    <row r="113" spans="2:7" ht="15.75" thickBot="1">
      <c r="B113" s="111"/>
      <c r="C113" s="112"/>
      <c r="D113" s="112"/>
      <c r="E113" s="112"/>
      <c r="F113" s="112"/>
      <c r="G113" s="94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19" priority="3" operator="equal">
      <formula>3</formula>
    </cfRule>
    <cfRule type="cellIs" dxfId="18" priority="4" operator="equal">
      <formula>4</formula>
    </cfRule>
  </conditionalFormatting>
  <conditionalFormatting sqref="D89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32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27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21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22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25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27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23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24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25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18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20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27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28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22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25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26</v>
      </c>
      <c r="D31" s="21">
        <v>25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29</v>
      </c>
      <c r="D32" s="21">
        <v>120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30</v>
      </c>
      <c r="D33" s="21">
        <v>60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102" t="s">
        <v>13</v>
      </c>
      <c r="C108" s="103"/>
      <c r="D108" s="104" t="s">
        <v>7</v>
      </c>
      <c r="E108" s="105"/>
      <c r="F108" s="106"/>
      <c r="G108" s="24" t="s">
        <v>8</v>
      </c>
    </row>
    <row r="109" spans="2:7">
      <c r="B109" s="107"/>
      <c r="C109" s="108"/>
      <c r="D109" s="108"/>
      <c r="E109" s="108"/>
      <c r="F109" s="108"/>
      <c r="G109" s="92"/>
    </row>
    <row r="110" spans="2:7">
      <c r="B110" s="109"/>
      <c r="C110" s="110"/>
      <c r="D110" s="110"/>
      <c r="E110" s="110"/>
      <c r="F110" s="110"/>
      <c r="G110" s="93"/>
    </row>
    <row r="111" spans="2:7">
      <c r="B111" s="109"/>
      <c r="C111" s="110"/>
      <c r="D111" s="110"/>
      <c r="E111" s="110"/>
      <c r="F111" s="110"/>
      <c r="G111" s="93"/>
    </row>
    <row r="112" spans="2:7">
      <c r="B112" s="109"/>
      <c r="C112" s="110"/>
      <c r="D112" s="110"/>
      <c r="E112" s="110"/>
      <c r="F112" s="110"/>
      <c r="G112" s="93"/>
    </row>
    <row r="113" spans="2:7" ht="15.75" thickBot="1">
      <c r="B113" s="111"/>
      <c r="C113" s="112"/>
      <c r="D113" s="112"/>
      <c r="E113" s="112"/>
      <c r="F113" s="112"/>
      <c r="G113" s="94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5" priority="3" operator="equal">
      <formula>3</formula>
    </cfRule>
    <cfRule type="cellIs" dxfId="14" priority="4" operator="equal">
      <formula>4</formula>
    </cfRule>
  </conditionalFormatting>
  <conditionalFormatting sqref="D89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34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27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21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22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25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27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23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24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25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>
      <c r="B33" s="102" t="s">
        <v>13</v>
      </c>
      <c r="C33" s="103"/>
      <c r="D33" s="104" t="s">
        <v>7</v>
      </c>
      <c r="E33" s="105"/>
      <c r="F33" s="106"/>
      <c r="G33" s="24" t="s">
        <v>8</v>
      </c>
    </row>
    <row r="34" spans="2:7">
      <c r="B34" s="107"/>
      <c r="C34" s="108"/>
      <c r="D34" s="108"/>
      <c r="E34" s="108"/>
      <c r="F34" s="108"/>
      <c r="G34" s="92"/>
    </row>
    <row r="35" spans="2:7">
      <c r="B35" s="109"/>
      <c r="C35" s="110"/>
      <c r="D35" s="110"/>
      <c r="E35" s="110"/>
      <c r="F35" s="110"/>
      <c r="G35" s="93"/>
    </row>
    <row r="36" spans="2:7">
      <c r="B36" s="109"/>
      <c r="C36" s="110"/>
      <c r="D36" s="110"/>
      <c r="E36" s="110"/>
      <c r="F36" s="110"/>
      <c r="G36" s="93"/>
    </row>
    <row r="37" spans="2:7">
      <c r="B37" s="109"/>
      <c r="C37" s="110"/>
      <c r="D37" s="110"/>
      <c r="E37" s="110"/>
      <c r="F37" s="110"/>
      <c r="G37" s="93"/>
    </row>
    <row r="38" spans="2:7" ht="15.75" thickBot="1">
      <c r="B38" s="111"/>
      <c r="C38" s="112"/>
      <c r="D38" s="112"/>
      <c r="E38" s="112"/>
      <c r="F38" s="112"/>
      <c r="G38" s="94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1" priority="3" operator="equal">
      <formula>3</formula>
    </cfRule>
    <cfRule type="cellIs" dxfId="1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33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27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21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22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25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27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23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24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25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18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20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27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21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22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25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27</v>
      </c>
      <c r="D31" s="21">
        <v>30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25</v>
      </c>
      <c r="D32" s="21">
        <v>30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26</v>
      </c>
      <c r="D33" s="21">
        <v>25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02" t="s">
        <v>13</v>
      </c>
      <c r="C38" s="103"/>
      <c r="D38" s="104" t="s">
        <v>7</v>
      </c>
      <c r="E38" s="105"/>
      <c r="F38" s="106"/>
      <c r="G38" s="24" t="s">
        <v>8</v>
      </c>
    </row>
    <row r="39" spans="2:7">
      <c r="B39" s="107"/>
      <c r="C39" s="108"/>
      <c r="D39" s="108"/>
      <c r="E39" s="108"/>
      <c r="F39" s="108"/>
      <c r="G39" s="92"/>
    </row>
    <row r="40" spans="2:7">
      <c r="B40" s="109"/>
      <c r="C40" s="110"/>
      <c r="D40" s="110"/>
      <c r="E40" s="110"/>
      <c r="F40" s="110"/>
      <c r="G40" s="93"/>
    </row>
    <row r="41" spans="2:7">
      <c r="B41" s="109"/>
      <c r="C41" s="110"/>
      <c r="D41" s="110"/>
      <c r="E41" s="110"/>
      <c r="F41" s="110"/>
      <c r="G41" s="93"/>
    </row>
    <row r="42" spans="2:7">
      <c r="B42" s="109"/>
      <c r="C42" s="110"/>
      <c r="D42" s="110"/>
      <c r="E42" s="110"/>
      <c r="F42" s="110"/>
      <c r="G42" s="93"/>
    </row>
    <row r="43" spans="2:7" ht="15.75" thickBot="1">
      <c r="B43" s="111"/>
      <c r="C43" s="112"/>
      <c r="D43" s="112"/>
      <c r="E43" s="112"/>
      <c r="F43" s="112"/>
      <c r="G43" s="9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35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27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21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22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25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27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23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24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25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02" t="s">
        <v>13</v>
      </c>
      <c r="C38" s="103"/>
      <c r="D38" s="104" t="s">
        <v>7</v>
      </c>
      <c r="E38" s="105"/>
      <c r="F38" s="106"/>
      <c r="G38" s="24" t="s">
        <v>8</v>
      </c>
    </row>
    <row r="39" spans="2:7">
      <c r="B39" s="107"/>
      <c r="C39" s="108"/>
      <c r="D39" s="108"/>
      <c r="E39" s="108"/>
      <c r="F39" s="108"/>
      <c r="G39" s="92"/>
    </row>
    <row r="40" spans="2:7">
      <c r="B40" s="109"/>
      <c r="C40" s="110"/>
      <c r="D40" s="110"/>
      <c r="E40" s="110"/>
      <c r="F40" s="110"/>
      <c r="G40" s="93"/>
    </row>
    <row r="41" spans="2:7">
      <c r="B41" s="109"/>
      <c r="C41" s="110"/>
      <c r="D41" s="110"/>
      <c r="E41" s="110"/>
      <c r="F41" s="110"/>
      <c r="G41" s="93"/>
    </row>
    <row r="42" spans="2:7">
      <c r="B42" s="109"/>
      <c r="C42" s="110"/>
      <c r="D42" s="110"/>
      <c r="E42" s="110"/>
      <c r="F42" s="110"/>
      <c r="G42" s="93"/>
    </row>
    <row r="43" spans="2:7" ht="15.75" thickBot="1">
      <c r="B43" s="111"/>
      <c r="C43" s="112"/>
      <c r="D43" s="112"/>
      <c r="E43" s="112"/>
      <c r="F43" s="112"/>
      <c r="G43" s="9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36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27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21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22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25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27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23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24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25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18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20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27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28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22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25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26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29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30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02" t="s">
        <v>13</v>
      </c>
      <c r="C38" s="103"/>
      <c r="D38" s="104" t="s">
        <v>7</v>
      </c>
      <c r="E38" s="105"/>
      <c r="F38" s="106"/>
      <c r="G38" s="24" t="s">
        <v>8</v>
      </c>
    </row>
    <row r="39" spans="2:7">
      <c r="B39" s="107"/>
      <c r="C39" s="108"/>
      <c r="D39" s="108"/>
      <c r="E39" s="108"/>
      <c r="F39" s="108"/>
      <c r="G39" s="92"/>
    </row>
    <row r="40" spans="2:7">
      <c r="B40" s="109"/>
      <c r="C40" s="110"/>
      <c r="D40" s="110"/>
      <c r="E40" s="110"/>
      <c r="F40" s="110"/>
      <c r="G40" s="93"/>
    </row>
    <row r="41" spans="2:7">
      <c r="B41" s="109"/>
      <c r="C41" s="110"/>
      <c r="D41" s="110"/>
      <c r="E41" s="110"/>
      <c r="F41" s="110"/>
      <c r="G41" s="93"/>
    </row>
    <row r="42" spans="2:7">
      <c r="B42" s="109"/>
      <c r="C42" s="110"/>
      <c r="D42" s="110"/>
      <c r="E42" s="110"/>
      <c r="F42" s="110"/>
      <c r="G42" s="93"/>
    </row>
    <row r="43" spans="2:7" ht="15.75" thickBot="1">
      <c r="B43" s="111"/>
      <c r="C43" s="112"/>
      <c r="D43" s="112"/>
      <c r="E43" s="112"/>
      <c r="F43" s="112"/>
      <c r="G43" s="9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37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27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21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22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25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27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23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24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25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18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20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27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28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22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25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26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29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30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02" t="s">
        <v>13</v>
      </c>
      <c r="C38" s="103"/>
      <c r="D38" s="104" t="s">
        <v>7</v>
      </c>
      <c r="E38" s="105"/>
      <c r="F38" s="106"/>
      <c r="G38" s="24" t="s">
        <v>8</v>
      </c>
    </row>
    <row r="39" spans="2:7">
      <c r="B39" s="107"/>
      <c r="C39" s="108"/>
      <c r="D39" s="108"/>
      <c r="E39" s="108"/>
      <c r="F39" s="108"/>
      <c r="G39" s="92"/>
    </row>
    <row r="40" spans="2:7">
      <c r="B40" s="109"/>
      <c r="C40" s="110"/>
      <c r="D40" s="110"/>
      <c r="E40" s="110"/>
      <c r="F40" s="110"/>
      <c r="G40" s="93"/>
    </row>
    <row r="41" spans="2:7">
      <c r="B41" s="109"/>
      <c r="C41" s="110"/>
      <c r="D41" s="110"/>
      <c r="E41" s="110"/>
      <c r="F41" s="110"/>
      <c r="G41" s="93"/>
    </row>
    <row r="42" spans="2:7">
      <c r="B42" s="109"/>
      <c r="C42" s="110"/>
      <c r="D42" s="110"/>
      <c r="E42" s="110"/>
      <c r="F42" s="110"/>
      <c r="G42" s="93"/>
    </row>
    <row r="43" spans="2:7" ht="15.75" thickBot="1">
      <c r="B43" s="111"/>
      <c r="C43" s="112"/>
      <c r="D43" s="112"/>
      <c r="E43" s="112"/>
      <c r="F43" s="112"/>
      <c r="G43" s="9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5" t="s">
        <v>11</v>
      </c>
      <c r="C3" s="96"/>
      <c r="D3" s="96"/>
      <c r="E3" s="96"/>
      <c r="F3" s="97"/>
      <c r="G3" s="31" t="s">
        <v>12</v>
      </c>
    </row>
    <row r="4" spans="2:7" ht="24" thickBot="1">
      <c r="B4" s="14"/>
      <c r="C4" s="15" t="s">
        <v>38</v>
      </c>
      <c r="D4" s="98" t="str">
        <f>+'Line &amp; frequency'!C1</f>
        <v>CHAINE 4</v>
      </c>
      <c r="E4" s="99"/>
      <c r="F4" s="9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00" t="s">
        <v>0</v>
      </c>
      <c r="F6" s="10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18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20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21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22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23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24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25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26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18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20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27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28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22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25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26</v>
      </c>
      <c r="D22" s="21">
        <v>25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29</v>
      </c>
      <c r="D23" s="21">
        <v>120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30</v>
      </c>
      <c r="D24" s="21">
        <v>60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102" t="s">
        <v>13</v>
      </c>
      <c r="C38" s="103"/>
      <c r="D38" s="104" t="s">
        <v>7</v>
      </c>
      <c r="E38" s="105"/>
      <c r="F38" s="106"/>
      <c r="G38" s="24" t="s">
        <v>8</v>
      </c>
    </row>
    <row r="39" spans="2:7">
      <c r="B39" s="107"/>
      <c r="C39" s="108"/>
      <c r="D39" s="108"/>
      <c r="E39" s="108"/>
      <c r="F39" s="108"/>
      <c r="G39" s="92"/>
    </row>
    <row r="40" spans="2:7">
      <c r="B40" s="109"/>
      <c r="C40" s="110"/>
      <c r="D40" s="110"/>
      <c r="E40" s="110"/>
      <c r="F40" s="110"/>
      <c r="G40" s="93"/>
    </row>
    <row r="41" spans="2:7">
      <c r="B41" s="109"/>
      <c r="C41" s="110"/>
      <c r="D41" s="110"/>
      <c r="E41" s="110"/>
      <c r="F41" s="110"/>
      <c r="G41" s="93"/>
    </row>
    <row r="42" spans="2:7">
      <c r="B42" s="109"/>
      <c r="C42" s="110"/>
      <c r="D42" s="110"/>
      <c r="E42" s="110"/>
      <c r="F42" s="110"/>
      <c r="G42" s="93"/>
    </row>
    <row r="43" spans="2:7" ht="15.75" thickBot="1">
      <c r="B43" s="111"/>
      <c r="C43" s="112"/>
      <c r="D43" s="112"/>
      <c r="E43" s="112"/>
      <c r="F43" s="112"/>
      <c r="G43" s="9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/>
  <cols>
    <col min="3" max="3" width="15.42578125" bestFit="1" customWidth="1"/>
    <col min="7" max="7" width="46.28515625" bestFit="1" customWidth="1"/>
  </cols>
  <sheetData>
    <row r="1" spans="2:7">
      <c r="B1" t="s">
        <v>9</v>
      </c>
      <c r="C1" s="13" t="s">
        <v>14</v>
      </c>
    </row>
    <row r="2" spans="2:7">
      <c r="B2" t="s">
        <v>10</v>
      </c>
      <c r="C2" s="13" t="s">
        <v>15</v>
      </c>
    </row>
    <row r="3" spans="2:7" ht="26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14</vt:i4>
      </vt:variant>
    </vt:vector>
  </HeadingPairs>
  <TitlesOfParts>
    <vt:vector size="33" baseType="lpstr">
      <vt:lpstr>Compresseur à air,</vt:lpstr>
      <vt:lpstr>Blomax</vt:lpstr>
      <vt:lpstr>Soutireuse </vt:lpstr>
      <vt:lpstr>Paramix</vt:lpstr>
      <vt:lpstr>CIP </vt:lpstr>
      <vt:lpstr>Labeller</vt:lpstr>
      <vt:lpstr>Convoyeurs</vt:lpstr>
      <vt:lpstr>Cooling towers</vt:lpstr>
      <vt:lpstr>Robopac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Blomax!Zone_d_impression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'Compresseur à air,'!Zone_d_impression</vt:lpstr>
      <vt:lpstr>Convoyeurs!Zone_d_impression</vt:lpstr>
      <vt:lpstr>'Cvyr Btles'!Zone_d_impression</vt:lpstr>
      <vt:lpstr>Labeller!Zone_d_impression</vt:lpstr>
      <vt:lpstr>'Soutireuse 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2024-01-30T12:30:18Z</cp:lastPrinted>
  <dcterms:created xsi:type="dcterms:W3CDTF">2021-01-06T16:50:41Z</dcterms:created>
  <dcterms:modified xsi:type="dcterms:W3CDTF">2024-08-29T09:29:04Z</dcterms:modified>
</cp:coreProperties>
</file>