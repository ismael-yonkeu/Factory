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ureau New line\PACKAGING MAINTENANCE\Line 6 Maintenance Cycle\Maintenace\Check List\Méca\Journaliere\"/>
    </mc:Choice>
  </mc:AlternateContent>
  <xr:revisionPtr revIDLastSave="0" documentId="13_ncr:1_{43C52B89-AF9D-46C3-8214-73EA7CB2853C}" xr6:coauthVersionLast="47" xr6:coauthVersionMax="47" xr10:uidLastSave="{00000000-0000-0000-0000-000000000000}"/>
  <bookViews>
    <workbookView xWindow="-120" yWindow="-120" windowWidth="24240" windowHeight="13140" tabRatio="949" activeTab="2" xr2:uid="{00000000-000D-0000-FFFF-FFFF00000000}"/>
  </bookViews>
  <sheets>
    <sheet name="Blomax" sheetId="32" r:id="rId1"/>
    <sheet name="Soutireuse Boucheuse" sheetId="6" r:id="rId2"/>
    <sheet name="Paramix" sheetId="29" r:id="rId3"/>
    <sheet name="CIP" sheetId="30" state="hidden" r:id="rId4"/>
    <sheet name="Etiqueteuse" sheetId="8" r:id="rId5"/>
    <sheet name="Kisters" sheetId="31" r:id="rId6"/>
    <sheet name="Handle application" sheetId="10" r:id="rId7"/>
    <sheet name="Convoyeurs" sheetId="11" r:id="rId8"/>
    <sheet name="Cvyr Btles" sheetId="12" state="hidden" r:id="rId9"/>
    <sheet name="CC C1" sheetId="13" state="hidden" r:id="rId10"/>
    <sheet name="CC C2" sheetId="15" state="hidden" r:id="rId11"/>
    <sheet name="CC C3" sheetId="16" state="hidden" r:id="rId12"/>
    <sheet name="CC C4" sheetId="17" state="hidden" r:id="rId13"/>
    <sheet name="CC C5" sheetId="18" state="hidden" r:id="rId14"/>
    <sheet name="CC C6" sheetId="19" state="hidden" r:id="rId15"/>
    <sheet name="CC C7" sheetId="20" state="hidden" r:id="rId16"/>
    <sheet name="CC C8" sheetId="21" state="hidden" r:id="rId17"/>
    <sheet name="Line &amp; frequency" sheetId="2" state="hidden" r:id="rId18"/>
  </sheets>
  <definedNames>
    <definedName name="_xlnm.Print_Area" localSheetId="0">Blomax!$B$3:$G$30</definedName>
    <definedName name="_xlnm.Print_Area" localSheetId="9">'CC C1'!$B$3:$G$63</definedName>
    <definedName name="_xlnm.Print_Area" localSheetId="10">'CC C2'!$B$3:$G$63</definedName>
    <definedName name="_xlnm.Print_Area" localSheetId="11">'CC C3'!$B$3:$G$32</definedName>
    <definedName name="_xlnm.Print_Area" localSheetId="12">'CC C4'!$B$3:$G$37</definedName>
    <definedName name="_xlnm.Print_Area" localSheetId="13">'CC C5'!$B$3:$G$37</definedName>
    <definedName name="_xlnm.Print_Area" localSheetId="14">'CC C6'!$B$3:$G$37</definedName>
    <definedName name="_xlnm.Print_Area" localSheetId="15">'CC C7'!$B$3:$G$37</definedName>
    <definedName name="_xlnm.Print_Area" localSheetId="16">'CC C8'!$B$3:$G$37</definedName>
    <definedName name="_xlnm.Print_Area" localSheetId="7">Convoyeurs!$B$1:$G$21</definedName>
    <definedName name="_xlnm.Print_Area" localSheetId="8">'Cvyr Btles'!$B$3:$G$63</definedName>
    <definedName name="_xlnm.Print_Area" localSheetId="4">Etiqueteuse!$B$3:$G$25</definedName>
    <definedName name="_xlnm.Print_Area" localSheetId="6">'Handle application'!$B$1:$G$22</definedName>
    <definedName name="_xlnm.Print_Area" localSheetId="5">Kisters!$B$3:$G$37</definedName>
    <definedName name="_xlnm.Print_Area" localSheetId="1">'Soutireuse Boucheuse'!$B$3:$G$23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1" l="1"/>
  <c r="B14" i="31" s="1"/>
  <c r="B15" i="31" s="1"/>
  <c r="B16" i="31" l="1"/>
  <c r="B17" i="31" l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9" i="11"/>
  <c r="B10" i="11" s="1"/>
  <c r="B11" i="11" s="1"/>
  <c r="B12" i="11" s="1"/>
  <c r="B13" i="11" s="1"/>
  <c r="B14" i="11" s="1"/>
  <c r="B15" i="11" s="1"/>
  <c r="B9" i="10"/>
  <c r="B10" i="10" s="1"/>
  <c r="B11" i="10" s="1"/>
  <c r="B12" i="10" s="1"/>
  <c r="B13" i="10" s="1"/>
  <c r="B14" i="10" s="1"/>
  <c r="B15" i="10" s="1"/>
  <c r="B16" i="10" s="1"/>
  <c r="G4" i="13" l="1"/>
  <c r="D4" i="13"/>
  <c r="G4" i="12"/>
  <c r="D4" i="12"/>
</calcChain>
</file>

<file path=xl/sharedStrings.xml><?xml version="1.0" encoding="utf-8"?>
<sst xmlns="http://schemas.openxmlformats.org/spreadsheetml/2006/main" count="517" uniqueCount="128">
  <si>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</si>
  <si>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</si>
  <si>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</si>
  <si>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</si>
  <si>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</si>
  <si>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</si>
  <si>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</si>
  <si>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</si>
  <si>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</si>
  <si>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</si>
  <si>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</si>
  <si>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</si>
  <si>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</si>
  <si>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</si>
  <si>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</si>
  <si>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</si>
  <si>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SOUTIREUSE</t>
  </si>
  <si>
    <t>ETIQUETEUSE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</si>
  <si>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</si>
  <si>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</si>
  <si>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</si>
  <si>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</si>
  <si>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</si>
  <si>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</si>
  <si>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</si>
  <si>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</si>
  <si>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</si>
  <si>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</si>
  <si>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</si>
  <si>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</si>
  <si>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</si>
  <si>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</si>
  <si>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</si>
  <si>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</si>
  <si>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</si>
  <si>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</si>
  <si>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</si>
  <si>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</si>
  <si>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</si>
  <si>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</si>
  <si>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New PET line</t>
  </si>
  <si>
    <t>JOURNALIERE</t>
  </si>
  <si>
    <t>Vérifier si le fluide s'échappe des pompes.</t>
  </si>
  <si>
    <t>CIP</t>
  </si>
  <si>
    <t>Vérifier si le fluide s'échappe des pompes</t>
  </si>
  <si>
    <t>KISTERS</t>
  </si>
  <si>
    <t>Vérifier l'absence de rupture ou de bris sur les Tuyaux et câbles</t>
  </si>
  <si>
    <t>Éliminer les encrassements</t>
  </si>
  <si>
    <t>HANDLE APPLICATOR</t>
  </si>
  <si>
    <t>Controlet l'état des chaines de convoyage</t>
  </si>
  <si>
    <t>CONVOYEURS</t>
  </si>
  <si>
    <t>Vérifier si le fluide s'échappe des joints d'étanchéité.</t>
  </si>
  <si>
    <t>Vérifier si les verres indicateurs sont endommagés</t>
  </si>
  <si>
    <t>Vérifier l'usure du couteau</t>
  </si>
  <si>
    <t xml:space="preserve">Vérifier l'usure des inserts de bord </t>
  </si>
  <si>
    <t>Contrôler le fonctionnement des capteurs d'admission et les barrières photoélectriques</t>
  </si>
  <si>
    <t>Contrôler le déroulement en ligne droite des tapis de transport.</t>
  </si>
  <si>
    <t>controler l'écoulement de liquide sur les Moteurs</t>
  </si>
  <si>
    <t>Vérifier l'absence de dommages visibles sur les moteurs</t>
  </si>
  <si>
    <t>Contrôler l'endommagement du film antidérapant appliqué sur les planchers en tôle.</t>
  </si>
  <si>
    <t xml:space="preserve"> Contrôler décollage du film antidérapant appliqué sur les planchers en tôle.</t>
  </si>
  <si>
    <t>Vérifier l'absence de dommages visibles sur les Appareils d'exploitation, et signalisation</t>
  </si>
  <si>
    <t>Vérifier l'absence de dommages sur les éléments d'entraînement</t>
  </si>
  <si>
    <t>Nettoyer les galets d'entraînement</t>
  </si>
  <si>
    <t>Nettoyer les poulies de renvoi et les à rouleaux de transferts</t>
  </si>
  <si>
    <t>Vérifier la tension des poulies</t>
  </si>
  <si>
    <t xml:space="preserve"> Vérifier l'absence de dommages visibles sur les poulies et rouleaux de transfert</t>
  </si>
  <si>
    <t xml:space="preserve">Éliminer les encrassements sur le Tapis de transport, Nettoyer les galets d'entraînement, </t>
  </si>
  <si>
    <t>Éliminer les encrassements et Vérifier l'absence de dommages visibles.</t>
  </si>
  <si>
    <t>Purger le séparateur d'eau sur l'unité de conditionnement d'air comprimé</t>
  </si>
  <si>
    <t>Éliminer les encrassements sur la Station de coupe du film et Vérifier l'absence de dommages visibles.</t>
  </si>
  <si>
    <t>Éliminer les encrassements sur le Tapis de transport de film et Vérifier l'absence de dommages visibles.</t>
  </si>
  <si>
    <t>Vérifier l'absence de dommages visibles sur le Moteurs et entraînements</t>
  </si>
  <si>
    <t>Controler l'écoulement de liquide sur le Moteurs et entraînements</t>
  </si>
  <si>
    <t>Éliminer les encrassements sur le Guidage latéral, Contrôler la fluidité et Vérifier l'absence de dommages visibles</t>
  </si>
  <si>
    <t>Éliminer les encrassements sur le Système de création d'étrier et Contrôler l'état d'usure du doigt du système de création d'étrier</t>
  </si>
  <si>
    <t>Vérifier que les rampes ne sont pas endommagées</t>
  </si>
  <si>
    <t>Vérifier que les buses de lubrification ne sont pas bouchées</t>
  </si>
  <si>
    <t>Vérifier l'absence de dommages sur les Éléments d'entraînement</t>
  </si>
  <si>
    <t>Vérifier l'absence de dommages sur les convoyeurs d'admission et de sortie</t>
  </si>
  <si>
    <t>Vérifier l'absence de dommages sur la table</t>
  </si>
  <si>
    <t>Vérifier l'absence de dommages sur les pièces de guidage de récipients et l'étoile</t>
  </si>
  <si>
    <t>Vérifier l'absence de dommages sur les étoiles</t>
  </si>
  <si>
    <t>Nettoyer la machine</t>
  </si>
  <si>
    <t xml:space="preserve">Éliminer les corps étrangers sur la machine et nettoyer la machine et </t>
  </si>
  <si>
    <t>Contrôler l'endommagement et le décollage du film antidérapant appliqué sur les planchers en tôle.</t>
  </si>
  <si>
    <t>Vérifier l'absence de dommages visibles sur les Appareils d'exploitation, d'affichage et de signalisation</t>
  </si>
  <si>
    <t>Éliminer les résidus de lubrifiants visibles</t>
  </si>
  <si>
    <t>Vérifier si l'échangeur de chaleur à pla‐ ques est déformé ou si des fluides s'échappent.</t>
  </si>
  <si>
    <t>Vérifier si la machine est encrassée.</t>
  </si>
  <si>
    <t>Vérifier les pièces de format à la recherche de détériorations.</t>
  </si>
  <si>
    <t>Contrôler le revêtement des machine à la recherche de dommages ou de vis desserrées</t>
  </si>
  <si>
    <t>Vérifier la différence de pression du filtre à air sur le couvercle de la salle (voir la description du fabricant)</t>
  </si>
  <si>
    <t xml:space="preserve">Vérifier si le fluide s'échappe des joints d'étanchéité </t>
  </si>
  <si>
    <t>Vérifier l'état de la couroies</t>
  </si>
  <si>
    <t>Faire contrôler en permanence des échantillons de produits à la recherche de résidus de fluide de refroidissement. En cas de résidus de fluide de refroidissement dans le produit, arrêter la production et avertir, (paramix)</t>
  </si>
  <si>
    <t>Vérifier si l'échangeur de chaleur à plaques est déformé ou si des fluides s'échappent. (L'accumulation de liquides à proximité ou en dessous de l'échangeur de chaleur à plaques indique souvent une fuite). En cas de suspicion de fuite à proximité de l'échangeur de chaleur à plaques, avertir,</t>
  </si>
  <si>
    <t>Vérifier si l'échangeur de chaleur à plaques est déformé ou si des fluides
 s'échappent.</t>
  </si>
  <si>
    <t xml:space="preserve"> Vérifier si les verres indicateurs sont endommagés</t>
  </si>
  <si>
    <t>Vérifier l'état des flexibles des pompes doseuses</t>
  </si>
  <si>
    <t>Former un process technician et remplir le coaching form</t>
  </si>
  <si>
    <t>Contrôler le revêtement de la machine à la recherche de dommages ou de vis desserrées.</t>
  </si>
  <si>
    <t>Se rassurer qu'il n'y a pas de bruit anormal</t>
  </si>
  <si>
    <t>Verifier le circuit d'eau de refroidissement</t>
  </si>
  <si>
    <t>Verifier le circuit d'air</t>
  </si>
  <si>
    <t>Controler la fixation du tuyau de retour préformes</t>
  </si>
  <si>
    <t>Se rassurer qu'il n'y a pas de prefomes derrière le tapis élèvateur de preformes</t>
  </si>
  <si>
    <t>Verifier le fonctionnement des manometres et indiquer les valeurs en commentaires</t>
  </si>
  <si>
    <t>Verifier le bon moulage des bouteilles</t>
  </si>
  <si>
    <t>Se rassuer de la pratique 5S dans la salle</t>
  </si>
  <si>
    <t>Faire la visite au magasin</t>
  </si>
  <si>
    <t>Vérifier les flexibles et les raccords de flexibles de la Paroi pneumatique</t>
  </si>
  <si>
    <t>Contrôler de la céramique réflectrice des Caissons chauffants</t>
  </si>
  <si>
    <t>Blomax</t>
  </si>
  <si>
    <t>Verifier que les points de refrence des tetes de scellage sont alignés à 18 pour les BG (si non, les aligner)</t>
  </si>
  <si>
    <t>Vérifier l'état des courroies</t>
  </si>
  <si>
    <t>Contrôler l'état des tapis et signaler toutes anomalies observéés</t>
  </si>
  <si>
    <t>Controler la lubrification des tiges d'étirage en mouvementant (néttoyer et remplacer l'huile au besoin)</t>
  </si>
  <si>
    <t>Contrôler le niveau d'eau de refroidissement dans le bac du Chiller et relever la pression sur le mano</t>
  </si>
  <si>
    <t>Vérifier si la machine est encrassée. En cas d'encrassement, faire nettoyer</t>
  </si>
  <si>
    <t>PARAMIX-CIP</t>
  </si>
  <si>
    <t>Vérifier les fuites de CO2 et d'air</t>
  </si>
  <si>
    <t>Vérifier l'état des flexibles des pompes doseuses du cip</t>
  </si>
  <si>
    <t>Contrôler la fluidité du rotor du Chariot d'étirage</t>
  </si>
  <si>
    <t>Vérifier l'état les flexibles d'air</t>
  </si>
  <si>
    <t>Vérifier si le fluide s'échappe sur la pompe de lubrification et des raccrds</t>
  </si>
  <si>
    <t>Enlever les bouteilles coincées sur les convoyeurs</t>
  </si>
  <si>
    <t>Vérifier la fixation et l'allignement des pieds des convoyeurs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</si>
</sst>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1"/>
      <color rgb="FF000000"/>
      <name val="ArialUnicodeMS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rial Unicode MS"/>
      <family val="2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6" fillId="0" borderId="0"/>
    <xf numFmtId="0" fontId="21" fillId="0" borderId="0"/>
  </cellStyleXfs>
  <cellXfs count="87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18" fillId="0" borderId="20" xfId="0" applyFont="1" applyBorder="1" applyAlignment="1">
      <alignment vertical="center" wrapText="1"/>
    </xf>
    <xf numFmtId="0" fontId="19" fillId="0" borderId="20" xfId="0" applyFont="1" applyBorder="1" applyAlignment="1">
      <alignment vertical="center" wrapText="1"/>
    </xf>
    <xf numFmtId="0" fontId="20" fillId="2" borderId="14" xfId="0" applyFont="1" applyFill="1" applyBorder="1" applyAlignment="1">
      <alignment horizontal="left" vertical="center" wrapText="1"/>
    </xf>
    <xf numFmtId="164" fontId="22" fillId="0" borderId="36" xfId="2" applyNumberFormat="1" applyFont="1" applyBorder="1" applyAlignment="1" applyProtection="1">
      <alignment horizontal="center" vertical="center" wrapText="1"/>
      <protection locked="0"/>
    </xf>
    <xf numFmtId="0" fontId="7" fillId="2" borderId="32" xfId="0" applyFont="1" applyFill="1" applyBorder="1" applyAlignment="1" applyProtection="1">
      <alignment horizontal="center" vertical="center"/>
      <protection hidden="1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23" fillId="0" borderId="20" xfId="0" applyFont="1" applyBorder="1"/>
    <xf numFmtId="0" fontId="24" fillId="0" borderId="20" xfId="0" applyFont="1" applyBorder="1" applyAlignment="1">
      <alignment vertical="center" wrapText="1"/>
    </xf>
    <xf numFmtId="0" fontId="24" fillId="2" borderId="20" xfId="0" applyFont="1" applyFill="1" applyBorder="1" applyAlignment="1">
      <alignment vertical="center" wrapText="1"/>
    </xf>
    <xf numFmtId="0" fontId="23" fillId="2" borderId="20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5" fillId="2" borderId="41" xfId="0" applyFont="1" applyFill="1" applyBorder="1" applyAlignment="1" applyProtection="1">
      <alignment horizontal="center" vertical="center"/>
      <protection locked="0"/>
    </xf>
    <xf numFmtId="164" fontId="22" fillId="0" borderId="20" xfId="2" applyNumberFormat="1" applyFont="1" applyBorder="1" applyAlignment="1" applyProtection="1">
      <alignment horizontal="center" vertical="center" wrapText="1"/>
      <protection locked="0"/>
    </xf>
    <xf numFmtId="0" fontId="23" fillId="0" borderId="20" xfId="0" applyFont="1" applyBorder="1" applyAlignment="1">
      <alignment wrapText="1"/>
    </xf>
    <xf numFmtId="0" fontId="25" fillId="2" borderId="20" xfId="0" applyFont="1" applyFill="1" applyBorder="1" applyAlignment="1">
      <alignment horizontal="left" vertical="center" wrapText="1"/>
    </xf>
    <xf numFmtId="0" fontId="23" fillId="2" borderId="15" xfId="0" applyFont="1" applyFill="1" applyBorder="1" applyAlignment="1">
      <alignment horizontal="left" vertical="center" wrapText="1"/>
    </xf>
    <xf numFmtId="0" fontId="26" fillId="2" borderId="14" xfId="0" applyFont="1" applyFill="1" applyBorder="1" applyAlignment="1">
      <alignment horizontal="left" vertical="center" wrapText="1"/>
    </xf>
    <xf numFmtId="0" fontId="25" fillId="2" borderId="14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 2" xfId="2" xr:uid="{00000000-0005-0000-0000-000001000000}"/>
    <cellStyle name="Normal 3" xfId="1" xr:uid="{00000000-0005-0000-0000-000002000000}"/>
  </cellStyles>
  <dxfs count="40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35717</xdr:colOff>
      <xdr:row>2</xdr:row>
      <xdr:rowOff>19807</xdr:rowOff>
    </xdr:from>
    <xdr:to>
      <xdr:col>2</xdr:col>
      <xdr:colOff>460734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0" y="67432"/>
          <a:ext cx="948892" cy="776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63497</xdr:colOff>
      <xdr:row>2</xdr:row>
      <xdr:rowOff>30390</xdr:rowOff>
    </xdr:from>
    <xdr:to>
      <xdr:col>2</xdr:col>
      <xdr:colOff>624414</xdr:colOff>
      <xdr:row>3</xdr:row>
      <xdr:rowOff>20585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4" y="72723"/>
          <a:ext cx="941917" cy="78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19806</xdr:rowOff>
    </xdr:from>
    <xdr:to>
      <xdr:col>2</xdr:col>
      <xdr:colOff>1587564</xdr:colOff>
      <xdr:row>3</xdr:row>
      <xdr:rowOff>297656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2712"/>
          <a:ext cx="1992377" cy="623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19807</xdr:rowOff>
    </xdr:from>
    <xdr:to>
      <xdr:col>2</xdr:col>
      <xdr:colOff>914400</xdr:colOff>
      <xdr:row>3</xdr:row>
      <xdr:rowOff>295275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10332"/>
          <a:ext cx="1257300" cy="6183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pageSetUpPr fitToPage="1"/>
  </sheetPr>
  <dimension ref="B1:G30"/>
  <sheetViews>
    <sheetView view="pageBreakPreview" zoomScale="90" zoomScaleNormal="55" zoomScaleSheetLayoutView="90" zoomScalePageLayoutView="70" workbookViewId="0">
      <selection activeCell="C22" sqref="C22"/>
    </sheetView>
  </sheetViews>
  <sheetFormatPr defaultColWidth="11.42578125" defaultRowHeight="1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50"/>
    </row>
    <row r="4" spans="2:7" ht="24" thickBot="1">
      <c r="B4" s="14"/>
      <c r="C4" s="15" t="s">
        <v>113</v>
      </c>
      <c r="D4" s="72" t="s">
        <v>40</v>
      </c>
      <c r="E4" s="73"/>
      <c r="F4" s="73"/>
      <c r="G4" s="32" t="s">
        <v>41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55" t="s">
        <v>90</v>
      </c>
      <c r="D8" s="21"/>
      <c r="E8" s="19"/>
      <c r="F8" s="20"/>
      <c r="G8" s="33"/>
    </row>
    <row r="9" spans="2:7" s="4" customFormat="1" ht="19.5" thickBot="1">
      <c r="B9" s="6">
        <v>2</v>
      </c>
      <c r="C9" s="54" t="s">
        <v>87</v>
      </c>
      <c r="D9" s="21"/>
      <c r="E9" s="19"/>
      <c r="F9" s="20"/>
      <c r="G9" s="33"/>
    </row>
    <row r="10" spans="2:7" s="4" customFormat="1" ht="18.75">
      <c r="B10" s="5">
        <v>3</v>
      </c>
      <c r="C10" s="54" t="s">
        <v>101</v>
      </c>
      <c r="D10" s="21"/>
      <c r="E10" s="19"/>
      <c r="F10" s="20"/>
      <c r="G10" s="33"/>
    </row>
    <row r="11" spans="2:7" s="4" customFormat="1" ht="19.5" thickBot="1">
      <c r="B11" s="6">
        <v>4</v>
      </c>
      <c r="C11" s="58" t="s">
        <v>102</v>
      </c>
      <c r="D11" s="21"/>
      <c r="E11" s="19"/>
      <c r="F11" s="20"/>
      <c r="G11" s="33"/>
    </row>
    <row r="12" spans="2:7" s="4" customFormat="1" ht="18.75">
      <c r="B12" s="5">
        <v>5</v>
      </c>
      <c r="C12" s="58" t="s">
        <v>103</v>
      </c>
      <c r="D12" s="21"/>
      <c r="E12" s="19"/>
      <c r="F12" s="20"/>
      <c r="G12" s="33"/>
    </row>
    <row r="13" spans="2:7" s="4" customFormat="1" ht="19.5" thickBot="1">
      <c r="B13" s="6">
        <v>6</v>
      </c>
      <c r="C13" s="58" t="s">
        <v>104</v>
      </c>
      <c r="D13" s="21"/>
      <c r="E13" s="19"/>
      <c r="F13" s="20"/>
      <c r="G13" s="33"/>
    </row>
    <row r="14" spans="2:7" s="4" customFormat="1" ht="18.75">
      <c r="B14" s="5">
        <v>7</v>
      </c>
      <c r="C14" s="58" t="s">
        <v>105</v>
      </c>
      <c r="D14" s="21"/>
      <c r="E14" s="19"/>
      <c r="F14" s="20"/>
      <c r="G14" s="33"/>
    </row>
    <row r="15" spans="2:7" s="4" customFormat="1" ht="19.5" thickBot="1">
      <c r="B15" s="6">
        <v>8</v>
      </c>
      <c r="C15" s="58" t="s">
        <v>106</v>
      </c>
      <c r="D15" s="21"/>
      <c r="E15" s="19"/>
      <c r="F15" s="20"/>
      <c r="G15" s="33"/>
    </row>
    <row r="16" spans="2:7" s="4" customFormat="1" ht="18.75">
      <c r="B16" s="5">
        <v>9</v>
      </c>
      <c r="C16" s="58" t="s">
        <v>107</v>
      </c>
      <c r="D16" s="21"/>
      <c r="E16" s="19"/>
      <c r="F16" s="20"/>
      <c r="G16" s="33"/>
    </row>
    <row r="17" spans="2:7" s="4" customFormat="1" ht="19.5" thickBot="1">
      <c r="B17" s="6">
        <v>10</v>
      </c>
      <c r="C17" s="58" t="s">
        <v>108</v>
      </c>
      <c r="D17" s="21"/>
      <c r="E17" s="19"/>
      <c r="F17" s="20"/>
      <c r="G17" s="33"/>
    </row>
    <row r="18" spans="2:7" s="4" customFormat="1" ht="18.75">
      <c r="B18" s="5">
        <v>11</v>
      </c>
      <c r="C18" s="58" t="s">
        <v>109</v>
      </c>
      <c r="D18" s="21"/>
      <c r="E18" s="19"/>
      <c r="F18" s="20"/>
      <c r="G18" s="33"/>
    </row>
    <row r="19" spans="2:7" s="4" customFormat="1" ht="19.5" thickBot="1">
      <c r="B19" s="6">
        <v>12</v>
      </c>
      <c r="C19" s="58" t="s">
        <v>110</v>
      </c>
      <c r="D19" s="21"/>
      <c r="E19" s="19"/>
      <c r="F19" s="20"/>
      <c r="G19" s="33"/>
    </row>
    <row r="20" spans="2:7" s="4" customFormat="1" ht="18.75">
      <c r="B20" s="5">
        <v>13</v>
      </c>
      <c r="C20" s="58" t="s">
        <v>112</v>
      </c>
      <c r="D20" s="21"/>
      <c r="E20" s="19"/>
      <c r="F20" s="20"/>
      <c r="G20" s="33"/>
    </row>
    <row r="21" spans="2:7" s="4" customFormat="1" ht="19.5" thickBot="1">
      <c r="B21" s="6">
        <v>14</v>
      </c>
      <c r="C21" s="58" t="s">
        <v>123</v>
      </c>
      <c r="D21" s="21"/>
      <c r="E21" s="19"/>
      <c r="F21" s="20"/>
      <c r="G21" s="33"/>
    </row>
    <row r="22" spans="2:7" s="4" customFormat="1" ht="18.75">
      <c r="B22" s="5">
        <v>15</v>
      </c>
      <c r="C22" s="58" t="s">
        <v>111</v>
      </c>
      <c r="D22" s="21"/>
      <c r="E22" s="19"/>
      <c r="F22" s="20"/>
      <c r="G22" s="33"/>
    </row>
    <row r="23" spans="2:7" s="4" customFormat="1" ht="30.75" thickBot="1">
      <c r="B23" s="6">
        <v>16</v>
      </c>
      <c r="C23" s="58" t="s">
        <v>117</v>
      </c>
      <c r="D23" s="21"/>
      <c r="E23" s="19"/>
      <c r="F23" s="20"/>
      <c r="G23" s="33"/>
    </row>
    <row r="24" spans="2:7" s="4" customFormat="1" ht="19.5" thickBot="1">
      <c r="B24" s="5">
        <v>17</v>
      </c>
      <c r="C24" s="63" t="s">
        <v>118</v>
      </c>
      <c r="D24" s="22"/>
      <c r="E24" s="7"/>
      <c r="F24" s="8"/>
      <c r="G24" s="34"/>
    </row>
    <row r="25" spans="2:7" s="12" customFormat="1" ht="18.75" thickBot="1">
      <c r="B25" s="76" t="s">
        <v>13</v>
      </c>
      <c r="C25" s="77"/>
      <c r="D25" s="78" t="s">
        <v>7</v>
      </c>
      <c r="E25" s="79"/>
      <c r="F25" s="80"/>
      <c r="G25" s="24" t="s">
        <v>8</v>
      </c>
    </row>
    <row r="26" spans="2:7">
      <c r="B26" s="81"/>
      <c r="C26" s="82"/>
      <c r="D26" s="82"/>
      <c r="E26" s="82"/>
      <c r="F26" s="82"/>
      <c r="G26" s="66"/>
    </row>
    <row r="27" spans="2:7">
      <c r="B27" s="83"/>
      <c r="C27" s="84"/>
      <c r="D27" s="84"/>
      <c r="E27" s="84"/>
      <c r="F27" s="84"/>
      <c r="G27" s="67"/>
    </row>
    <row r="28" spans="2:7">
      <c r="B28" s="83"/>
      <c r="C28" s="84"/>
      <c r="D28" s="84"/>
      <c r="E28" s="84"/>
      <c r="F28" s="84"/>
      <c r="G28" s="67"/>
    </row>
    <row r="29" spans="2:7">
      <c r="B29" s="83"/>
      <c r="C29" s="84"/>
      <c r="D29" s="84"/>
      <c r="E29" s="84"/>
      <c r="F29" s="84"/>
      <c r="G29" s="67"/>
    </row>
    <row r="30" spans="2:7" ht="15.75" thickBot="1">
      <c r="B30" s="85"/>
      <c r="C30" s="86"/>
      <c r="D30" s="86"/>
      <c r="E30" s="86"/>
      <c r="F30" s="86"/>
      <c r="G30" s="68"/>
    </row>
  </sheetData>
  <sheetProtection selectLockedCells="1"/>
  <mergeCells count="8">
    <mergeCell ref="G26:G30"/>
    <mergeCell ref="B3:F3"/>
    <mergeCell ref="D4:F4"/>
    <mergeCell ref="E6:F6"/>
    <mergeCell ref="B25:C25"/>
    <mergeCell ref="D25:F25"/>
    <mergeCell ref="B26:C30"/>
    <mergeCell ref="D26:F30"/>
  </mergeCells>
  <conditionalFormatting sqref="D8:D24">
    <cfRule type="cellIs" dxfId="39" priority="1" operator="equal">
      <formula>3</formula>
    </cfRule>
    <cfRule type="cellIs" dxfId="3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  <pageSetUpPr fitToPage="1"/>
  </sheetPr>
  <dimension ref="B1:G23"/>
  <sheetViews>
    <sheetView view="pageBreakPreview" topLeftCell="A4" zoomScale="90" zoomScaleNormal="55" zoomScaleSheetLayoutView="90" zoomScalePageLayoutView="70" workbookViewId="0">
      <selection activeCell="C15" sqref="C15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50"/>
    </row>
    <row r="4" spans="2:7" ht="24" thickBot="1">
      <c r="B4" s="14"/>
      <c r="C4" s="15" t="s">
        <v>16</v>
      </c>
      <c r="D4" s="72" t="s">
        <v>40</v>
      </c>
      <c r="E4" s="73"/>
      <c r="F4" s="73"/>
      <c r="G4" s="32" t="s">
        <v>41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2">
        <v>1</v>
      </c>
      <c r="C8" s="55" t="s">
        <v>90</v>
      </c>
      <c r="D8" s="51"/>
      <c r="E8" s="19"/>
      <c r="F8" s="20"/>
      <c r="G8" s="33"/>
    </row>
    <row r="9" spans="2:7" s="4" customFormat="1" ht="18.75">
      <c r="B9" s="53">
        <v>2</v>
      </c>
      <c r="C9" s="54" t="s">
        <v>87</v>
      </c>
      <c r="D9" s="51"/>
      <c r="E9" s="19"/>
      <c r="F9" s="20"/>
      <c r="G9" s="33"/>
    </row>
    <row r="10" spans="2:7" s="4" customFormat="1" ht="18.75">
      <c r="B10" s="53">
        <v>4</v>
      </c>
      <c r="C10" s="55" t="s">
        <v>91</v>
      </c>
      <c r="D10" s="51"/>
      <c r="E10" s="19"/>
      <c r="F10" s="20"/>
      <c r="G10" s="33"/>
    </row>
    <row r="11" spans="2:7" s="4" customFormat="1" ht="18.75">
      <c r="B11" s="52">
        <v>5</v>
      </c>
      <c r="C11" s="55" t="s">
        <v>52</v>
      </c>
      <c r="D11" s="51"/>
      <c r="E11" s="19"/>
      <c r="F11" s="20"/>
      <c r="G11" s="33"/>
    </row>
    <row r="12" spans="2:7" s="4" customFormat="1" ht="30">
      <c r="B12" s="53">
        <v>6</v>
      </c>
      <c r="C12" s="56" t="s">
        <v>92</v>
      </c>
      <c r="D12" s="51"/>
      <c r="E12" s="19"/>
      <c r="F12" s="20"/>
      <c r="G12" s="33"/>
    </row>
    <row r="13" spans="2:7" s="4" customFormat="1" ht="18.75">
      <c r="B13" s="52">
        <v>7</v>
      </c>
      <c r="C13" s="55" t="s">
        <v>93</v>
      </c>
      <c r="D13" s="51"/>
      <c r="E13" s="19"/>
      <c r="F13" s="20"/>
      <c r="G13" s="33"/>
    </row>
    <row r="14" spans="2:7" s="4" customFormat="1" ht="18.75">
      <c r="B14" s="53">
        <v>8</v>
      </c>
      <c r="C14" s="57" t="s">
        <v>94</v>
      </c>
      <c r="D14" s="51"/>
      <c r="E14" s="19"/>
      <c r="F14" s="20"/>
      <c r="G14" s="33"/>
    </row>
    <row r="15" spans="2:7" s="4" customFormat="1" ht="18.75">
      <c r="B15" s="52">
        <v>9</v>
      </c>
      <c r="C15" s="57" t="s">
        <v>100</v>
      </c>
      <c r="D15" s="51"/>
      <c r="E15" s="19"/>
      <c r="F15" s="20"/>
      <c r="G15" s="33"/>
    </row>
    <row r="16" spans="2:7" s="4" customFormat="1" ht="30">
      <c r="B16" s="53">
        <v>10</v>
      </c>
      <c r="C16" s="58" t="s">
        <v>114</v>
      </c>
      <c r="D16" s="21"/>
      <c r="E16" s="19"/>
      <c r="F16" s="20"/>
      <c r="G16" s="33"/>
    </row>
    <row r="17" spans="2:7" s="4" customFormat="1" ht="19.5" thickBot="1">
      <c r="B17" s="52">
        <v>11</v>
      </c>
      <c r="C17" s="64"/>
      <c r="D17" s="21"/>
      <c r="E17" s="19"/>
      <c r="F17" s="20"/>
      <c r="G17" s="33"/>
    </row>
    <row r="18" spans="2:7" ht="18.75" thickBot="1">
      <c r="B18" s="76" t="s">
        <v>13</v>
      </c>
      <c r="C18" s="77"/>
      <c r="D18" s="78" t="s">
        <v>7</v>
      </c>
      <c r="E18" s="79"/>
      <c r="F18" s="80"/>
      <c r="G18" s="24" t="s">
        <v>8</v>
      </c>
    </row>
    <row r="19" spans="2:7">
      <c r="B19" s="81"/>
      <c r="C19" s="82"/>
      <c r="D19" s="82"/>
      <c r="E19" s="82"/>
      <c r="F19" s="82"/>
      <c r="G19" s="66"/>
    </row>
    <row r="20" spans="2:7">
      <c r="B20" s="83"/>
      <c r="C20" s="84"/>
      <c r="D20" s="84"/>
      <c r="E20" s="84"/>
      <c r="F20" s="84"/>
      <c r="G20" s="67"/>
    </row>
    <row r="21" spans="2:7">
      <c r="B21" s="83"/>
      <c r="C21" s="84"/>
      <c r="D21" s="84"/>
      <c r="E21" s="84"/>
      <c r="F21" s="84"/>
      <c r="G21" s="67"/>
    </row>
    <row r="22" spans="2:7">
      <c r="B22" s="83"/>
      <c r="C22" s="84"/>
      <c r="D22" s="84"/>
      <c r="E22" s="84"/>
      <c r="F22" s="84"/>
      <c r="G22" s="67"/>
    </row>
    <row r="23" spans="2:7" ht="15.75" thickBot="1">
      <c r="B23" s="85"/>
      <c r="C23" s="86"/>
      <c r="D23" s="86"/>
      <c r="E23" s="86"/>
      <c r="F23" s="86"/>
      <c r="G23" s="68"/>
    </row>
  </sheetData>
  <sheetProtection selectLockedCells="1"/>
  <mergeCells count="8">
    <mergeCell ref="B19:C23"/>
    <mergeCell ref="D19:F23"/>
    <mergeCell ref="G19:G23"/>
    <mergeCell ref="B3:F3"/>
    <mergeCell ref="D4:F4"/>
    <mergeCell ref="E6:F6"/>
    <mergeCell ref="B18:C18"/>
    <mergeCell ref="D18:F18"/>
  </mergeCells>
  <conditionalFormatting sqref="D8:D17">
    <cfRule type="cellIs" dxfId="37" priority="3" operator="equal">
      <formula>3</formula>
    </cfRule>
    <cfRule type="cellIs" dxfId="36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fitToPage="1"/>
  </sheetPr>
  <dimension ref="B2:G25"/>
  <sheetViews>
    <sheetView tabSelected="1" zoomScale="80" zoomScaleNormal="80" workbookViewId="0">
      <selection activeCell="C17" sqref="C17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2" spans="2:7" ht="15.75" thickBot="1"/>
    <row r="3" spans="2:7" ht="27" thickBot="1">
      <c r="B3" s="69" t="s">
        <v>11</v>
      </c>
      <c r="C3" s="70"/>
      <c r="D3" s="70"/>
      <c r="E3" s="70"/>
      <c r="F3" s="70"/>
      <c r="G3" s="60"/>
    </row>
    <row r="4" spans="2:7" ht="24" thickBot="1">
      <c r="B4" s="14"/>
      <c r="C4" s="15" t="s">
        <v>120</v>
      </c>
      <c r="D4" s="72" t="s">
        <v>40</v>
      </c>
      <c r="E4" s="73"/>
      <c r="F4" s="73"/>
      <c r="G4" s="59" t="s">
        <v>41</v>
      </c>
    </row>
    <row r="5" spans="2:7" ht="15.75" thickBot="1">
      <c r="B5" s="2"/>
      <c r="C5" s="2"/>
      <c r="D5" s="3"/>
      <c r="E5" s="3"/>
      <c r="F5" s="3"/>
      <c r="G5" s="3"/>
    </row>
    <row r="6" spans="2:7" ht="18.75" thickBot="1">
      <c r="E6" s="74" t="s">
        <v>0</v>
      </c>
      <c r="F6" s="75"/>
    </row>
    <row r="7" spans="2:7" s="4" customFormat="1" ht="16.5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2">
        <v>1</v>
      </c>
      <c r="C8" s="54" t="s">
        <v>51</v>
      </c>
      <c r="D8" s="51"/>
      <c r="E8" s="19"/>
      <c r="F8" s="20"/>
      <c r="G8" s="33"/>
    </row>
    <row r="9" spans="2:7" s="4" customFormat="1" ht="18.75">
      <c r="B9" s="53">
        <v>2</v>
      </c>
      <c r="C9" s="54" t="s">
        <v>119</v>
      </c>
      <c r="D9" s="51"/>
      <c r="E9" s="19"/>
      <c r="F9" s="20"/>
      <c r="G9" s="33"/>
    </row>
    <row r="10" spans="2:7" s="4" customFormat="1" ht="18.75">
      <c r="B10" s="52">
        <v>3</v>
      </c>
      <c r="C10" s="54" t="s">
        <v>42</v>
      </c>
      <c r="D10" s="51"/>
      <c r="E10" s="19"/>
      <c r="F10" s="20"/>
      <c r="G10" s="33"/>
    </row>
    <row r="11" spans="2:7" s="4" customFormat="1" ht="18.75">
      <c r="B11" s="53">
        <v>4</v>
      </c>
      <c r="C11" s="54" t="s">
        <v>52</v>
      </c>
      <c r="D11" s="51"/>
      <c r="E11" s="19"/>
      <c r="F11" s="20"/>
      <c r="G11" s="33"/>
    </row>
    <row r="12" spans="2:7" s="4" customFormat="1" ht="18.75">
      <c r="B12" s="52">
        <v>5</v>
      </c>
      <c r="C12" s="54" t="s">
        <v>121</v>
      </c>
      <c r="D12" s="51"/>
      <c r="E12" s="19"/>
      <c r="F12" s="20"/>
      <c r="G12" s="33"/>
    </row>
    <row r="13" spans="2:7" s="4" customFormat="1" ht="18.75">
      <c r="B13" s="53">
        <v>6</v>
      </c>
      <c r="C13" s="54" t="s">
        <v>88</v>
      </c>
      <c r="D13" s="51"/>
      <c r="E13" s="19"/>
      <c r="F13" s="20"/>
      <c r="G13" s="33"/>
    </row>
    <row r="14" spans="2:7" s="4" customFormat="1" ht="45">
      <c r="B14" s="52">
        <v>7</v>
      </c>
      <c r="C14" s="55" t="s">
        <v>95</v>
      </c>
      <c r="D14" s="51"/>
      <c r="E14" s="19"/>
      <c r="F14" s="20"/>
      <c r="G14" s="33"/>
    </row>
    <row r="15" spans="2:7" s="4" customFormat="1" ht="60">
      <c r="B15" s="53">
        <v>8</v>
      </c>
      <c r="C15" s="55" t="s">
        <v>96</v>
      </c>
      <c r="D15" s="51"/>
      <c r="E15" s="19"/>
      <c r="F15" s="20"/>
      <c r="G15" s="33"/>
    </row>
    <row r="16" spans="2:7" s="4" customFormat="1" ht="18.75">
      <c r="B16" s="52">
        <v>9</v>
      </c>
      <c r="C16" s="55" t="s">
        <v>122</v>
      </c>
      <c r="D16" s="51"/>
      <c r="E16" s="19"/>
      <c r="F16" s="20"/>
      <c r="G16" s="33"/>
    </row>
    <row r="17" spans="2:7" s="4" customFormat="1" ht="18.75">
      <c r="B17" s="52">
        <v>10</v>
      </c>
      <c r="C17" s="62" t="s">
        <v>100</v>
      </c>
      <c r="D17" s="51"/>
      <c r="E17" s="19"/>
      <c r="F17" s="20"/>
      <c r="G17" s="33"/>
    </row>
    <row r="18" spans="2:7" s="4" customFormat="1" ht="18.75">
      <c r="B18" s="52"/>
      <c r="C18" s="55"/>
      <c r="D18" s="51"/>
      <c r="E18" s="19"/>
      <c r="F18" s="20"/>
      <c r="G18" s="33"/>
    </row>
    <row r="19" spans="2:7" s="4" customFormat="1" ht="19.5" thickBot="1">
      <c r="B19" s="53"/>
      <c r="C19" s="62"/>
      <c r="D19" s="51"/>
      <c r="E19" s="19"/>
      <c r="F19" s="20"/>
      <c r="G19" s="33"/>
    </row>
    <row r="20" spans="2:7" ht="18.75" thickBot="1">
      <c r="B20" s="76" t="s">
        <v>13</v>
      </c>
      <c r="C20" s="77"/>
      <c r="D20" s="78" t="s">
        <v>7</v>
      </c>
      <c r="E20" s="79"/>
      <c r="F20" s="80"/>
      <c r="G20" s="24" t="s">
        <v>8</v>
      </c>
    </row>
    <row r="21" spans="2:7">
      <c r="B21" s="81"/>
      <c r="C21" s="82"/>
      <c r="D21" s="82"/>
      <c r="E21" s="82"/>
      <c r="F21" s="82"/>
      <c r="G21" s="66"/>
    </row>
    <row r="22" spans="2:7">
      <c r="B22" s="83"/>
      <c r="C22" s="84"/>
      <c r="D22" s="84"/>
      <c r="E22" s="84"/>
      <c r="F22" s="84"/>
      <c r="G22" s="67"/>
    </row>
    <row r="23" spans="2:7">
      <c r="B23" s="83"/>
      <c r="C23" s="84"/>
      <c r="D23" s="84"/>
      <c r="E23" s="84"/>
      <c r="F23" s="84"/>
      <c r="G23" s="67"/>
    </row>
    <row r="24" spans="2:7">
      <c r="B24" s="83"/>
      <c r="C24" s="84"/>
      <c r="D24" s="84"/>
      <c r="E24" s="84"/>
      <c r="F24" s="84"/>
      <c r="G24" s="67"/>
    </row>
    <row r="25" spans="2:7" ht="15.75" thickBot="1">
      <c r="B25" s="85"/>
      <c r="C25" s="86"/>
      <c r="D25" s="86"/>
      <c r="E25" s="86"/>
      <c r="F25" s="86"/>
      <c r="G25" s="68"/>
    </row>
  </sheetData>
  <mergeCells count="8">
    <mergeCell ref="G21:G25"/>
    <mergeCell ref="B3:F3"/>
    <mergeCell ref="D4:F4"/>
    <mergeCell ref="E6:F6"/>
    <mergeCell ref="B20:C20"/>
    <mergeCell ref="D20:F20"/>
    <mergeCell ref="B21:C25"/>
    <mergeCell ref="D21:F25"/>
  </mergeCells>
  <conditionalFormatting sqref="D8:D19">
    <cfRule type="cellIs" dxfId="35" priority="1" operator="equal">
      <formula>3</formula>
    </cfRule>
    <cfRule type="cellIs" dxfId="34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  <pageSetUpPr fitToPage="1"/>
  </sheetPr>
  <dimension ref="B2:G23"/>
  <sheetViews>
    <sheetView topLeftCell="A4" zoomScaleNormal="100" workbookViewId="0">
      <selection activeCell="C14" sqref="C14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2" spans="2:7" ht="15.75" thickBot="1"/>
    <row r="3" spans="2:7" ht="27" thickBot="1">
      <c r="B3" s="69" t="s">
        <v>11</v>
      </c>
      <c r="C3" s="70"/>
      <c r="D3" s="70"/>
      <c r="E3" s="70"/>
      <c r="F3" s="71"/>
      <c r="G3" s="50"/>
    </row>
    <row r="4" spans="2:7" ht="24" thickBot="1">
      <c r="B4" s="14"/>
      <c r="C4" s="15" t="s">
        <v>43</v>
      </c>
      <c r="D4" s="72" t="s">
        <v>40</v>
      </c>
      <c r="E4" s="73"/>
      <c r="F4" s="73"/>
      <c r="G4" s="32" t="s">
        <v>41</v>
      </c>
    </row>
    <row r="5" spans="2:7" ht="15.75" thickBot="1">
      <c r="B5" s="2"/>
      <c r="C5" s="2"/>
      <c r="D5" s="3"/>
      <c r="E5" s="3"/>
      <c r="F5" s="3"/>
      <c r="G5" s="3"/>
    </row>
    <row r="6" spans="2:7" ht="18.75" thickBot="1">
      <c r="E6" s="74" t="s">
        <v>0</v>
      </c>
      <c r="F6" s="75"/>
    </row>
    <row r="7" spans="2:7" s="4" customFormat="1" ht="16.5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2">
        <v>1</v>
      </c>
      <c r="C8" s="55" t="s">
        <v>44</v>
      </c>
      <c r="D8" s="51"/>
      <c r="E8" s="19"/>
      <c r="F8" s="20"/>
      <c r="G8" s="33"/>
    </row>
    <row r="9" spans="2:7" s="4" customFormat="1" ht="18.75">
      <c r="B9" s="53">
        <v>2</v>
      </c>
      <c r="C9" s="54" t="s">
        <v>51</v>
      </c>
      <c r="D9" s="51"/>
      <c r="E9" s="19"/>
      <c r="F9" s="20"/>
      <c r="G9" s="33"/>
    </row>
    <row r="10" spans="2:7" s="4" customFormat="1" ht="18.75">
      <c r="B10" s="52">
        <v>3</v>
      </c>
      <c r="C10" s="61" t="s">
        <v>98</v>
      </c>
      <c r="D10" s="51"/>
      <c r="E10" s="19"/>
      <c r="F10" s="20"/>
      <c r="G10" s="33"/>
    </row>
    <row r="11" spans="2:7" s="4" customFormat="1" ht="18.75">
      <c r="B11" s="53">
        <v>4</v>
      </c>
      <c r="C11" s="54" t="s">
        <v>89</v>
      </c>
      <c r="D11" s="51"/>
      <c r="E11" s="19"/>
      <c r="F11" s="20"/>
      <c r="G11" s="33"/>
    </row>
    <row r="12" spans="2:7" s="4" customFormat="1" ht="30">
      <c r="B12" s="52">
        <v>5</v>
      </c>
      <c r="C12" s="55" t="s">
        <v>97</v>
      </c>
      <c r="D12" s="51"/>
      <c r="E12" s="19"/>
      <c r="F12" s="20"/>
      <c r="G12" s="33"/>
    </row>
    <row r="13" spans="2:7" s="4" customFormat="1" ht="60">
      <c r="B13" s="53">
        <v>6</v>
      </c>
      <c r="C13" s="55" t="s">
        <v>96</v>
      </c>
      <c r="D13" s="51"/>
      <c r="E13" s="19"/>
      <c r="F13" s="20"/>
      <c r="G13" s="33"/>
    </row>
    <row r="14" spans="2:7" s="4" customFormat="1" ht="18.75">
      <c r="B14" s="52">
        <v>7</v>
      </c>
      <c r="C14" s="55" t="s">
        <v>99</v>
      </c>
      <c r="D14" s="51"/>
      <c r="E14" s="19"/>
      <c r="F14" s="20"/>
      <c r="G14" s="33"/>
    </row>
    <row r="15" spans="2:7" s="4" customFormat="1" ht="18.75">
      <c r="B15" s="53">
        <v>8</v>
      </c>
      <c r="C15" s="62" t="s">
        <v>100</v>
      </c>
      <c r="D15" s="51"/>
      <c r="E15" s="19"/>
      <c r="F15" s="20"/>
      <c r="G15" s="33"/>
    </row>
    <row r="16" spans="2:7" s="4" customFormat="1" ht="18.75">
      <c r="B16" s="52">
        <v>9</v>
      </c>
      <c r="C16" s="57"/>
      <c r="D16" s="51"/>
      <c r="E16" s="19"/>
      <c r="F16" s="20"/>
      <c r="G16" s="33"/>
    </row>
    <row r="17" spans="2:7" s="4" customFormat="1" ht="19.5" thickBot="1">
      <c r="B17" s="53">
        <v>10</v>
      </c>
      <c r="C17" s="57"/>
      <c r="D17" s="51"/>
      <c r="E17" s="19"/>
      <c r="F17" s="20"/>
      <c r="G17" s="33"/>
    </row>
    <row r="18" spans="2:7" ht="18.75" thickBot="1">
      <c r="B18" s="76" t="s">
        <v>13</v>
      </c>
      <c r="C18" s="77"/>
      <c r="D18" s="78" t="s">
        <v>7</v>
      </c>
      <c r="E18" s="79"/>
      <c r="F18" s="80"/>
      <c r="G18" s="24" t="s">
        <v>8</v>
      </c>
    </row>
    <row r="19" spans="2:7">
      <c r="B19" s="81"/>
      <c r="C19" s="82"/>
      <c r="D19" s="82"/>
      <c r="E19" s="82"/>
      <c r="F19" s="82"/>
      <c r="G19" s="66"/>
    </row>
    <row r="20" spans="2:7">
      <c r="B20" s="83"/>
      <c r="C20" s="84"/>
      <c r="D20" s="84"/>
      <c r="E20" s="84"/>
      <c r="F20" s="84"/>
      <c r="G20" s="67"/>
    </row>
    <row r="21" spans="2:7">
      <c r="B21" s="83"/>
      <c r="C21" s="84"/>
      <c r="D21" s="84"/>
      <c r="E21" s="84"/>
      <c r="F21" s="84"/>
      <c r="G21" s="67"/>
    </row>
    <row r="22" spans="2:7">
      <c r="B22" s="83"/>
      <c r="C22" s="84"/>
      <c r="D22" s="84"/>
      <c r="E22" s="84"/>
      <c r="F22" s="84"/>
      <c r="G22" s="67"/>
    </row>
    <row r="23" spans="2:7" ht="15.75" thickBot="1">
      <c r="B23" s="85"/>
      <c r="C23" s="86"/>
      <c r="D23" s="86"/>
      <c r="E23" s="86"/>
      <c r="F23" s="86"/>
      <c r="G23" s="68"/>
    </row>
  </sheetData>
  <mergeCells count="8">
    <mergeCell ref="G19:G23"/>
    <mergeCell ref="B3:F3"/>
    <mergeCell ref="D4:F4"/>
    <mergeCell ref="E6:F6"/>
    <mergeCell ref="B18:C18"/>
    <mergeCell ref="D18:F18"/>
    <mergeCell ref="B19:C23"/>
    <mergeCell ref="D19:F23"/>
  </mergeCells>
  <conditionalFormatting sqref="D8:D17">
    <cfRule type="cellIs" dxfId="33" priority="1" operator="equal">
      <formula>3</formula>
    </cfRule>
    <cfRule type="cellIs" dxfId="32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  <pageSetUpPr fitToPage="1"/>
  </sheetPr>
  <dimension ref="B1:G25"/>
  <sheetViews>
    <sheetView view="pageBreakPreview" topLeftCell="A4" zoomScaleNormal="55" zoomScaleSheetLayoutView="100" zoomScalePageLayoutView="70" workbookViewId="0">
      <selection activeCell="B21" sqref="B21:C25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50"/>
    </row>
    <row r="4" spans="2:7" ht="24" thickBot="1">
      <c r="B4" s="14"/>
      <c r="C4" s="15" t="s">
        <v>17</v>
      </c>
      <c r="D4" s="72" t="s">
        <v>40</v>
      </c>
      <c r="E4" s="73"/>
      <c r="F4" s="73"/>
      <c r="G4" s="32" t="s">
        <v>41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48" t="s">
        <v>55</v>
      </c>
      <c r="D8" s="21"/>
      <c r="E8" s="19"/>
      <c r="F8" s="20"/>
      <c r="G8" s="33"/>
    </row>
    <row r="9" spans="2:7" s="4" customFormat="1" ht="18.75">
      <c r="B9" s="6">
        <v>2</v>
      </c>
      <c r="C9" s="48" t="s">
        <v>79</v>
      </c>
      <c r="D9" s="21"/>
      <c r="E9" s="19"/>
      <c r="F9" s="20"/>
      <c r="G9" s="33"/>
    </row>
    <row r="10" spans="2:7" s="4" customFormat="1" ht="18.75">
      <c r="B10" s="6">
        <v>3</v>
      </c>
      <c r="C10" s="48" t="s">
        <v>80</v>
      </c>
      <c r="D10" s="21"/>
      <c r="E10" s="19"/>
      <c r="F10" s="20"/>
      <c r="G10" s="33"/>
    </row>
    <row r="11" spans="2:7" s="4" customFormat="1" ht="18.75">
      <c r="B11" s="6">
        <v>4</v>
      </c>
      <c r="C11" s="48" t="s">
        <v>81</v>
      </c>
      <c r="D11" s="21"/>
      <c r="E11" s="19"/>
      <c r="F11" s="20"/>
      <c r="G11" s="33"/>
    </row>
    <row r="12" spans="2:7" s="4" customFormat="1" ht="18.75">
      <c r="B12" s="6">
        <v>5</v>
      </c>
      <c r="C12" s="48" t="s">
        <v>82</v>
      </c>
      <c r="D12" s="21"/>
      <c r="E12" s="19"/>
      <c r="F12" s="20"/>
      <c r="G12" s="33"/>
    </row>
    <row r="13" spans="2:7" s="4" customFormat="1" ht="18.75">
      <c r="B13" s="37">
        <v>6</v>
      </c>
      <c r="C13" s="48" t="s">
        <v>53</v>
      </c>
      <c r="D13" s="21"/>
      <c r="E13" s="19"/>
      <c r="F13" s="20"/>
      <c r="G13" s="33"/>
    </row>
    <row r="14" spans="2:7" s="4" customFormat="1" ht="18.75">
      <c r="B14" s="6">
        <v>7</v>
      </c>
      <c r="C14" s="48" t="s">
        <v>54</v>
      </c>
      <c r="D14" s="21"/>
      <c r="E14" s="19"/>
      <c r="F14" s="20"/>
      <c r="G14" s="33"/>
    </row>
    <row r="15" spans="2:7" s="4" customFormat="1" ht="18.75">
      <c r="B15" s="37">
        <v>8</v>
      </c>
      <c r="C15" s="49" t="s">
        <v>115</v>
      </c>
      <c r="D15" s="21"/>
      <c r="E15" s="19"/>
      <c r="F15" s="20"/>
      <c r="G15" s="33"/>
    </row>
    <row r="16" spans="2:7" s="4" customFormat="1" ht="18.75">
      <c r="B16" s="6">
        <v>9</v>
      </c>
      <c r="C16" s="49" t="s">
        <v>83</v>
      </c>
      <c r="D16" s="21"/>
      <c r="E16" s="19"/>
      <c r="F16" s="20"/>
      <c r="G16" s="33"/>
    </row>
    <row r="17" spans="2:7" s="4" customFormat="1" ht="18.75">
      <c r="B17" s="37">
        <v>10</v>
      </c>
      <c r="C17" s="57" t="s">
        <v>124</v>
      </c>
      <c r="D17" s="21"/>
      <c r="E17" s="19"/>
      <c r="F17" s="20"/>
      <c r="G17" s="33"/>
    </row>
    <row r="18" spans="2:7" ht="18.75">
      <c r="B18" s="37">
        <v>11</v>
      </c>
      <c r="C18" s="57" t="s">
        <v>100</v>
      </c>
      <c r="D18" s="22"/>
      <c r="E18" s="7"/>
      <c r="F18" s="8"/>
      <c r="G18" s="34"/>
    </row>
    <row r="19" spans="2:7" ht="21" thickBot="1">
      <c r="B19" s="6">
        <v>12</v>
      </c>
      <c r="C19" s="17"/>
      <c r="D19" s="22"/>
      <c r="E19" s="7"/>
      <c r="F19" s="8"/>
      <c r="G19" s="34"/>
    </row>
    <row r="20" spans="2:7" ht="18.75" thickBot="1">
      <c r="B20" s="76" t="s">
        <v>13</v>
      </c>
      <c r="C20" s="77"/>
      <c r="D20" s="78" t="s">
        <v>7</v>
      </c>
      <c r="E20" s="79"/>
      <c r="F20" s="80"/>
      <c r="G20" s="24" t="s">
        <v>8</v>
      </c>
    </row>
    <row r="21" spans="2:7">
      <c r="B21" s="81"/>
      <c r="C21" s="82"/>
      <c r="D21" s="82"/>
      <c r="E21" s="82"/>
      <c r="F21" s="82"/>
      <c r="G21" s="66"/>
    </row>
    <row r="22" spans="2:7">
      <c r="B22" s="83"/>
      <c r="C22" s="84"/>
      <c r="D22" s="84"/>
      <c r="E22" s="84"/>
      <c r="F22" s="84"/>
      <c r="G22" s="67"/>
    </row>
    <row r="23" spans="2:7">
      <c r="B23" s="83"/>
      <c r="C23" s="84"/>
      <c r="D23" s="84"/>
      <c r="E23" s="84"/>
      <c r="F23" s="84"/>
      <c r="G23" s="67"/>
    </row>
    <row r="24" spans="2:7">
      <c r="B24" s="83"/>
      <c r="C24" s="84"/>
      <c r="D24" s="84"/>
      <c r="E24" s="84"/>
      <c r="F24" s="84"/>
      <c r="G24" s="67"/>
    </row>
    <row r="25" spans="2:7" ht="15.75" thickBot="1">
      <c r="B25" s="85"/>
      <c r="C25" s="86"/>
      <c r="D25" s="86"/>
      <c r="E25" s="86"/>
      <c r="F25" s="86"/>
      <c r="G25" s="68"/>
    </row>
  </sheetData>
  <sheetProtection selectLockedCells="1"/>
  <mergeCells count="8">
    <mergeCell ref="B21:C25"/>
    <mergeCell ref="D21:F25"/>
    <mergeCell ref="G21:G25"/>
    <mergeCell ref="B3:F3"/>
    <mergeCell ref="D4:F4"/>
    <mergeCell ref="E6:F6"/>
    <mergeCell ref="B20:C20"/>
    <mergeCell ref="D20:F20"/>
  </mergeCells>
  <conditionalFormatting sqref="D8:D19">
    <cfRule type="cellIs" dxfId="31" priority="3" operator="equal">
      <formula>3</formula>
    </cfRule>
    <cfRule type="cellIs" dxfId="30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  <pageSetUpPr fitToPage="1"/>
  </sheetPr>
  <dimension ref="B1:G37"/>
  <sheetViews>
    <sheetView view="pageBreakPreview" topLeftCell="A10" zoomScale="80" zoomScaleNormal="55" zoomScaleSheetLayoutView="80" zoomScalePageLayoutView="70" workbookViewId="0">
      <selection activeCell="C30" sqref="C30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50"/>
    </row>
    <row r="4" spans="2:7" ht="24" thickBot="1">
      <c r="B4" s="14"/>
      <c r="C4" s="15" t="s">
        <v>45</v>
      </c>
      <c r="D4" s="72" t="s">
        <v>40</v>
      </c>
      <c r="E4" s="73"/>
      <c r="F4" s="73"/>
      <c r="G4" s="32" t="s">
        <v>41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47" t="s">
        <v>56</v>
      </c>
      <c r="D8" s="21"/>
      <c r="E8" s="19"/>
      <c r="F8" s="20"/>
      <c r="G8" s="33"/>
    </row>
    <row r="9" spans="2:7" s="4" customFormat="1" ht="18.75">
      <c r="B9" s="37">
        <v>2</v>
      </c>
      <c r="C9" s="47" t="s">
        <v>57</v>
      </c>
      <c r="D9" s="21"/>
      <c r="E9" s="19"/>
      <c r="F9" s="20"/>
      <c r="G9" s="33"/>
    </row>
    <row r="10" spans="2:7" s="4" customFormat="1" ht="18.75">
      <c r="B10" s="6">
        <v>3</v>
      </c>
      <c r="C10" s="47" t="s">
        <v>58</v>
      </c>
      <c r="D10" s="21"/>
      <c r="E10" s="19"/>
      <c r="F10" s="20"/>
      <c r="G10" s="33"/>
    </row>
    <row r="11" spans="2:7" s="4" customFormat="1" ht="28.5">
      <c r="B11" s="6">
        <v>4</v>
      </c>
      <c r="C11" s="47" t="s">
        <v>85</v>
      </c>
      <c r="D11" s="21"/>
      <c r="E11" s="19"/>
      <c r="F11" s="20"/>
      <c r="G11" s="33"/>
    </row>
    <row r="12" spans="2:7" s="4" customFormat="1" ht="18.75">
      <c r="B12" s="37">
        <v>5</v>
      </c>
      <c r="C12" s="47" t="s">
        <v>84</v>
      </c>
      <c r="D12" s="21"/>
      <c r="E12" s="19"/>
      <c r="F12" s="20"/>
      <c r="G12" s="33"/>
    </row>
    <row r="13" spans="2:7" s="4" customFormat="1" ht="18.75">
      <c r="B13" s="37">
        <f t="shared" ref="B13:B15" si="0">+B12+1</f>
        <v>6</v>
      </c>
      <c r="C13" s="47" t="s">
        <v>60</v>
      </c>
      <c r="D13" s="21"/>
      <c r="E13" s="19"/>
      <c r="F13" s="20"/>
      <c r="G13" s="33"/>
    </row>
    <row r="14" spans="2:7" s="4" customFormat="1" ht="18.75">
      <c r="B14" s="37">
        <f t="shared" si="0"/>
        <v>7</v>
      </c>
      <c r="C14" s="47" t="s">
        <v>59</v>
      </c>
      <c r="D14" s="21"/>
      <c r="E14" s="19"/>
      <c r="F14" s="20"/>
      <c r="G14" s="33"/>
    </row>
    <row r="15" spans="2:7" s="4" customFormat="1" ht="18.75">
      <c r="B15" s="37">
        <f t="shared" si="0"/>
        <v>8</v>
      </c>
      <c r="C15" s="47" t="s">
        <v>61</v>
      </c>
      <c r="D15" s="21"/>
      <c r="E15" s="19"/>
      <c r="F15" s="20"/>
      <c r="G15" s="33"/>
    </row>
    <row r="16" spans="2:7" s="4" customFormat="1" ht="18.75">
      <c r="B16" s="37">
        <f t="shared" ref="B16:B31" si="1">+B15+1</f>
        <v>9</v>
      </c>
      <c r="C16" s="47" t="s">
        <v>46</v>
      </c>
      <c r="D16" s="21"/>
      <c r="E16" s="19"/>
      <c r="F16" s="20"/>
      <c r="G16" s="33"/>
    </row>
    <row r="17" spans="2:7" s="4" customFormat="1" ht="18.75">
      <c r="B17" s="37">
        <f t="shared" si="1"/>
        <v>10</v>
      </c>
      <c r="C17" s="47" t="s">
        <v>62</v>
      </c>
      <c r="D17" s="21"/>
      <c r="E17" s="19"/>
      <c r="F17" s="20"/>
      <c r="G17" s="33"/>
    </row>
    <row r="18" spans="2:7" s="4" customFormat="1" ht="18.75">
      <c r="B18" s="37">
        <f t="shared" si="1"/>
        <v>11</v>
      </c>
      <c r="C18" s="47" t="s">
        <v>63</v>
      </c>
      <c r="D18" s="21"/>
      <c r="E18" s="19"/>
      <c r="F18" s="20"/>
      <c r="G18" s="33"/>
    </row>
    <row r="19" spans="2:7" s="4" customFormat="1" ht="18.75">
      <c r="B19" s="37">
        <f t="shared" si="1"/>
        <v>12</v>
      </c>
      <c r="C19" s="47" t="s">
        <v>64</v>
      </c>
      <c r="D19" s="21"/>
      <c r="E19" s="19"/>
      <c r="F19" s="20"/>
      <c r="G19" s="33"/>
    </row>
    <row r="20" spans="2:7" s="4" customFormat="1" ht="18.75">
      <c r="B20" s="37">
        <f t="shared" si="1"/>
        <v>13</v>
      </c>
      <c r="C20" s="47" t="s">
        <v>65</v>
      </c>
      <c r="D20" s="21"/>
      <c r="E20" s="19"/>
      <c r="F20" s="20"/>
      <c r="G20" s="33"/>
    </row>
    <row r="21" spans="2:7" s="4" customFormat="1" ht="18.75">
      <c r="B21" s="37">
        <f t="shared" si="1"/>
        <v>14</v>
      </c>
      <c r="C21" s="47" t="s">
        <v>66</v>
      </c>
      <c r="D21" s="21"/>
      <c r="E21" s="19"/>
      <c r="F21" s="20"/>
      <c r="G21" s="33"/>
    </row>
    <row r="22" spans="2:7" s="4" customFormat="1" ht="18.75">
      <c r="B22" s="37">
        <f t="shared" si="1"/>
        <v>15</v>
      </c>
      <c r="C22" s="47" t="s">
        <v>67</v>
      </c>
      <c r="D22" s="21"/>
      <c r="E22" s="19"/>
      <c r="F22" s="20"/>
      <c r="G22" s="33"/>
    </row>
    <row r="23" spans="2:7" s="4" customFormat="1" ht="18.75">
      <c r="B23" s="37">
        <f t="shared" si="1"/>
        <v>16</v>
      </c>
      <c r="C23" s="47" t="s">
        <v>68</v>
      </c>
      <c r="D23" s="21"/>
      <c r="E23" s="19"/>
      <c r="F23" s="20"/>
      <c r="G23" s="33"/>
    </row>
    <row r="24" spans="2:7" s="4" customFormat="1" ht="18.75">
      <c r="B24" s="37">
        <f t="shared" si="1"/>
        <v>17</v>
      </c>
      <c r="C24" s="47" t="s">
        <v>69</v>
      </c>
      <c r="D24" s="21"/>
      <c r="E24" s="19"/>
      <c r="F24" s="20"/>
      <c r="G24" s="33"/>
    </row>
    <row r="25" spans="2:7" s="4" customFormat="1" ht="28.5">
      <c r="B25" s="37">
        <f t="shared" si="1"/>
        <v>18</v>
      </c>
      <c r="C25" s="47" t="s">
        <v>70</v>
      </c>
      <c r="D25" s="21"/>
      <c r="E25" s="19"/>
      <c r="F25" s="20"/>
      <c r="G25" s="33"/>
    </row>
    <row r="26" spans="2:7" s="4" customFormat="1" ht="28.5">
      <c r="B26" s="37">
        <f t="shared" si="1"/>
        <v>19</v>
      </c>
      <c r="C26" s="47" t="s">
        <v>71</v>
      </c>
      <c r="D26" s="21"/>
      <c r="E26" s="19"/>
      <c r="F26" s="20"/>
      <c r="G26" s="33"/>
    </row>
    <row r="27" spans="2:7" s="4" customFormat="1" ht="18.75">
      <c r="B27" s="37">
        <f t="shared" si="1"/>
        <v>20</v>
      </c>
      <c r="C27" s="65" t="s">
        <v>115</v>
      </c>
      <c r="D27" s="21"/>
      <c r="E27" s="19"/>
      <c r="F27" s="20"/>
      <c r="G27" s="33"/>
    </row>
    <row r="28" spans="2:7" s="4" customFormat="1" ht="18.75">
      <c r="B28" s="37">
        <f t="shared" si="1"/>
        <v>21</v>
      </c>
      <c r="C28" s="49" t="s">
        <v>116</v>
      </c>
      <c r="D28" s="21"/>
      <c r="E28" s="19"/>
      <c r="F28" s="20"/>
      <c r="G28" s="33"/>
    </row>
    <row r="29" spans="2:7" s="4" customFormat="1" ht="18.75">
      <c r="B29" s="37">
        <f t="shared" si="1"/>
        <v>22</v>
      </c>
      <c r="C29" s="57" t="s">
        <v>124</v>
      </c>
      <c r="D29" s="21"/>
      <c r="E29" s="19"/>
      <c r="F29" s="20"/>
      <c r="G29" s="33"/>
    </row>
    <row r="30" spans="2:7" s="4" customFormat="1" ht="20.25">
      <c r="B30" s="37">
        <f t="shared" si="1"/>
        <v>23</v>
      </c>
      <c r="C30" s="38"/>
      <c r="D30" s="21"/>
      <c r="E30" s="19"/>
      <c r="F30" s="20"/>
      <c r="G30" s="33"/>
    </row>
    <row r="31" spans="2:7" s="4" customFormat="1" ht="21" thickBot="1">
      <c r="B31" s="37">
        <f t="shared" si="1"/>
        <v>24</v>
      </c>
      <c r="C31" s="38"/>
      <c r="D31" s="21"/>
      <c r="E31" s="19"/>
      <c r="F31" s="20"/>
      <c r="G31" s="33"/>
    </row>
    <row r="32" spans="2:7" ht="18.75" thickBot="1">
      <c r="B32" s="76" t="s">
        <v>13</v>
      </c>
      <c r="C32" s="77"/>
      <c r="D32" s="78" t="s">
        <v>7</v>
      </c>
      <c r="E32" s="79"/>
      <c r="F32" s="80"/>
      <c r="G32" s="24" t="s">
        <v>8</v>
      </c>
    </row>
    <row r="33" spans="2:7">
      <c r="B33" s="81"/>
      <c r="C33" s="82"/>
      <c r="D33" s="82"/>
      <c r="E33" s="82"/>
      <c r="F33" s="82"/>
      <c r="G33" s="66"/>
    </row>
    <row r="34" spans="2:7">
      <c r="B34" s="83"/>
      <c r="C34" s="84"/>
      <c r="D34" s="84"/>
      <c r="E34" s="84"/>
      <c r="F34" s="84"/>
      <c r="G34" s="67"/>
    </row>
    <row r="35" spans="2:7">
      <c r="B35" s="83"/>
      <c r="C35" s="84"/>
      <c r="D35" s="84"/>
      <c r="E35" s="84"/>
      <c r="F35" s="84"/>
      <c r="G35" s="67"/>
    </row>
    <row r="36" spans="2:7">
      <c r="B36" s="83"/>
      <c r="C36" s="84"/>
      <c r="D36" s="84"/>
      <c r="E36" s="84"/>
      <c r="F36" s="84"/>
      <c r="G36" s="67"/>
    </row>
    <row r="37" spans="2:7" ht="15.75" thickBot="1">
      <c r="B37" s="85"/>
      <c r="C37" s="86"/>
      <c r="D37" s="86"/>
      <c r="E37" s="86"/>
      <c r="F37" s="86"/>
      <c r="G37" s="68"/>
    </row>
  </sheetData>
  <sheetProtection selectLockedCells="1"/>
  <mergeCells count="8">
    <mergeCell ref="G33:G37"/>
    <mergeCell ref="B3:F3"/>
    <mergeCell ref="D4:F4"/>
    <mergeCell ref="E6:F6"/>
    <mergeCell ref="B32:C32"/>
    <mergeCell ref="D32:F32"/>
    <mergeCell ref="B33:C37"/>
    <mergeCell ref="D33:F37"/>
  </mergeCells>
  <conditionalFormatting sqref="D8:D31">
    <cfRule type="cellIs" dxfId="29" priority="1" operator="equal">
      <formula>3</formula>
    </cfRule>
    <cfRule type="cellIs" dxfId="2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  <pageSetUpPr fitToPage="1"/>
  </sheetPr>
  <dimension ref="B1:G22"/>
  <sheetViews>
    <sheetView view="pageBreakPreview" topLeftCell="A4" zoomScaleNormal="55" zoomScaleSheetLayoutView="100" zoomScalePageLayoutView="70" workbookViewId="0">
      <selection activeCell="C15" sqref="C15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50"/>
    </row>
    <row r="4" spans="2:7" ht="24" thickBot="1">
      <c r="B4" s="14"/>
      <c r="C4" s="15" t="s">
        <v>48</v>
      </c>
      <c r="D4" s="72" t="s">
        <v>40</v>
      </c>
      <c r="E4" s="73"/>
      <c r="F4" s="73"/>
      <c r="G4" s="32" t="s">
        <v>41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5.75" customHeight="1">
      <c r="B8" s="5">
        <v>1</v>
      </c>
      <c r="C8" s="48" t="s">
        <v>47</v>
      </c>
      <c r="D8" s="21"/>
      <c r="E8" s="19"/>
      <c r="F8" s="20"/>
      <c r="G8" s="33"/>
    </row>
    <row r="9" spans="2:7" s="4" customFormat="1" ht="14.25" customHeight="1">
      <c r="B9" s="6">
        <f>B8+1</f>
        <v>2</v>
      </c>
      <c r="C9" s="48" t="s">
        <v>72</v>
      </c>
      <c r="D9" s="21"/>
      <c r="E9" s="19"/>
      <c r="F9" s="20"/>
      <c r="G9" s="33"/>
    </row>
    <row r="10" spans="2:7" s="4" customFormat="1" ht="15" customHeight="1">
      <c r="B10" s="37">
        <f>+B9+1</f>
        <v>3</v>
      </c>
      <c r="C10" s="49" t="s">
        <v>73</v>
      </c>
      <c r="D10" s="21"/>
      <c r="E10" s="19"/>
      <c r="F10" s="20"/>
      <c r="G10" s="33"/>
    </row>
    <row r="11" spans="2:7" s="4" customFormat="1" ht="15" customHeight="1">
      <c r="B11" s="6">
        <f t="shared" ref="B11" si="0">B10+1</f>
        <v>4</v>
      </c>
      <c r="C11" s="48" t="s">
        <v>86</v>
      </c>
      <c r="D11" s="21"/>
      <c r="E11" s="19"/>
      <c r="F11" s="20"/>
      <c r="G11" s="33"/>
    </row>
    <row r="12" spans="2:7" s="4" customFormat="1" ht="16.5" customHeight="1">
      <c r="B12" s="37">
        <f t="shared" ref="B12" si="1">+B11+1</f>
        <v>5</v>
      </c>
      <c r="C12" s="48" t="s">
        <v>46</v>
      </c>
      <c r="D12" s="21"/>
      <c r="E12" s="19"/>
      <c r="F12" s="20"/>
      <c r="G12" s="33"/>
    </row>
    <row r="13" spans="2:7" s="4" customFormat="1" ht="12.75" customHeight="1">
      <c r="B13" s="6">
        <f t="shared" ref="B13" si="2">B12+1</f>
        <v>6</v>
      </c>
      <c r="C13" s="48" t="s">
        <v>78</v>
      </c>
      <c r="D13" s="21"/>
      <c r="E13" s="19"/>
      <c r="F13" s="20"/>
      <c r="G13" s="33"/>
    </row>
    <row r="14" spans="2:7" s="4" customFormat="1" ht="30" customHeight="1">
      <c r="B14" s="37">
        <f t="shared" ref="B14" si="3">+B13+1</f>
        <v>7</v>
      </c>
      <c r="C14" s="48" t="s">
        <v>74</v>
      </c>
      <c r="D14" s="21"/>
      <c r="E14" s="19"/>
      <c r="F14" s="20"/>
      <c r="G14" s="33"/>
    </row>
    <row r="15" spans="2:7" s="4" customFormat="1" ht="35.25" customHeight="1">
      <c r="B15" s="6">
        <f t="shared" ref="B15" si="4">B14+1</f>
        <v>8</v>
      </c>
      <c r="C15" s="48" t="s">
        <v>75</v>
      </c>
      <c r="D15" s="21"/>
      <c r="E15" s="19"/>
      <c r="F15" s="20"/>
      <c r="G15" s="33"/>
    </row>
    <row r="16" spans="2:7" s="4" customFormat="1" ht="31.5" customHeight="1" thickBot="1">
      <c r="B16" s="37">
        <f t="shared" ref="B16" si="5">+B15+1</f>
        <v>9</v>
      </c>
      <c r="C16" s="48"/>
      <c r="D16" s="21"/>
      <c r="E16" s="19"/>
      <c r="F16" s="20"/>
      <c r="G16" s="33"/>
    </row>
    <row r="17" spans="2:7" ht="18.75" thickBot="1">
      <c r="B17" s="76" t="s">
        <v>13</v>
      </c>
      <c r="C17" s="77"/>
      <c r="D17" s="78" t="s">
        <v>7</v>
      </c>
      <c r="E17" s="79"/>
      <c r="F17" s="80"/>
      <c r="G17" s="24" t="s">
        <v>8</v>
      </c>
    </row>
    <row r="18" spans="2:7">
      <c r="B18" s="81"/>
      <c r="C18" s="82"/>
      <c r="D18" s="82"/>
      <c r="E18" s="82"/>
      <c r="F18" s="82"/>
      <c r="G18" s="66"/>
    </row>
    <row r="19" spans="2:7">
      <c r="B19" s="83"/>
      <c r="C19" s="84"/>
      <c r="D19" s="84"/>
      <c r="E19" s="84"/>
      <c r="F19" s="84"/>
      <c r="G19" s="67"/>
    </row>
    <row r="20" spans="2:7">
      <c r="B20" s="83"/>
      <c r="C20" s="84"/>
      <c r="D20" s="84"/>
      <c r="E20" s="84"/>
      <c r="F20" s="84"/>
      <c r="G20" s="67"/>
    </row>
    <row r="21" spans="2:7">
      <c r="B21" s="83"/>
      <c r="C21" s="84"/>
      <c r="D21" s="84"/>
      <c r="E21" s="84"/>
      <c r="F21" s="84"/>
      <c r="G21" s="67"/>
    </row>
    <row r="22" spans="2:7" ht="15.75" thickBot="1">
      <c r="B22" s="85"/>
      <c r="C22" s="86"/>
      <c r="D22" s="86"/>
      <c r="E22" s="86"/>
      <c r="F22" s="86"/>
      <c r="G22" s="68"/>
    </row>
  </sheetData>
  <sheetProtection selectLockedCells="1"/>
  <mergeCells count="8">
    <mergeCell ref="B18:C22"/>
    <mergeCell ref="D18:F22"/>
    <mergeCell ref="G18:G22"/>
    <mergeCell ref="B3:F3"/>
    <mergeCell ref="D4:F4"/>
    <mergeCell ref="E6:F6"/>
    <mergeCell ref="B17:C17"/>
    <mergeCell ref="D17:F17"/>
  </mergeCells>
  <conditionalFormatting sqref="D8:D16">
    <cfRule type="cellIs" dxfId="27" priority="3" operator="equal">
      <formula>3</formula>
    </cfRule>
    <cfRule type="cellIs" dxfId="26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2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fitToPage="1"/>
  </sheetPr>
  <dimension ref="B1:G21"/>
  <sheetViews>
    <sheetView view="pageBreakPreview" zoomScale="80" zoomScaleNormal="55" zoomScaleSheetLayoutView="80" zoomScalePageLayoutView="70" workbookViewId="0">
      <selection activeCell="C15" sqref="C15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50"/>
    </row>
    <row r="4" spans="2:7" ht="24" thickBot="1">
      <c r="B4" s="14"/>
      <c r="C4" s="15" t="s">
        <v>50</v>
      </c>
      <c r="D4" s="72" t="s">
        <v>40</v>
      </c>
      <c r="E4" s="73"/>
      <c r="F4" s="73"/>
      <c r="G4" s="32" t="s">
        <v>41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>
      <c r="B8" s="5">
        <v>1</v>
      </c>
      <c r="C8" s="48" t="s">
        <v>77</v>
      </c>
      <c r="D8" s="21"/>
      <c r="E8" s="19"/>
      <c r="F8" s="20"/>
      <c r="G8" s="33"/>
    </row>
    <row r="9" spans="2:7" s="4" customFormat="1" ht="18.75">
      <c r="B9" s="6">
        <f>B8+1</f>
        <v>2</v>
      </c>
      <c r="C9" s="48" t="s">
        <v>126</v>
      </c>
      <c r="D9" s="21"/>
      <c r="E9" s="19"/>
      <c r="F9" s="20"/>
      <c r="G9" s="33"/>
    </row>
    <row r="10" spans="2:7" s="4" customFormat="1" ht="18.75">
      <c r="B10" s="37">
        <f>+B9+1</f>
        <v>3</v>
      </c>
      <c r="C10" s="48" t="s">
        <v>76</v>
      </c>
      <c r="D10" s="21"/>
      <c r="E10" s="19"/>
      <c r="F10" s="20"/>
      <c r="G10" s="33"/>
    </row>
    <row r="11" spans="2:7" s="4" customFormat="1" ht="18.75">
      <c r="B11" s="37">
        <f t="shared" ref="B11:B15" si="0">+B10+1</f>
        <v>4</v>
      </c>
      <c r="C11" s="49" t="s">
        <v>49</v>
      </c>
      <c r="D11" s="21"/>
      <c r="E11" s="19"/>
      <c r="F11" s="20"/>
      <c r="G11" s="33"/>
    </row>
    <row r="12" spans="2:7" s="4" customFormat="1" ht="18.75">
      <c r="B12" s="37">
        <f t="shared" si="0"/>
        <v>5</v>
      </c>
      <c r="C12" s="54" t="s">
        <v>125</v>
      </c>
      <c r="D12" s="21"/>
      <c r="E12" s="19"/>
      <c r="F12" s="20"/>
      <c r="G12" s="33"/>
    </row>
    <row r="13" spans="2:7" s="4" customFormat="1" ht="18.75">
      <c r="B13" s="37">
        <f t="shared" si="0"/>
        <v>6</v>
      </c>
      <c r="C13" s="49" t="s">
        <v>127</v>
      </c>
      <c r="D13" s="21"/>
      <c r="E13" s="19"/>
      <c r="F13" s="20"/>
      <c r="G13" s="33"/>
    </row>
    <row r="14" spans="2:7" s="4" customFormat="1" ht="18.75">
      <c r="B14" s="37">
        <f t="shared" si="0"/>
        <v>7</v>
      </c>
      <c r="C14" s="49"/>
      <c r="D14" s="21"/>
      <c r="E14" s="19"/>
      <c r="F14" s="20"/>
      <c r="G14" s="33"/>
    </row>
    <row r="15" spans="2:7" ht="21" thickBot="1">
      <c r="B15" s="37">
        <f t="shared" si="0"/>
        <v>8</v>
      </c>
      <c r="C15" s="18"/>
      <c r="D15" s="23"/>
      <c r="E15" s="10"/>
      <c r="F15" s="11"/>
      <c r="G15" s="36"/>
    </row>
    <row r="16" spans="2:7" ht="18.75" thickBot="1">
      <c r="B16" s="76" t="s">
        <v>13</v>
      </c>
      <c r="C16" s="77"/>
      <c r="D16" s="78" t="s">
        <v>7</v>
      </c>
      <c r="E16" s="79"/>
      <c r="F16" s="80"/>
      <c r="G16" s="24" t="s">
        <v>8</v>
      </c>
    </row>
    <row r="17" spans="2:7">
      <c r="B17" s="81"/>
      <c r="C17" s="82"/>
      <c r="D17" s="82"/>
      <c r="E17" s="82"/>
      <c r="F17" s="82"/>
      <c r="G17" s="66"/>
    </row>
    <row r="18" spans="2:7">
      <c r="B18" s="83"/>
      <c r="C18" s="84"/>
      <c r="D18" s="84"/>
      <c r="E18" s="84"/>
      <c r="F18" s="84"/>
      <c r="G18" s="67"/>
    </row>
    <row r="19" spans="2:7">
      <c r="B19" s="83"/>
      <c r="C19" s="84"/>
      <c r="D19" s="84"/>
      <c r="E19" s="84"/>
      <c r="F19" s="84"/>
      <c r="G19" s="67"/>
    </row>
    <row r="20" spans="2:7">
      <c r="B20" s="83"/>
      <c r="C20" s="84"/>
      <c r="D20" s="84"/>
      <c r="E20" s="84"/>
      <c r="F20" s="84"/>
      <c r="G20" s="67"/>
    </row>
    <row r="21" spans="2:7" ht="15.75" thickBot="1">
      <c r="B21" s="85"/>
      <c r="C21" s="86"/>
      <c r="D21" s="86"/>
      <c r="E21" s="86"/>
      <c r="F21" s="86"/>
      <c r="G21" s="68"/>
    </row>
  </sheetData>
  <sheetProtection selectLockedCells="1"/>
  <mergeCells count="8">
    <mergeCell ref="B17:C21"/>
    <mergeCell ref="D17:F21"/>
    <mergeCell ref="G17:G21"/>
    <mergeCell ref="B3:F3"/>
    <mergeCell ref="D4:F4"/>
    <mergeCell ref="E6:F6"/>
    <mergeCell ref="B16:C16"/>
    <mergeCell ref="D16:F16"/>
  </mergeCells>
  <conditionalFormatting sqref="D8:D15">
    <cfRule type="cellIs" dxfId="25" priority="3" operator="equal">
      <formula>3</formula>
    </cfRule>
    <cfRule type="cellIs" dxfId="24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18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/>
      <c r="D8" s="21"/>
      <c r="E8" s="19"/>
      <c r="F8" s="20"/>
      <c r="G8" s="33"/>
    </row>
    <row r="9" spans="2:7" s="4" customFormat="1" ht="64.5" customHeight="1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76" t="s">
        <v>13</v>
      </c>
      <c r="C108" s="77"/>
      <c r="D108" s="78" t="s">
        <v>7</v>
      </c>
      <c r="E108" s="79"/>
      <c r="F108" s="80"/>
      <c r="G108" s="24" t="s">
        <v>8</v>
      </c>
    </row>
    <row r="109" spans="2:7">
      <c r="B109" s="81"/>
      <c r="C109" s="82"/>
      <c r="D109" s="82"/>
      <c r="E109" s="82"/>
      <c r="F109" s="82"/>
      <c r="G109" s="66"/>
    </row>
    <row r="110" spans="2:7">
      <c r="B110" s="83"/>
      <c r="C110" s="84"/>
      <c r="D110" s="84"/>
      <c r="E110" s="84"/>
      <c r="F110" s="84"/>
      <c r="G110" s="67"/>
    </row>
    <row r="111" spans="2:7">
      <c r="B111" s="83"/>
      <c r="C111" s="84"/>
      <c r="D111" s="84"/>
      <c r="E111" s="84"/>
      <c r="F111" s="84"/>
      <c r="G111" s="67"/>
    </row>
    <row r="112" spans="2:7">
      <c r="B112" s="83"/>
      <c r="C112" s="84"/>
      <c r="D112" s="84"/>
      <c r="E112" s="84"/>
      <c r="F112" s="84"/>
      <c r="G112" s="67"/>
    </row>
    <row r="113" spans="2:7" ht="15.75" thickBot="1">
      <c r="B113" s="85"/>
      <c r="C113" s="86"/>
      <c r="D113" s="86"/>
      <c r="E113" s="86"/>
      <c r="F113" s="86"/>
      <c r="G113" s="68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3" priority="3" operator="equal">
      <formula>3</formula>
    </cfRule>
    <cfRule type="cellIs" dxfId="22" priority="4" operator="equal">
      <formula>4</formula>
    </cfRule>
  </conditionalFormatting>
  <conditionalFormatting sqref="D89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20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22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28</v>
      </c>
      <c r="D31" s="21">
        <v>30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26</v>
      </c>
      <c r="D32" s="21">
        <v>30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27</v>
      </c>
      <c r="D33" s="21">
        <v>25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 t="s">
        <v>19</v>
      </c>
      <c r="D34" s="21">
        <v>10</v>
      </c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 t="s">
        <v>21</v>
      </c>
      <c r="D35" s="21">
        <v>30</v>
      </c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 t="s">
        <v>28</v>
      </c>
      <c r="D36" s="21">
        <v>30</v>
      </c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 t="s">
        <v>29</v>
      </c>
      <c r="D37" s="21">
        <v>30</v>
      </c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 t="s">
        <v>23</v>
      </c>
      <c r="D38" s="21">
        <v>30</v>
      </c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 t="s">
        <v>26</v>
      </c>
      <c r="D39" s="21">
        <v>30</v>
      </c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 t="s">
        <v>27</v>
      </c>
      <c r="D40" s="21">
        <v>25</v>
      </c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 t="s">
        <v>30</v>
      </c>
      <c r="D41" s="21">
        <v>120</v>
      </c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 t="s">
        <v>31</v>
      </c>
      <c r="D42" s="21">
        <v>60</v>
      </c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 t="s">
        <v>19</v>
      </c>
      <c r="D43" s="21">
        <v>10</v>
      </c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 t="s">
        <v>32</v>
      </c>
      <c r="D44" s="21">
        <v>30</v>
      </c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76" t="s">
        <v>13</v>
      </c>
      <c r="C108" s="77"/>
      <c r="D108" s="78" t="s">
        <v>7</v>
      </c>
      <c r="E108" s="79"/>
      <c r="F108" s="80"/>
      <c r="G108" s="24" t="s">
        <v>8</v>
      </c>
    </row>
    <row r="109" spans="2:7">
      <c r="B109" s="81"/>
      <c r="C109" s="82"/>
      <c r="D109" s="82"/>
      <c r="E109" s="82"/>
      <c r="F109" s="82"/>
      <c r="G109" s="66"/>
    </row>
    <row r="110" spans="2:7">
      <c r="B110" s="83"/>
      <c r="C110" s="84"/>
      <c r="D110" s="84"/>
      <c r="E110" s="84"/>
      <c r="F110" s="84"/>
      <c r="G110" s="67"/>
    </row>
    <row r="111" spans="2:7">
      <c r="B111" s="83"/>
      <c r="C111" s="84"/>
      <c r="D111" s="84"/>
      <c r="E111" s="84"/>
      <c r="F111" s="84"/>
      <c r="G111" s="67"/>
    </row>
    <row r="112" spans="2:7">
      <c r="B112" s="83"/>
      <c r="C112" s="84"/>
      <c r="D112" s="84"/>
      <c r="E112" s="84"/>
      <c r="F112" s="84"/>
      <c r="G112" s="67"/>
    </row>
    <row r="113" spans="2:7" ht="15.75" thickBot="1">
      <c r="B113" s="85"/>
      <c r="C113" s="86"/>
      <c r="D113" s="86"/>
      <c r="E113" s="86"/>
      <c r="F113" s="86"/>
      <c r="G113" s="68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19" priority="3" operator="equal">
      <formula>3</formula>
    </cfRule>
    <cfRule type="cellIs" dxfId="18" priority="4" operator="equal">
      <formula>4</formula>
    </cfRule>
  </conditionalFormatting>
  <conditionalFormatting sqref="D89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33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>
      <c r="B108" s="76" t="s">
        <v>13</v>
      </c>
      <c r="C108" s="77"/>
      <c r="D108" s="78" t="s">
        <v>7</v>
      </c>
      <c r="E108" s="79"/>
      <c r="F108" s="80"/>
      <c r="G108" s="24" t="s">
        <v>8</v>
      </c>
    </row>
    <row r="109" spans="2:7">
      <c r="B109" s="81"/>
      <c r="C109" s="82"/>
      <c r="D109" s="82"/>
      <c r="E109" s="82"/>
      <c r="F109" s="82"/>
      <c r="G109" s="66"/>
    </row>
    <row r="110" spans="2:7">
      <c r="B110" s="83"/>
      <c r="C110" s="84"/>
      <c r="D110" s="84"/>
      <c r="E110" s="84"/>
      <c r="F110" s="84"/>
      <c r="G110" s="67"/>
    </row>
    <row r="111" spans="2:7">
      <c r="B111" s="83"/>
      <c r="C111" s="84"/>
      <c r="D111" s="84"/>
      <c r="E111" s="84"/>
      <c r="F111" s="84"/>
      <c r="G111" s="67"/>
    </row>
    <row r="112" spans="2:7">
      <c r="B112" s="83"/>
      <c r="C112" s="84"/>
      <c r="D112" s="84"/>
      <c r="E112" s="84"/>
      <c r="F112" s="84"/>
      <c r="G112" s="67"/>
    </row>
    <row r="113" spans="2:7" ht="15.75" thickBot="1">
      <c r="B113" s="85"/>
      <c r="C113" s="86"/>
      <c r="D113" s="86"/>
      <c r="E113" s="86"/>
      <c r="F113" s="86"/>
      <c r="G113" s="68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5" priority="3" operator="equal">
      <formula>3</formula>
    </cfRule>
    <cfRule type="cellIs" dxfId="14" priority="4" operator="equal">
      <formula>4</formula>
    </cfRule>
  </conditionalFormatting>
  <conditionalFormatting sqref="D89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35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>
      <c r="B33" s="76" t="s">
        <v>13</v>
      </c>
      <c r="C33" s="77"/>
      <c r="D33" s="78" t="s">
        <v>7</v>
      </c>
      <c r="E33" s="79"/>
      <c r="F33" s="80"/>
      <c r="G33" s="24" t="s">
        <v>8</v>
      </c>
    </row>
    <row r="34" spans="2:7">
      <c r="B34" s="81"/>
      <c r="C34" s="82"/>
      <c r="D34" s="82"/>
      <c r="E34" s="82"/>
      <c r="F34" s="82"/>
      <c r="G34" s="66"/>
    </row>
    <row r="35" spans="2:7">
      <c r="B35" s="83"/>
      <c r="C35" s="84"/>
      <c r="D35" s="84"/>
      <c r="E35" s="84"/>
      <c r="F35" s="84"/>
      <c r="G35" s="67"/>
    </row>
    <row r="36" spans="2:7">
      <c r="B36" s="83"/>
      <c r="C36" s="84"/>
      <c r="D36" s="84"/>
      <c r="E36" s="84"/>
      <c r="F36" s="84"/>
      <c r="G36" s="67"/>
    </row>
    <row r="37" spans="2:7">
      <c r="B37" s="83"/>
      <c r="C37" s="84"/>
      <c r="D37" s="84"/>
      <c r="E37" s="84"/>
      <c r="F37" s="84"/>
      <c r="G37" s="67"/>
    </row>
    <row r="38" spans="2:7" ht="15.75" thickBot="1">
      <c r="B38" s="85"/>
      <c r="C38" s="86"/>
      <c r="D38" s="86"/>
      <c r="E38" s="86"/>
      <c r="F38" s="86"/>
      <c r="G38" s="68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1" priority="3" operator="equal">
      <formula>3</formula>
    </cfRule>
    <cfRule type="cellIs" dxfId="1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34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22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28</v>
      </c>
      <c r="D31" s="21">
        <v>30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26</v>
      </c>
      <c r="D32" s="21">
        <v>30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27</v>
      </c>
      <c r="D33" s="21">
        <v>25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6" t="s">
        <v>13</v>
      </c>
      <c r="C38" s="77"/>
      <c r="D38" s="78" t="s">
        <v>7</v>
      </c>
      <c r="E38" s="79"/>
      <c r="F38" s="80"/>
      <c r="G38" s="24" t="s">
        <v>8</v>
      </c>
    </row>
    <row r="39" spans="2:7">
      <c r="B39" s="81"/>
      <c r="C39" s="82"/>
      <c r="D39" s="82"/>
      <c r="E39" s="82"/>
      <c r="F39" s="82"/>
      <c r="G39" s="66"/>
    </row>
    <row r="40" spans="2:7">
      <c r="B40" s="83"/>
      <c r="C40" s="84"/>
      <c r="D40" s="84"/>
      <c r="E40" s="84"/>
      <c r="F40" s="84"/>
      <c r="G40" s="67"/>
    </row>
    <row r="41" spans="2:7">
      <c r="B41" s="83"/>
      <c r="C41" s="84"/>
      <c r="D41" s="84"/>
      <c r="E41" s="84"/>
      <c r="F41" s="84"/>
      <c r="G41" s="67"/>
    </row>
    <row r="42" spans="2:7">
      <c r="B42" s="83"/>
      <c r="C42" s="84"/>
      <c r="D42" s="84"/>
      <c r="E42" s="84"/>
      <c r="F42" s="84"/>
      <c r="G42" s="67"/>
    </row>
    <row r="43" spans="2:7" ht="15.75" thickBot="1">
      <c r="B43" s="85"/>
      <c r="C43" s="86"/>
      <c r="D43" s="86"/>
      <c r="E43" s="86"/>
      <c r="F43" s="86"/>
      <c r="G43" s="6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36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6" t="s">
        <v>13</v>
      </c>
      <c r="C38" s="77"/>
      <c r="D38" s="78" t="s">
        <v>7</v>
      </c>
      <c r="E38" s="79"/>
      <c r="F38" s="80"/>
      <c r="G38" s="24" t="s">
        <v>8</v>
      </c>
    </row>
    <row r="39" spans="2:7">
      <c r="B39" s="81"/>
      <c r="C39" s="82"/>
      <c r="D39" s="82"/>
      <c r="E39" s="82"/>
      <c r="F39" s="82"/>
      <c r="G39" s="66"/>
    </row>
    <row r="40" spans="2:7">
      <c r="B40" s="83"/>
      <c r="C40" s="84"/>
      <c r="D40" s="84"/>
      <c r="E40" s="84"/>
      <c r="F40" s="84"/>
      <c r="G40" s="67"/>
    </row>
    <row r="41" spans="2:7">
      <c r="B41" s="83"/>
      <c r="C41" s="84"/>
      <c r="D41" s="84"/>
      <c r="E41" s="84"/>
      <c r="F41" s="84"/>
      <c r="G41" s="67"/>
    </row>
    <row r="42" spans="2:7">
      <c r="B42" s="83"/>
      <c r="C42" s="84"/>
      <c r="D42" s="84"/>
      <c r="E42" s="84"/>
      <c r="F42" s="84"/>
      <c r="G42" s="67"/>
    </row>
    <row r="43" spans="2:7" ht="15.75" thickBot="1">
      <c r="B43" s="85"/>
      <c r="C43" s="86"/>
      <c r="D43" s="86"/>
      <c r="E43" s="86"/>
      <c r="F43" s="86"/>
      <c r="G43" s="6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37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6" t="s">
        <v>13</v>
      </c>
      <c r="C38" s="77"/>
      <c r="D38" s="78" t="s">
        <v>7</v>
      </c>
      <c r="E38" s="79"/>
      <c r="F38" s="80"/>
      <c r="G38" s="24" t="s">
        <v>8</v>
      </c>
    </row>
    <row r="39" spans="2:7">
      <c r="B39" s="81"/>
      <c r="C39" s="82"/>
      <c r="D39" s="82"/>
      <c r="E39" s="82"/>
      <c r="F39" s="82"/>
      <c r="G39" s="66"/>
    </row>
    <row r="40" spans="2:7">
      <c r="B40" s="83"/>
      <c r="C40" s="84"/>
      <c r="D40" s="84"/>
      <c r="E40" s="84"/>
      <c r="F40" s="84"/>
      <c r="G40" s="67"/>
    </row>
    <row r="41" spans="2:7">
      <c r="B41" s="83"/>
      <c r="C41" s="84"/>
      <c r="D41" s="84"/>
      <c r="E41" s="84"/>
      <c r="F41" s="84"/>
      <c r="G41" s="67"/>
    </row>
    <row r="42" spans="2:7">
      <c r="B42" s="83"/>
      <c r="C42" s="84"/>
      <c r="D42" s="84"/>
      <c r="E42" s="84"/>
      <c r="F42" s="84"/>
      <c r="G42" s="67"/>
    </row>
    <row r="43" spans="2:7" ht="15.75" thickBot="1">
      <c r="B43" s="85"/>
      <c r="C43" s="86"/>
      <c r="D43" s="86"/>
      <c r="E43" s="86"/>
      <c r="F43" s="86"/>
      <c r="G43" s="6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38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28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22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23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26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28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24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25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26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19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21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28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29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23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26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27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30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31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6" t="s">
        <v>13</v>
      </c>
      <c r="C38" s="77"/>
      <c r="D38" s="78" t="s">
        <v>7</v>
      </c>
      <c r="E38" s="79"/>
      <c r="F38" s="80"/>
      <c r="G38" s="24" t="s">
        <v>8</v>
      </c>
    </row>
    <row r="39" spans="2:7">
      <c r="B39" s="81"/>
      <c r="C39" s="82"/>
      <c r="D39" s="82"/>
      <c r="E39" s="82"/>
      <c r="F39" s="82"/>
      <c r="G39" s="66"/>
    </row>
    <row r="40" spans="2:7">
      <c r="B40" s="83"/>
      <c r="C40" s="84"/>
      <c r="D40" s="84"/>
      <c r="E40" s="84"/>
      <c r="F40" s="84"/>
      <c r="G40" s="67"/>
    </row>
    <row r="41" spans="2:7">
      <c r="B41" s="83"/>
      <c r="C41" s="84"/>
      <c r="D41" s="84"/>
      <c r="E41" s="84"/>
      <c r="F41" s="84"/>
      <c r="G41" s="67"/>
    </row>
    <row r="42" spans="2:7">
      <c r="B42" s="83"/>
      <c r="C42" s="84"/>
      <c r="D42" s="84"/>
      <c r="E42" s="84"/>
      <c r="F42" s="84"/>
      <c r="G42" s="67"/>
    </row>
    <row r="43" spans="2:7" ht="15.75" thickBot="1">
      <c r="B43" s="85"/>
      <c r="C43" s="86"/>
      <c r="D43" s="86"/>
      <c r="E43" s="86"/>
      <c r="F43" s="86"/>
      <c r="G43" s="6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defaultColWidth="11.42578125" defaultRowHeight="1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/>
    <row r="2" spans="2:7" ht="1.5" customHeight="1" thickBot="1"/>
    <row r="3" spans="2:7" ht="62.25" customHeight="1" thickBot="1">
      <c r="B3" s="69" t="s">
        <v>11</v>
      </c>
      <c r="C3" s="70"/>
      <c r="D3" s="70"/>
      <c r="E3" s="70"/>
      <c r="F3" s="71"/>
      <c r="G3" s="31" t="s">
        <v>12</v>
      </c>
    </row>
    <row r="4" spans="2:7" ht="24" thickBot="1">
      <c r="B4" s="14"/>
      <c r="C4" s="15" t="s">
        <v>39</v>
      </c>
      <c r="D4" s="72" t="str">
        <f>+'Line &amp; frequency'!C1</f>
        <v>CHAINE 4</v>
      </c>
      <c r="E4" s="73"/>
      <c r="F4" s="7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74" t="s">
        <v>0</v>
      </c>
      <c r="F6" s="75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19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21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22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23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24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25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26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27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19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21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28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29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23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27</v>
      </c>
      <c r="D22" s="21">
        <v>25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30</v>
      </c>
      <c r="D23" s="21">
        <v>120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31</v>
      </c>
      <c r="D24" s="21">
        <v>60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>
      <c r="B38" s="76" t="s">
        <v>13</v>
      </c>
      <c r="C38" s="77"/>
      <c r="D38" s="78" t="s">
        <v>7</v>
      </c>
      <c r="E38" s="79"/>
      <c r="F38" s="80"/>
      <c r="G38" s="24" t="s">
        <v>8</v>
      </c>
    </row>
    <row r="39" spans="2:7">
      <c r="B39" s="81"/>
      <c r="C39" s="82"/>
      <c r="D39" s="82"/>
      <c r="E39" s="82"/>
      <c r="F39" s="82"/>
      <c r="G39" s="66"/>
    </row>
    <row r="40" spans="2:7">
      <c r="B40" s="83"/>
      <c r="C40" s="84"/>
      <c r="D40" s="84"/>
      <c r="E40" s="84"/>
      <c r="F40" s="84"/>
      <c r="G40" s="67"/>
    </row>
    <row r="41" spans="2:7">
      <c r="B41" s="83"/>
      <c r="C41" s="84"/>
      <c r="D41" s="84"/>
      <c r="E41" s="84"/>
      <c r="F41" s="84"/>
      <c r="G41" s="67"/>
    </row>
    <row r="42" spans="2:7">
      <c r="B42" s="83"/>
      <c r="C42" s="84"/>
      <c r="D42" s="84"/>
      <c r="E42" s="84"/>
      <c r="F42" s="84"/>
      <c r="G42" s="67"/>
    </row>
    <row r="43" spans="2:7" ht="15.75" thickBot="1">
      <c r="B43" s="85"/>
      <c r="C43" s="86"/>
      <c r="D43" s="86"/>
      <c r="E43" s="86"/>
      <c r="F43" s="86"/>
      <c r="G43" s="68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3"/>
  <sheetViews>
    <sheetView workbookViewId="0">
      <selection activeCell="F10" sqref="F10"/>
    </sheetView>
  </sheetViews>
  <sheetFormatPr defaultColWidth="11.42578125" defaultRowHeight="15"/>
  <cols>
    <col min="3" max="3" width="15.42578125" bestFit="1" customWidth="1"/>
    <col min="7" max="7" width="46.28515625" bestFit="1" customWidth="1"/>
  </cols>
  <sheetData>
    <row r="1" spans="2:7">
      <c r="B1" t="s">
        <v>9</v>
      </c>
      <c r="C1" s="13" t="s">
        <v>14</v>
      </c>
    </row>
    <row r="2" spans="2:7">
      <c r="B2" t="s">
        <v>10</v>
      </c>
      <c r="C2" s="13" t="s">
        <v>15</v>
      </c>
    </row>
    <row r="3" spans="2:7" ht="26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Blomax</vt:lpstr>
      <vt:lpstr>Soutireuse Boucheuse</vt:lpstr>
      <vt:lpstr>Paramix</vt:lpstr>
      <vt:lpstr>CIP</vt:lpstr>
      <vt:lpstr>Etiqueteuse</vt:lpstr>
      <vt:lpstr>Kisters</vt:lpstr>
      <vt:lpstr>Handle application</vt:lpstr>
      <vt:lpstr>Convoyeurs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Blomax!Print_Area</vt:lpstr>
      <vt:lpstr>'CC C1'!Print_Area</vt:lpstr>
      <vt:lpstr>'CC C2'!Print_Area</vt:lpstr>
      <vt:lpstr>'CC C3'!Print_Area</vt:lpstr>
      <vt:lpstr>'CC C4'!Print_Area</vt:lpstr>
      <vt:lpstr>'CC C5'!Print_Area</vt:lpstr>
      <vt:lpstr>'CC C6'!Print_Area</vt:lpstr>
      <vt:lpstr>'CC C7'!Print_Area</vt:lpstr>
      <vt:lpstr>'CC C8'!Print_Area</vt:lpstr>
      <vt:lpstr>Convoyeurs!Print_Area</vt:lpstr>
      <vt:lpstr>'Cvyr Btles'!Print_Area</vt:lpstr>
      <vt:lpstr>Etiqueteuse!Print_Area</vt:lpstr>
      <vt:lpstr>'Handle application'!Print_Area</vt:lpstr>
      <vt:lpstr>Kisters!Print_Area</vt:lpstr>
      <vt:lpstr>'Soutireuse Boucheuse'!Print_Area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Cyrille CMIAMANACK</cp:lastModifiedBy>
  <cp:lastPrinted>2025-04-29T09:56:51Z</cp:lastPrinted>
  <dcterms:created xsi:type="dcterms:W3CDTF">2021-01-06T16:50:41Z</dcterms:created>
  <dcterms:modified xsi:type="dcterms:W3CDTF">2025-06-23T09:01:03Z</dcterms:modified>
</cp:coreProperties>
</file>