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24226"/>
  <mc:AlternateContent xmlns:mc="http://schemas.openxmlformats.org/markup-compatibility/2006">
    <mc:Choice Requires="x15">
      <x15ac:absPath xmlns:x15ac="http://schemas.microsoft.com/office/spreadsheetml/2010/11/ac" url="C:\Users\jessie.tuete\Desktop\"/>
    </mc:Choice>
  </mc:AlternateContent>
  <xr:revisionPtr revIDLastSave="0" documentId="13_ncr:1_{7AA5381E-219E-4332-B8BA-29FF811C446C}" xr6:coauthVersionLast="47" xr6:coauthVersionMax="47" xr10:uidLastSave="{00000000-0000-0000-0000-000000000000}"/>
  <bookViews>
    <workbookView xWindow="-120" yWindow="-120" windowWidth="29040" windowHeight="15840" tabRatio="928" firstSheet="65" activeTab="70" xr2:uid="{00000000-000D-0000-FFFF-FFFF00000000}"/>
  </bookViews>
  <sheets>
    <sheet name="Date" sheetId="25" r:id="rId1"/>
    <sheet name="Apolloss graissage + Lub" sheetId="63" r:id="rId2"/>
    <sheet name="Decaisseuse Graissage + Lub" sheetId="70" r:id="rId3"/>
    <sheet name="Encaisseuse Graissage + Lub" sheetId="69" r:id="rId4"/>
    <sheet name="Depal Graissage + Lub" sheetId="66" r:id="rId5"/>
    <sheet name="PAL Graisage + Lub" sheetId="67" r:id="rId6"/>
    <sheet name="EBI Hebdo Méca" sheetId="187" r:id="rId7"/>
    <sheet name="Etiqueteuse Graissage + Lub rev" sheetId="128" r:id="rId8"/>
    <sheet name="Etiqueteuse Graissage + Lub  M" sheetId="84" r:id="rId9"/>
    <sheet name="Laveuse Graissage" sheetId="108" r:id="rId10"/>
    <sheet name="Laveuse Graissage 2W" sheetId="68" r:id="rId11"/>
    <sheet name="Lave caisses Graissage + Lub " sheetId="86" r:id="rId12"/>
    <sheet name="Pasteurisateur Graissage" sheetId="85" r:id="rId13"/>
    <sheet name="Soutireuse Graissage hebdo" sheetId="191" r:id="rId14"/>
    <sheet name="Soutireuse Graissage 2-weekly" sheetId="193" r:id="rId15"/>
    <sheet name="Soutireuse Graissage mensuel" sheetId="192" r:id="rId16"/>
    <sheet name="Soutireuse Lub Quad" sheetId="156" r:id="rId17"/>
    <sheet name="A1" sheetId="14" r:id="rId18"/>
    <sheet name="A1 MENSUELLE " sheetId="117" r:id="rId19"/>
    <sheet name="A2" sheetId="22" r:id="rId20"/>
    <sheet name="A2 MENSUELLE" sheetId="114" r:id="rId21"/>
    <sheet name="A3" sheetId="23" r:id="rId22"/>
    <sheet name="A3 MENSUELLE" sheetId="115" r:id="rId23"/>
    <sheet name="A4" sheetId="24" r:id="rId24"/>
    <sheet name="A4 MENSUELLE" sheetId="116" r:id="rId25"/>
    <sheet name="BLOWER Hebdo" sheetId="133" r:id="rId26"/>
    <sheet name="Décaisseuse" sheetId="4" r:id="rId27"/>
    <sheet name="Décaisseuse Quatherly" sheetId="134" r:id="rId28"/>
    <sheet name="Encaisseuse" sheetId="10" r:id="rId29"/>
    <sheet name="Encaisseuse Tri" sheetId="153" r:id="rId30"/>
    <sheet name="Encaisseuse Semestriel" sheetId="130" r:id="rId31"/>
    <sheet name="Dépalettiseur" sheetId="1" r:id="rId32"/>
    <sheet name="Dépalettiseur Mensuel" sheetId="131" r:id="rId33"/>
    <sheet name="Dépalettiseur Trmestriel" sheetId="138" r:id="rId34"/>
    <sheet name="Dépalettiseur Semestriel " sheetId="185" r:id="rId35"/>
    <sheet name="Palettiseur" sheetId="11" r:id="rId36"/>
    <sheet name="Palettiseur Trimestriel" sheetId="127" r:id="rId37"/>
    <sheet name="Palettiseur Semestriel" sheetId="184" r:id="rId38"/>
    <sheet name="Etiqueteuse" sheetId="8" r:id="rId39"/>
    <sheet name="Etiqueteuse Mensuelle" sheetId="119" r:id="rId40"/>
    <sheet name="Etiqueteuse Trimestrielle" sheetId="120" r:id="rId41"/>
    <sheet name="Etiqueteuse Semestriel" sheetId="137" r:id="rId42"/>
    <sheet name="Lave-caisses" sheetId="9" r:id="rId43"/>
    <sheet name="Lave-caisses Mensuelle" sheetId="186" r:id="rId44"/>
    <sheet name="Laveuse" sheetId="5" r:id="rId45"/>
    <sheet name="Laveuse MENSUELLE" sheetId="113" r:id="rId46"/>
    <sheet name="Laveuse tri" sheetId="135" r:id="rId47"/>
    <sheet name="Pasteurisateur" sheetId="7" r:id="rId48"/>
    <sheet name="Soutireuse" sheetId="6" r:id="rId49"/>
    <sheet name="Soutireuse Mensuel" sheetId="118" r:id="rId50"/>
    <sheet name="Soutireuse Trimestrielle" sheetId="136" r:id="rId51"/>
    <sheet name="Soutireuse Quadrimestre" sheetId="126" r:id="rId52"/>
    <sheet name="CB 1" sheetId="103" r:id="rId53"/>
    <sheet name="CB 2" sheetId="104" r:id="rId54"/>
    <sheet name="CB 3" sheetId="105" r:id="rId55"/>
    <sheet name="CB 4" sheetId="106" r:id="rId56"/>
    <sheet name="CB 5" sheetId="107" r:id="rId57"/>
    <sheet name="CB 6" sheetId="109" r:id="rId58"/>
    <sheet name="CB 7" sheetId="110" r:id="rId59"/>
    <sheet name="CC 2" sheetId="93" r:id="rId60"/>
    <sheet name="CC 1" sheetId="13" r:id="rId61"/>
    <sheet name="CC 3" sheetId="94" r:id="rId62"/>
    <sheet name="CC 4" sheetId="95" r:id="rId63"/>
    <sheet name="CC 5" sheetId="96" r:id="rId64"/>
    <sheet name="CC 6" sheetId="97" r:id="rId65"/>
    <sheet name="CC 7" sheetId="98" r:id="rId66"/>
    <sheet name="CC 8" sheetId="99" r:id="rId67"/>
    <sheet name="Groupe Tapis 1" sheetId="100" r:id="rId68"/>
    <sheet name="Groupe Tapis 2" sheetId="102" r:id="rId69"/>
    <sheet name="Groupe Tapis 3" sheetId="101" r:id="rId70"/>
    <sheet name="Groupe Tapis 4" sheetId="111" r:id="rId71"/>
    <sheet name="Line &amp; frequency" sheetId="2" state="hidden" r:id="rId72"/>
    <sheet name="Station lubrification " sheetId="47" state="hidden" r:id="rId73"/>
  </sheets>
  <externalReferences>
    <externalReference r:id="rId74"/>
    <externalReference r:id="rId75"/>
    <externalReference r:id="rId76"/>
    <externalReference r:id="rId77"/>
  </externalReferences>
  <definedNames>
    <definedName name="_PG1">#REF!</definedName>
    <definedName name="_PG2">#REF!</definedName>
    <definedName name="_PG3">#REF!</definedName>
    <definedName name="_PG4">#REF!</definedName>
    <definedName name="_PG5">#REF!</definedName>
    <definedName name="_PG6">#REF!</definedName>
    <definedName name="_PG7">#REF!</definedName>
    <definedName name="_PG8">#REF!</definedName>
    <definedName name="ACCOUNT">[1]SAP!$C$5:$C$977</definedName>
    <definedName name="act2nd">#REF!</definedName>
    <definedName name="act2ndrands">#REF!</definedName>
    <definedName name="actual1st">#REF!</definedName>
    <definedName name="actual1strands">#REF!</definedName>
    <definedName name="actualacccc">#REF!</definedName>
    <definedName name="actuals">#REF!</definedName>
    <definedName name="budgetacccc">#REF!</definedName>
    <definedName name="CCACCOUNT">[1]SAP!$Q$5:$Q$977</definedName>
    <definedName name="CCMM">[1]SAP!$H$5:$H$977</definedName>
    <definedName name="CCMMBRAND">[1]SAP!$M$5:$M$977</definedName>
    <definedName name="DATA1">#REF!</definedName>
    <definedName name="DATA10">#REF!</definedName>
    <definedName name="DATA11">#REF!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esc" localSheetId="6">[2]Sheet1!$H$35:$I$240</definedName>
    <definedName name="desc">[3]Sheet1!$H$35:$I$240</definedName>
    <definedName name="NORTH">#REF!</definedName>
    <definedName name="OPPASUMM">#REF!</definedName>
    <definedName name="RAND">[1]SAP!$G$5:$G$977</definedName>
    <definedName name="rands">#REF!</definedName>
    <definedName name="randsact">#REF!</definedName>
    <definedName name="randsbud">#REF!</definedName>
    <definedName name="SOUTH">#REF!</definedName>
    <definedName name="TEST0">#REF!</definedName>
    <definedName name="TESTHKEY">#REF!</definedName>
    <definedName name="TESTKEYS">#REF!</definedName>
    <definedName name="TESTVKEY">#REF!</definedName>
    <definedName name="wksorder">#REF!</definedName>
    <definedName name="wksorderrands">#REF!</definedName>
    <definedName name="_xlnm.Print_Area" localSheetId="17">'A1'!$B$3:$G$32</definedName>
    <definedName name="_xlnm.Print_Area" localSheetId="18">'A1 MENSUELLE '!$B$3:$G$31</definedName>
    <definedName name="_xlnm.Print_Area" localSheetId="19">'A2'!$B$3:$G$32</definedName>
    <definedName name="_xlnm.Print_Area" localSheetId="20">'A2 MENSUELLE'!$B$3:$G$31</definedName>
    <definedName name="_xlnm.Print_Area" localSheetId="21">'A3'!$B$3:$G$34</definedName>
    <definedName name="_xlnm.Print_Area" localSheetId="22">'A3 MENSUELLE'!$B$3:$G$31</definedName>
    <definedName name="_xlnm.Print_Area" localSheetId="23">'A4'!$B$3:$G$34</definedName>
    <definedName name="_xlnm.Print_Area" localSheetId="24">'A4 MENSUELLE'!$B$3:$G$31</definedName>
    <definedName name="_xlnm.Print_Area" localSheetId="1">'Apolloss graissage + Lub'!$B$3:$G$27</definedName>
    <definedName name="_xlnm.Print_Area" localSheetId="25">'BLOWER Hebdo'!$B$3:$G$21</definedName>
    <definedName name="_xlnm.Print_Area" localSheetId="52">'CB 1'!$B$3:$G$30</definedName>
    <definedName name="_xlnm.Print_Area" localSheetId="53">'CB 2'!$B$3:$G$30</definedName>
    <definedName name="_xlnm.Print_Area" localSheetId="54">'CB 3'!$B$3:$G$27</definedName>
    <definedName name="_xlnm.Print_Area" localSheetId="55">'CB 4'!$B$3:$G$26</definedName>
    <definedName name="_xlnm.Print_Area" localSheetId="56">'CB 5'!$B$3:$G$27</definedName>
    <definedName name="_xlnm.Print_Area" localSheetId="57">'CB 6'!$B$3:$G$27</definedName>
    <definedName name="_xlnm.Print_Area" localSheetId="58">'CB 7'!$B$3:$G$27</definedName>
    <definedName name="_xlnm.Print_Area" localSheetId="60">'CC 1'!$B$3:$G$30</definedName>
    <definedName name="_xlnm.Print_Area" localSheetId="59">'CC 2'!$B$3:$G$28</definedName>
    <definedName name="_xlnm.Print_Area" localSheetId="61">'CC 3'!$B$3:$G$27</definedName>
    <definedName name="_xlnm.Print_Area" localSheetId="62">'CC 4'!$B$3:$G$28</definedName>
    <definedName name="_xlnm.Print_Area" localSheetId="63">'CC 5'!$B$3:$G$29</definedName>
    <definedName name="_xlnm.Print_Area" localSheetId="64">'CC 6'!$B$3:$G$20</definedName>
    <definedName name="_xlnm.Print_Area" localSheetId="65">'CC 7'!$B$3:$G$28</definedName>
    <definedName name="_xlnm.Print_Area" localSheetId="66">'CC 8'!$B$3:$G$30</definedName>
    <definedName name="_xlnm.Print_Area" localSheetId="26">Décaisseuse!$A$1:$G$51</definedName>
    <definedName name="_xlnm.Print_Area" localSheetId="2">'Decaisseuse Graissage + Lub'!$B$3:$I$39</definedName>
    <definedName name="_xlnm.Print_Area" localSheetId="27">'Décaisseuse Quatherly'!$A$1:$G$21</definedName>
    <definedName name="_xlnm.Print_Area" localSheetId="4">'Depal Graissage + Lub'!$B$3:$I$39</definedName>
    <definedName name="_xlnm.Print_Area" localSheetId="31">Dépalettiseur!$B$3:$G$54</definedName>
    <definedName name="_xlnm.Print_Area" localSheetId="32">'Dépalettiseur Mensuel'!$B$3:$G$36</definedName>
    <definedName name="_xlnm.Print_Area" localSheetId="34">'Dépalettiseur Semestriel '!$B$3:$G$23</definedName>
    <definedName name="_xlnm.Print_Area" localSheetId="33">'Dépalettiseur Trmestriel'!$B$3:$G$38</definedName>
    <definedName name="_xlnm.Print_Area" localSheetId="6">'EBI Hebdo Méca'!$A$1:$I$29</definedName>
    <definedName name="_xlnm.Print_Area" localSheetId="28">Encaisseuse!$B$3:$G$53</definedName>
    <definedName name="_xlnm.Print_Area" localSheetId="3">'Encaisseuse Graissage + Lub'!$B$3:$I$39</definedName>
    <definedName name="_xlnm.Print_Area" localSheetId="30">'Encaisseuse Semestriel'!$B$3:$G$24</definedName>
    <definedName name="_xlnm.Print_Area" localSheetId="29">'Encaisseuse Tri'!$B$3:$G$27</definedName>
    <definedName name="_xlnm.Print_Area" localSheetId="38">Etiqueteuse!$B$3:$G$81</definedName>
    <definedName name="_xlnm.Print_Area" localSheetId="8">'Etiqueteuse Graissage + Lub  M'!$B$3:$I$39</definedName>
    <definedName name="_xlnm.Print_Area" localSheetId="7">'Etiqueteuse Graissage + Lub rev'!$B$3:$I$39</definedName>
    <definedName name="_xlnm.Print_Area" localSheetId="39">'Etiqueteuse Mensuelle'!$B$3:$G$42</definedName>
    <definedName name="_xlnm.Print_Area" localSheetId="41">'Etiqueteuse Semestriel'!$B$3:$G$18</definedName>
    <definedName name="_xlnm.Print_Area" localSheetId="40">'Etiqueteuse Trimestrielle'!$B$3:$G$30</definedName>
    <definedName name="_xlnm.Print_Area" localSheetId="67">'Groupe Tapis 1'!$B$3:$G$27</definedName>
    <definedName name="_xlnm.Print_Area" localSheetId="68">'Groupe Tapis 2'!$B$3:$G$27</definedName>
    <definedName name="_xlnm.Print_Area" localSheetId="69">'Groupe Tapis 3'!$B$3:$G$27</definedName>
    <definedName name="_xlnm.Print_Area" localSheetId="70">'Groupe Tapis 4'!$B$3:$G$27</definedName>
    <definedName name="_xlnm.Print_Area" localSheetId="11">'Lave caisses Graissage + Lub '!$B$3:$I$39</definedName>
    <definedName name="_xlnm.Print_Area" localSheetId="42">'Lave-caisses'!$B$3:$G$21</definedName>
    <definedName name="_xlnm.Print_Area" localSheetId="43">'Lave-caisses Mensuelle'!$B$3:$G$21</definedName>
    <definedName name="_xlnm.Print_Area" localSheetId="9">'Laveuse Graissage'!$B$3:$I$39</definedName>
    <definedName name="_xlnm.Print_Area" localSheetId="10">'Laveuse Graissage 2W'!$B$3:$I$39</definedName>
    <definedName name="_xlnm.Print_Area" localSheetId="5">'PAL Graisage + Lub'!$B$3:$I$39</definedName>
    <definedName name="_xlnm.Print_Area" localSheetId="35">Palettiseur!$B$3:$G$61</definedName>
    <definedName name="_xlnm.Print_Area" localSheetId="37">'Palettiseur Semestriel'!$B$3:$G$23</definedName>
    <definedName name="_xlnm.Print_Area" localSheetId="36">'Palettiseur Trimestriel'!$B$3:$G$23</definedName>
    <definedName name="_xlnm.Print_Area" localSheetId="47">Pasteurisateur!$B$3:$G$29</definedName>
    <definedName name="_xlnm.Print_Area" localSheetId="12">'Pasteurisateur Graissage'!$B$3:$I$39</definedName>
    <definedName name="_xlnm.Print_Area" localSheetId="48">Soutireuse!$B$3:$G$56</definedName>
    <definedName name="_xlnm.Print_Area" localSheetId="14">'Soutireuse Graissage 2-weekly'!$B$3:$J$39</definedName>
    <definedName name="_xlnm.Print_Area" localSheetId="13">'Soutireuse Graissage hebdo'!$B$3:$J$33</definedName>
    <definedName name="_xlnm.Print_Area" localSheetId="15">'Soutireuse Graissage mensuel'!$B$3:$J$35</definedName>
    <definedName name="_xlnm.Print_Area" localSheetId="16">'Soutireuse Lub Quad'!$B$3:$I$20</definedName>
    <definedName name="_xlnm.Print_Area" localSheetId="49">'Soutireuse Mensuel'!$B$3:$G$29</definedName>
    <definedName name="_xlnm.Print_Area" localSheetId="51">'Soutireuse Quadrimestre'!$B$3:$G$17</definedName>
    <definedName name="_xlnm.Print_Area" localSheetId="50">'Soutireuse Trimestrielle'!$B$3:$G$27</definedName>
    <definedName name="_xlnm.Print_Area" localSheetId="72">'Station lubrification '!$B$3:$G$27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193" l="1"/>
  <c r="J4" i="192"/>
  <c r="G3" i="130"/>
  <c r="G3" i="186"/>
  <c r="G3" i="9"/>
  <c r="G3" i="153"/>
  <c r="G3" i="119"/>
  <c r="B13" i="193" l="1"/>
  <c r="B14" i="193" s="1"/>
  <c r="B15" i="193" s="1"/>
  <c r="B16" i="193" s="1"/>
  <c r="B17" i="193" s="1"/>
  <c r="B18" i="193" s="1"/>
  <c r="B19" i="193" s="1"/>
  <c r="B20" i="193" s="1"/>
  <c r="B21" i="193" s="1"/>
  <c r="B22" i="193" s="1"/>
  <c r="B23" i="193" s="1"/>
  <c r="B33" i="193" s="1"/>
  <c r="B17" i="192"/>
  <c r="B18" i="192" s="1"/>
  <c r="B19" i="192" s="1"/>
  <c r="B13" i="192"/>
  <c r="B14" i="192" s="1"/>
  <c r="B15" i="192" s="1"/>
  <c r="B17" i="191"/>
  <c r="B18" i="191" s="1"/>
  <c r="B13" i="191"/>
  <c r="B14" i="191" s="1"/>
  <c r="B15" i="191" s="1"/>
  <c r="B13" i="187" l="1"/>
  <c r="B14" i="187" s="1"/>
  <c r="B15" i="187" s="1"/>
  <c r="B16" i="187" s="1"/>
  <c r="B17" i="187" s="1"/>
  <c r="B18" i="187" s="1"/>
  <c r="B19" i="187" s="1"/>
  <c r="B20" i="187" s="1"/>
  <c r="B21" i="187" s="1"/>
  <c r="B22" i="187" s="1"/>
  <c r="B23" i="187" s="1"/>
  <c r="I4" i="187"/>
  <c r="B9" i="186" l="1"/>
  <c r="D4" i="186"/>
  <c r="I4" i="108" l="1"/>
  <c r="B15" i="185"/>
  <c r="B10" i="185"/>
  <c r="B11" i="185" s="1"/>
  <c r="B12" i="185" s="1"/>
  <c r="D4" i="185"/>
  <c r="G3" i="185"/>
  <c r="G3" i="184"/>
  <c r="B15" i="184"/>
  <c r="B10" i="184"/>
  <c r="B11" i="184" s="1"/>
  <c r="B12" i="184" s="1"/>
  <c r="D4" i="184"/>
  <c r="B9" i="47" l="1"/>
  <c r="B10" i="47" s="1"/>
  <c r="B11" i="47" s="1"/>
  <c r="B12" i="47" s="1"/>
  <c r="B13" i="47" s="1"/>
  <c r="B14" i="47" s="1"/>
  <c r="B15" i="47" s="1"/>
  <c r="B16" i="47" s="1"/>
  <c r="B17" i="47" s="1"/>
  <c r="B18" i="47" s="1"/>
  <c r="B19" i="47" s="1"/>
  <c r="B20" i="47" s="1"/>
  <c r="B21" i="47" s="1"/>
  <c r="G4" i="47"/>
  <c r="D4" i="47"/>
  <c r="G3" i="47"/>
  <c r="B9" i="24"/>
  <c r="B10" i="24" s="1"/>
  <c r="B11" i="24" s="1"/>
  <c r="B12" i="24" s="1"/>
  <c r="B13" i="24" s="1"/>
  <c r="B14" i="24" s="1"/>
  <c r="B15" i="24" s="1"/>
  <c r="B16" i="24" s="1"/>
  <c r="B17" i="24" s="1"/>
  <c r="B18" i="24" s="1"/>
  <c r="B19" i="24" s="1"/>
  <c r="B20" i="24" s="1"/>
  <c r="B21" i="24" s="1"/>
  <c r="B22" i="24" s="1"/>
  <c r="B23" i="24" s="1"/>
  <c r="B24" i="24" s="1"/>
  <c r="B25" i="24" s="1"/>
  <c r="B26" i="24" s="1"/>
  <c r="B27" i="24" s="1"/>
  <c r="B28" i="24" s="1"/>
  <c r="G4" i="24"/>
  <c r="D4" i="24"/>
  <c r="G3" i="24"/>
  <c r="B9" i="116"/>
  <c r="B10" i="116" s="1"/>
  <c r="B11" i="116" s="1"/>
  <c r="B12" i="116" s="1"/>
  <c r="B13" i="116" s="1"/>
  <c r="B14" i="116" s="1"/>
  <c r="B15" i="116" s="1"/>
  <c r="B16" i="116" s="1"/>
  <c r="B17" i="116" s="1"/>
  <c r="B18" i="116" s="1"/>
  <c r="B19" i="116" s="1"/>
  <c r="B20" i="116" s="1"/>
  <c r="B21" i="116" s="1"/>
  <c r="B22" i="116" s="1"/>
  <c r="B23" i="116" s="1"/>
  <c r="B24" i="116" s="1"/>
  <c r="B25" i="116" s="1"/>
  <c r="D4" i="116"/>
  <c r="G3" i="116"/>
  <c r="B9" i="115"/>
  <c r="B10" i="115" s="1"/>
  <c r="B11" i="115" s="1"/>
  <c r="B12" i="115" s="1"/>
  <c r="B13" i="115" s="1"/>
  <c r="B14" i="115" s="1"/>
  <c r="B15" i="115" s="1"/>
  <c r="B16" i="115" s="1"/>
  <c r="B17" i="115" s="1"/>
  <c r="B18" i="115" s="1"/>
  <c r="B19" i="115" s="1"/>
  <c r="B20" i="115" s="1"/>
  <c r="B21" i="115" s="1"/>
  <c r="B22" i="115" s="1"/>
  <c r="B23" i="115" s="1"/>
  <c r="B24" i="115" s="1"/>
  <c r="B25" i="115" s="1"/>
  <c r="D4" i="115"/>
  <c r="G3" i="115"/>
  <c r="B9" i="114"/>
  <c r="B10" i="114" s="1"/>
  <c r="B11" i="114" s="1"/>
  <c r="B12" i="114" s="1"/>
  <c r="B13" i="114" s="1"/>
  <c r="B14" i="114" s="1"/>
  <c r="B15" i="114" s="1"/>
  <c r="B16" i="114" s="1"/>
  <c r="B17" i="114" s="1"/>
  <c r="B18" i="114" s="1"/>
  <c r="B19" i="114" s="1"/>
  <c r="B20" i="114" s="1"/>
  <c r="B21" i="114" s="1"/>
  <c r="B22" i="114" s="1"/>
  <c r="B23" i="114" s="1"/>
  <c r="B24" i="114" s="1"/>
  <c r="B25" i="114" s="1"/>
  <c r="D4" i="114"/>
  <c r="G3" i="114"/>
  <c r="B9" i="117"/>
  <c r="B10" i="117" s="1"/>
  <c r="B11" i="117" s="1"/>
  <c r="B12" i="117" s="1"/>
  <c r="B13" i="117" s="1"/>
  <c r="B14" i="117" s="1"/>
  <c r="B15" i="117" s="1"/>
  <c r="B16" i="117" s="1"/>
  <c r="B17" i="117" s="1"/>
  <c r="B18" i="117" s="1"/>
  <c r="B19" i="117" s="1"/>
  <c r="B20" i="117" s="1"/>
  <c r="B21" i="117" s="1"/>
  <c r="B22" i="117" s="1"/>
  <c r="B23" i="117" s="1"/>
  <c r="B24" i="117" s="1"/>
  <c r="B25" i="117" s="1"/>
  <c r="D4" i="117"/>
  <c r="G3" i="117"/>
  <c r="B9" i="23"/>
  <c r="B10" i="23" s="1"/>
  <c r="B11" i="23" s="1"/>
  <c r="B12" i="23" s="1"/>
  <c r="B13" i="23" s="1"/>
  <c r="B14" i="23" s="1"/>
  <c r="B15" i="23" s="1"/>
  <c r="B16" i="23" s="1"/>
  <c r="B17" i="23" s="1"/>
  <c r="B18" i="23" s="1"/>
  <c r="B19" i="23" s="1"/>
  <c r="B20" i="23" s="1"/>
  <c r="B21" i="23" s="1"/>
  <c r="B22" i="23" s="1"/>
  <c r="B23" i="23" s="1"/>
  <c r="B24" i="23" s="1"/>
  <c r="B25" i="23" s="1"/>
  <c r="B26" i="23" s="1"/>
  <c r="B27" i="23" s="1"/>
  <c r="B28" i="23" s="1"/>
  <c r="G4" i="23"/>
  <c r="D4" i="23"/>
  <c r="G3" i="23"/>
  <c r="B9" i="22"/>
  <c r="B10" i="22" s="1"/>
  <c r="B11" i="22" s="1"/>
  <c r="B12" i="22" s="1"/>
  <c r="B13" i="22" s="1"/>
  <c r="B14" i="22" s="1"/>
  <c r="B15" i="22" s="1"/>
  <c r="B16" i="22" s="1"/>
  <c r="B17" i="22" s="1"/>
  <c r="B18" i="22" s="1"/>
  <c r="B19" i="22" s="1"/>
  <c r="B20" i="22" s="1"/>
  <c r="B21" i="22" s="1"/>
  <c r="B22" i="22" s="1"/>
  <c r="B23" i="22" s="1"/>
  <c r="B24" i="22" s="1"/>
  <c r="B25" i="22" s="1"/>
  <c r="B26" i="22" s="1"/>
  <c r="G4" i="22"/>
  <c r="D4" i="22"/>
  <c r="G3" i="22"/>
  <c r="B9" i="14"/>
  <c r="B10" i="14" s="1"/>
  <c r="B11" i="14" s="1"/>
  <c r="B12" i="14" s="1"/>
  <c r="B13" i="14" s="1"/>
  <c r="B14" i="14" s="1"/>
  <c r="B15" i="14" s="1"/>
  <c r="B16" i="14" s="1"/>
  <c r="B17" i="14" s="1"/>
  <c r="B18" i="14" s="1"/>
  <c r="B19" i="14" s="1"/>
  <c r="B20" i="14" s="1"/>
  <c r="B21" i="14" s="1"/>
  <c r="B22" i="14" s="1"/>
  <c r="B23" i="14" s="1"/>
  <c r="B24" i="14" s="1"/>
  <c r="B25" i="14" s="1"/>
  <c r="B26" i="14" s="1"/>
  <c r="G4" i="14"/>
  <c r="D4" i="14"/>
  <c r="G3" i="14"/>
  <c r="B22" i="93"/>
  <c r="B9" i="93"/>
  <c r="B10" i="93" s="1"/>
  <c r="B11" i="93" s="1"/>
  <c r="B12" i="93" s="1"/>
  <c r="B13" i="93" s="1"/>
  <c r="B14" i="93" s="1"/>
  <c r="B15" i="93" s="1"/>
  <c r="B16" i="93" s="1"/>
  <c r="B17" i="93" s="1"/>
  <c r="B18" i="93" s="1"/>
  <c r="B19" i="93" s="1"/>
  <c r="B20" i="93" s="1"/>
  <c r="B21" i="93" s="1"/>
  <c r="D4" i="93"/>
  <c r="G3" i="93"/>
  <c r="B9" i="102"/>
  <c r="B10" i="102" s="1"/>
  <c r="B11" i="102" s="1"/>
  <c r="B12" i="102" s="1"/>
  <c r="B13" i="102" s="1"/>
  <c r="B14" i="102" s="1"/>
  <c r="B15" i="102" s="1"/>
  <c r="B16" i="102" s="1"/>
  <c r="B17" i="102" s="1"/>
  <c r="B18" i="102" s="1"/>
  <c r="B19" i="102" s="1"/>
  <c r="B20" i="102" s="1"/>
  <c r="B21" i="102" s="1"/>
  <c r="D4" i="102"/>
  <c r="G3" i="102"/>
  <c r="B9" i="111"/>
  <c r="B10" i="111" s="1"/>
  <c r="B11" i="111" s="1"/>
  <c r="B12" i="111" s="1"/>
  <c r="B13" i="111" s="1"/>
  <c r="B14" i="111" s="1"/>
  <c r="B15" i="111" s="1"/>
  <c r="B16" i="111" s="1"/>
  <c r="B17" i="111" s="1"/>
  <c r="B18" i="111" s="1"/>
  <c r="B19" i="111" s="1"/>
  <c r="B20" i="111" s="1"/>
  <c r="B21" i="111" s="1"/>
  <c r="D4" i="111"/>
  <c r="G3" i="111"/>
  <c r="B9" i="101"/>
  <c r="B10" i="101" s="1"/>
  <c r="B11" i="101" s="1"/>
  <c r="B12" i="101" s="1"/>
  <c r="B13" i="101" s="1"/>
  <c r="B14" i="101" s="1"/>
  <c r="B15" i="101" s="1"/>
  <c r="B16" i="101" s="1"/>
  <c r="B17" i="101" s="1"/>
  <c r="B18" i="101" s="1"/>
  <c r="B19" i="101" s="1"/>
  <c r="B20" i="101" s="1"/>
  <c r="B21" i="101" s="1"/>
  <c r="G3" i="101"/>
  <c r="B9" i="100"/>
  <c r="B10" i="100" s="1"/>
  <c r="B11" i="100" s="1"/>
  <c r="B12" i="100" s="1"/>
  <c r="B13" i="100" s="1"/>
  <c r="B14" i="100" s="1"/>
  <c r="B15" i="100" s="1"/>
  <c r="B16" i="100" s="1"/>
  <c r="B17" i="100" s="1"/>
  <c r="B18" i="100" s="1"/>
  <c r="B19" i="100" s="1"/>
  <c r="B20" i="100" s="1"/>
  <c r="B21" i="100" s="1"/>
  <c r="D4" i="100"/>
  <c r="G3" i="100"/>
  <c r="B9" i="110"/>
  <c r="B10" i="110" s="1"/>
  <c r="B11" i="110" s="1"/>
  <c r="B12" i="110" s="1"/>
  <c r="B13" i="110" s="1"/>
  <c r="B14" i="110" s="1"/>
  <c r="B15" i="110" s="1"/>
  <c r="B16" i="110" s="1"/>
  <c r="B17" i="110" s="1"/>
  <c r="B18" i="110" s="1"/>
  <c r="B19" i="110" s="1"/>
  <c r="B20" i="110" s="1"/>
  <c r="B21" i="110" s="1"/>
  <c r="D4" i="110"/>
  <c r="G3" i="110"/>
  <c r="B9" i="109"/>
  <c r="B10" i="109" s="1"/>
  <c r="B11" i="109" s="1"/>
  <c r="B12" i="109" s="1"/>
  <c r="B13" i="109" s="1"/>
  <c r="B14" i="109" s="1"/>
  <c r="B15" i="109" s="1"/>
  <c r="B16" i="109" s="1"/>
  <c r="B17" i="109" s="1"/>
  <c r="B18" i="109" s="1"/>
  <c r="B19" i="109" s="1"/>
  <c r="B20" i="109" s="1"/>
  <c r="B21" i="109" s="1"/>
  <c r="D4" i="109"/>
  <c r="G3" i="109"/>
  <c r="B9" i="107"/>
  <c r="B10" i="107" s="1"/>
  <c r="B11" i="107" s="1"/>
  <c r="B12" i="107" s="1"/>
  <c r="B13" i="107" s="1"/>
  <c r="B14" i="107" s="1"/>
  <c r="B15" i="107" s="1"/>
  <c r="B16" i="107" s="1"/>
  <c r="B17" i="107" s="1"/>
  <c r="B18" i="107" s="1"/>
  <c r="B19" i="107" s="1"/>
  <c r="B20" i="107" s="1"/>
  <c r="B21" i="107" s="1"/>
  <c r="D4" i="107"/>
  <c r="G3" i="107"/>
  <c r="B9" i="106"/>
  <c r="B10" i="106" s="1"/>
  <c r="B11" i="106" s="1"/>
  <c r="B12" i="106" s="1"/>
  <c r="B13" i="106" s="1"/>
  <c r="B14" i="106" s="1"/>
  <c r="B15" i="106" s="1"/>
  <c r="B16" i="106" s="1"/>
  <c r="B17" i="106" s="1"/>
  <c r="B18" i="106" s="1"/>
  <c r="B19" i="106" s="1"/>
  <c r="B20" i="106" s="1"/>
  <c r="D4" i="106"/>
  <c r="G3" i="106"/>
  <c r="B9" i="105"/>
  <c r="B10" i="105" s="1"/>
  <c r="B11" i="105" s="1"/>
  <c r="B12" i="105" s="1"/>
  <c r="B13" i="105" s="1"/>
  <c r="B14" i="105" s="1"/>
  <c r="B15" i="105" s="1"/>
  <c r="B16" i="105" s="1"/>
  <c r="B17" i="105" s="1"/>
  <c r="B18" i="105" s="1"/>
  <c r="B19" i="105" s="1"/>
  <c r="B20" i="105" s="1"/>
  <c r="B21" i="105" s="1"/>
  <c r="D4" i="105"/>
  <c r="G3" i="105"/>
  <c r="B22" i="104"/>
  <c r="B23" i="104" s="1"/>
  <c r="B24" i="104" s="1"/>
  <c r="B9" i="104"/>
  <c r="B10" i="104" s="1"/>
  <c r="B11" i="104" s="1"/>
  <c r="B12" i="104" s="1"/>
  <c r="B13" i="104" s="1"/>
  <c r="B14" i="104" s="1"/>
  <c r="B15" i="104" s="1"/>
  <c r="B16" i="104" s="1"/>
  <c r="B17" i="104" s="1"/>
  <c r="B18" i="104" s="1"/>
  <c r="B19" i="104" s="1"/>
  <c r="B20" i="104" s="1"/>
  <c r="B21" i="104" s="1"/>
  <c r="D4" i="104"/>
  <c r="G3" i="104"/>
  <c r="B24" i="103"/>
  <c r="B9" i="103"/>
  <c r="B10" i="103" s="1"/>
  <c r="B11" i="103" s="1"/>
  <c r="B12" i="103" s="1"/>
  <c r="B13" i="103" s="1"/>
  <c r="B14" i="103" s="1"/>
  <c r="B15" i="103" s="1"/>
  <c r="B16" i="103" s="1"/>
  <c r="B17" i="103" s="1"/>
  <c r="B18" i="103" s="1"/>
  <c r="B19" i="103" s="1"/>
  <c r="B20" i="103" s="1"/>
  <c r="B21" i="103" s="1"/>
  <c r="B22" i="103" s="1"/>
  <c r="B23" i="103" s="1"/>
  <c r="D4" i="103"/>
  <c r="G3" i="103"/>
  <c r="B9" i="99"/>
  <c r="B10" i="99" s="1"/>
  <c r="B11" i="99" s="1"/>
  <c r="B12" i="99" s="1"/>
  <c r="B13" i="99" s="1"/>
  <c r="B14" i="99" s="1"/>
  <c r="B15" i="99" s="1"/>
  <c r="B16" i="99" s="1"/>
  <c r="B17" i="99" s="1"/>
  <c r="B18" i="99" s="1"/>
  <c r="B19" i="99" s="1"/>
  <c r="B20" i="99" s="1"/>
  <c r="B21" i="99" s="1"/>
  <c r="B22" i="99" s="1"/>
  <c r="B23" i="99" s="1"/>
  <c r="B24" i="99" s="1"/>
  <c r="D4" i="99"/>
  <c r="G3" i="99"/>
  <c r="B22" i="98"/>
  <c r="B9" i="98"/>
  <c r="B10" i="98" s="1"/>
  <c r="B11" i="98" s="1"/>
  <c r="B12" i="98" s="1"/>
  <c r="B13" i="98" s="1"/>
  <c r="B14" i="98" s="1"/>
  <c r="B15" i="98" s="1"/>
  <c r="B16" i="98" s="1"/>
  <c r="B17" i="98" s="1"/>
  <c r="B18" i="98" s="1"/>
  <c r="B19" i="98" s="1"/>
  <c r="B20" i="98" s="1"/>
  <c r="B21" i="98" s="1"/>
  <c r="D4" i="98"/>
  <c r="G3" i="98"/>
  <c r="B9" i="97"/>
  <c r="B10" i="97" s="1"/>
  <c r="B11" i="97" s="1"/>
  <c r="B12" i="97" s="1"/>
  <c r="B13" i="97" s="1"/>
  <c r="B14" i="97" s="1"/>
  <c r="B15" i="97" s="1"/>
  <c r="B16" i="97" s="1"/>
  <c r="B17" i="97" s="1"/>
  <c r="B18" i="97" s="1"/>
  <c r="B19" i="97" s="1"/>
  <c r="B20" i="97" s="1"/>
  <c r="B21" i="97" s="1"/>
  <c r="B22" i="97" s="1"/>
  <c r="B23" i="97" s="1"/>
  <c r="D4" i="97"/>
  <c r="G3" i="97"/>
  <c r="B9" i="96"/>
  <c r="B10" i="96" s="1"/>
  <c r="B11" i="96" s="1"/>
  <c r="B12" i="96" s="1"/>
  <c r="B13" i="96" s="1"/>
  <c r="B14" i="96" s="1"/>
  <c r="B15" i="96" s="1"/>
  <c r="B16" i="96" s="1"/>
  <c r="B17" i="96" s="1"/>
  <c r="B18" i="96" s="1"/>
  <c r="B19" i="96" s="1"/>
  <c r="B20" i="96" s="1"/>
  <c r="B21" i="96" s="1"/>
  <c r="B22" i="96" s="1"/>
  <c r="B23" i="96" s="1"/>
  <c r="D4" i="96"/>
  <c r="G3" i="96"/>
  <c r="B9" i="95"/>
  <c r="B10" i="95" s="1"/>
  <c r="B11" i="95" s="1"/>
  <c r="B12" i="95" s="1"/>
  <c r="B13" i="95" s="1"/>
  <c r="B14" i="95" s="1"/>
  <c r="B15" i="95" s="1"/>
  <c r="B16" i="95" s="1"/>
  <c r="B17" i="95" s="1"/>
  <c r="B18" i="95" s="1"/>
  <c r="B19" i="95" s="1"/>
  <c r="B20" i="95" s="1"/>
  <c r="B21" i="95" s="1"/>
  <c r="B22" i="95" s="1"/>
  <c r="D4" i="95"/>
  <c r="G3" i="95"/>
  <c r="B9" i="94"/>
  <c r="B10" i="94" s="1"/>
  <c r="B11" i="94" s="1"/>
  <c r="B12" i="94" s="1"/>
  <c r="B13" i="94" s="1"/>
  <c r="B14" i="94" s="1"/>
  <c r="B15" i="94" s="1"/>
  <c r="B16" i="94" s="1"/>
  <c r="B17" i="94" s="1"/>
  <c r="B18" i="94" s="1"/>
  <c r="B19" i="94" s="1"/>
  <c r="B20" i="94" s="1"/>
  <c r="B21" i="94" s="1"/>
  <c r="D4" i="94"/>
  <c r="G3" i="94"/>
  <c r="B9" i="133"/>
  <c r="B10" i="133" s="1"/>
  <c r="B11" i="133" s="1"/>
  <c r="B12" i="133" s="1"/>
  <c r="B13" i="133" s="1"/>
  <c r="B14" i="133" s="1"/>
  <c r="B15" i="133" s="1"/>
  <c r="D4" i="133"/>
  <c r="G3" i="133"/>
  <c r="B21" i="13"/>
  <c r="B22" i="13" s="1"/>
  <c r="B23" i="13" s="1"/>
  <c r="B24" i="13" s="1"/>
  <c r="B9" i="13"/>
  <c r="B10" i="13" s="1"/>
  <c r="B11" i="13" s="1"/>
  <c r="B12" i="13" s="1"/>
  <c r="B13" i="13" s="1"/>
  <c r="B14" i="13" s="1"/>
  <c r="B15" i="13" s="1"/>
  <c r="B16" i="13" s="1"/>
  <c r="B17" i="13" s="1"/>
  <c r="B18" i="13" s="1"/>
  <c r="B19" i="13" s="1"/>
  <c r="B20" i="13" s="1"/>
  <c r="G4" i="13"/>
  <c r="D4" i="13"/>
  <c r="G3" i="13"/>
  <c r="B9" i="9"/>
  <c r="B10" i="9" s="1"/>
  <c r="B11" i="9" s="1"/>
  <c r="B12" i="9" s="1"/>
  <c r="B13" i="9" s="1"/>
  <c r="B14" i="9" s="1"/>
  <c r="B15" i="9" s="1"/>
  <c r="D4" i="9"/>
  <c r="B9" i="8"/>
  <c r="B10" i="8" s="1"/>
  <c r="B11" i="8" s="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G4" i="8"/>
  <c r="D4" i="8"/>
  <c r="G3" i="8"/>
  <c r="B9" i="120"/>
  <c r="B10" i="120" s="1"/>
  <c r="B11" i="120" s="1"/>
  <c r="B12" i="120" s="1"/>
  <c r="B13" i="120" s="1"/>
  <c r="B14" i="120" s="1"/>
  <c r="B15" i="120" s="1"/>
  <c r="B16" i="120" s="1"/>
  <c r="B17" i="120" s="1"/>
  <c r="B18" i="120" s="1"/>
  <c r="B19" i="120" s="1"/>
  <c r="B20" i="120" s="1"/>
  <c r="B21" i="120" s="1"/>
  <c r="B22" i="120" s="1"/>
  <c r="B23" i="120" s="1"/>
  <c r="B24" i="120" s="1"/>
  <c r="D4" i="120"/>
  <c r="G3" i="120"/>
  <c r="B9" i="137"/>
  <c r="B10" i="137" s="1"/>
  <c r="B11" i="137" s="1"/>
  <c r="B12" i="137" s="1"/>
  <c r="D4" i="137"/>
  <c r="G3" i="137"/>
  <c r="B9" i="119"/>
  <c r="B10" i="119" s="1"/>
  <c r="B11" i="119" s="1"/>
  <c r="B12" i="119" s="1"/>
  <c r="B13" i="119" s="1"/>
  <c r="B14" i="119" s="1"/>
  <c r="B15" i="119" s="1"/>
  <c r="B16" i="119" s="1"/>
  <c r="B17" i="119" s="1"/>
  <c r="B18" i="119" s="1"/>
  <c r="B19" i="119" s="1"/>
  <c r="B20" i="119" s="1"/>
  <c r="B21" i="119" s="1"/>
  <c r="B22" i="119" s="1"/>
  <c r="B23" i="119" s="1"/>
  <c r="B24" i="119" s="1"/>
  <c r="B25" i="119" s="1"/>
  <c r="B26" i="119" s="1"/>
  <c r="B27" i="119" s="1"/>
  <c r="B28" i="119" s="1"/>
  <c r="B29" i="119" s="1"/>
  <c r="B30" i="119" s="1"/>
  <c r="B31" i="119" s="1"/>
  <c r="B32" i="119" s="1"/>
  <c r="B33" i="119" s="1"/>
  <c r="B34" i="119" s="1"/>
  <c r="B35" i="119" s="1"/>
  <c r="B36" i="119" s="1"/>
  <c r="D4" i="119"/>
  <c r="B9" i="7"/>
  <c r="B10" i="7" s="1"/>
  <c r="B11" i="7" s="1"/>
  <c r="B12" i="7" s="1"/>
  <c r="B13" i="7" s="1"/>
  <c r="B14" i="7" s="1"/>
  <c r="B15" i="7" s="1"/>
  <c r="B16" i="7" s="1"/>
  <c r="B17" i="7" s="1"/>
  <c r="B18" i="7" s="1"/>
  <c r="B19" i="7" s="1"/>
  <c r="B20" i="7" s="1"/>
  <c r="B21" i="7" s="1"/>
  <c r="B22" i="7" s="1"/>
  <c r="B23" i="7" s="1"/>
  <c r="D4" i="7"/>
  <c r="G3" i="7"/>
  <c r="B9" i="113"/>
  <c r="B10" i="113" s="1"/>
  <c r="B11" i="113" s="1"/>
  <c r="B12" i="113" s="1"/>
  <c r="B13" i="113" s="1"/>
  <c r="B14" i="113" s="1"/>
  <c r="B15" i="113" s="1"/>
  <c r="B16" i="113" s="1"/>
  <c r="B17" i="113" s="1"/>
  <c r="B18" i="113" s="1"/>
  <c r="B19" i="113" s="1"/>
  <c r="B20" i="113" s="1"/>
  <c r="B21" i="113" s="1"/>
  <c r="B22" i="113" s="1"/>
  <c r="B23" i="113" s="1"/>
  <c r="D4" i="113"/>
  <c r="G3" i="113"/>
  <c r="B9" i="5"/>
  <c r="B11" i="5" s="1"/>
  <c r="B12" i="5" s="1"/>
  <c r="B13" i="5" s="1"/>
  <c r="B14" i="5" s="1"/>
  <c r="B15" i="5" s="1"/>
  <c r="B16" i="5" s="1"/>
  <c r="B17"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G4" i="5"/>
  <c r="D4" i="5"/>
  <c r="G3" i="5"/>
  <c r="B9" i="135"/>
  <c r="B10" i="135" s="1"/>
  <c r="B11" i="135" s="1"/>
  <c r="B12" i="135" s="1"/>
  <c r="B13" i="135" s="1"/>
  <c r="B14" i="135" s="1"/>
  <c r="B15" i="135" s="1"/>
  <c r="B16" i="135" s="1"/>
  <c r="B17" i="135" s="1"/>
  <c r="B18" i="135" s="1"/>
  <c r="B19" i="135" s="1"/>
  <c r="B20" i="135" s="1"/>
  <c r="B21" i="135" s="1"/>
  <c r="B22" i="135" s="1"/>
  <c r="D4" i="135"/>
  <c r="G3" i="135"/>
  <c r="B15" i="127"/>
  <c r="B10" i="127"/>
  <c r="B11" i="127" s="1"/>
  <c r="B12" i="127" s="1"/>
  <c r="D4" i="127"/>
  <c r="G3" i="127"/>
  <c r="B9" i="11"/>
  <c r="B10" i="11" s="1"/>
  <c r="B11" i="11" s="1"/>
  <c r="B12" i="11" s="1"/>
  <c r="B13" i="11" s="1"/>
  <c r="B14" i="11" s="1"/>
  <c r="B15" i="11" s="1"/>
  <c r="B16" i="11" s="1"/>
  <c r="B17" i="11" s="1"/>
  <c r="B18" i="11" s="1"/>
  <c r="B19" i="11" s="1"/>
  <c r="B20" i="11" s="1"/>
  <c r="B21" i="11" s="1"/>
  <c r="B22" i="11" s="1"/>
  <c r="B23" i="11" s="1"/>
  <c r="B24" i="11" s="1"/>
  <c r="B25" i="11" s="1"/>
  <c r="B26" i="11" s="1"/>
  <c r="B27" i="11" s="1"/>
  <c r="B28" i="11" s="1"/>
  <c r="B29" i="11" s="1"/>
  <c r="B30" i="11" s="1"/>
  <c r="B31" i="11" s="1"/>
  <c r="B32" i="11" s="1"/>
  <c r="B33" i="11" s="1"/>
  <c r="B34" i="11" s="1"/>
  <c r="B35" i="11" s="1"/>
  <c r="B36" i="11" s="1"/>
  <c r="B37" i="11" s="1"/>
  <c r="B38" i="11" s="1"/>
  <c r="B39" i="11" s="1"/>
  <c r="B40" i="11" s="1"/>
  <c r="B41" i="11" s="1"/>
  <c r="B42" i="11" s="1"/>
  <c r="B43" i="11" s="1"/>
  <c r="B44" i="11" s="1"/>
  <c r="B45" i="11" s="1"/>
  <c r="B46" i="11" s="1"/>
  <c r="B47" i="11" s="1"/>
  <c r="B48" i="11" s="1"/>
  <c r="B49" i="11" s="1"/>
  <c r="B50" i="11" s="1"/>
  <c r="B51" i="11" s="1"/>
  <c r="B52" i="11" s="1"/>
  <c r="B53" i="11" s="1"/>
  <c r="B54" i="11" s="1"/>
  <c r="B55" i="11" s="1"/>
  <c r="G4" i="11"/>
  <c r="D4" i="11"/>
  <c r="G3" i="11"/>
  <c r="B9" i="4"/>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G4" i="4"/>
  <c r="D4" i="4"/>
  <c r="G3" i="4"/>
  <c r="B9" i="134"/>
  <c r="B10" i="134" s="1"/>
  <c r="B11" i="134" s="1"/>
  <c r="B12" i="134" s="1"/>
  <c r="B13" i="134" s="1"/>
  <c r="B14" i="134" s="1"/>
  <c r="B15" i="134" s="1"/>
  <c r="D4" i="134"/>
  <c r="G3" i="134"/>
  <c r="B19" i="153"/>
  <c r="B17" i="153"/>
  <c r="B15" i="153"/>
  <c r="B12" i="153"/>
  <c r="B9" i="153"/>
  <c r="D4" i="153"/>
  <c r="B13" i="10"/>
  <c r="B14" i="10" s="1"/>
  <c r="B15" i="10" s="1"/>
  <c r="B16" i="10" s="1"/>
  <c r="B17" i="10" s="1"/>
  <c r="B18" i="10" s="1"/>
  <c r="B19" i="10" s="1"/>
  <c r="B20" i="10" s="1"/>
  <c r="B21" i="10" s="1"/>
  <c r="B22" i="10" s="1"/>
  <c r="B23" i="10" s="1"/>
  <c r="B24" i="10" s="1"/>
  <c r="B25" i="10" s="1"/>
  <c r="B26" i="10" s="1"/>
  <c r="B27" i="10" s="1"/>
  <c r="B28" i="10" s="1"/>
  <c r="B29" i="10" s="1"/>
  <c r="B30" i="10" s="1"/>
  <c r="B31" i="10" s="1"/>
  <c r="B32" i="10" s="1"/>
  <c r="B33" i="10" s="1"/>
  <c r="B34" i="10" s="1"/>
  <c r="B35" i="10" s="1"/>
  <c r="B36" i="10" s="1"/>
  <c r="B37" i="10" s="1"/>
  <c r="B38" i="10" s="1"/>
  <c r="B39" i="10" s="1"/>
  <c r="B40" i="10" s="1"/>
  <c r="B41" i="10" s="1"/>
  <c r="B42" i="10" s="1"/>
  <c r="B43" i="10" s="1"/>
  <c r="B44" i="10" s="1"/>
  <c r="B45" i="10" s="1"/>
  <c r="B46" i="10" s="1"/>
  <c r="B47" i="10" s="1"/>
  <c r="B9" i="10"/>
  <c r="B10" i="10" s="1"/>
  <c r="B11" i="10" s="1"/>
  <c r="G4" i="10"/>
  <c r="D4" i="10"/>
  <c r="G3" i="10"/>
  <c r="B9" i="130"/>
  <c r="B10" i="130" s="1"/>
  <c r="B11" i="130" s="1"/>
  <c r="B12" i="130" s="1"/>
  <c r="B13" i="130" s="1"/>
  <c r="B14" i="130" s="1"/>
  <c r="B15" i="130" s="1"/>
  <c r="B16" i="130" s="1"/>
  <c r="B17" i="130" s="1"/>
  <c r="B18" i="130" s="1"/>
  <c r="D4" i="130"/>
  <c r="B11" i="1"/>
  <c r="B9" i="1"/>
  <c r="G4" i="1"/>
  <c r="D4" i="1"/>
  <c r="G3" i="1"/>
  <c r="B9" i="6"/>
  <c r="B10" i="6" s="1"/>
  <c r="B11" i="6" s="1"/>
  <c r="B12" i="6" s="1"/>
  <c r="B13" i="6" s="1"/>
  <c r="B14" i="6" s="1"/>
  <c r="B15" i="6" s="1"/>
  <c r="B16" i="6" s="1"/>
  <c r="B17" i="6" s="1"/>
  <c r="B18" i="6" s="1"/>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G4" i="6"/>
  <c r="D4" i="6"/>
  <c r="G3" i="6"/>
  <c r="B9" i="118"/>
  <c r="B10" i="118" s="1"/>
  <c r="B11" i="118" s="1"/>
  <c r="B12" i="118" s="1"/>
  <c r="B13" i="118" s="1"/>
  <c r="B14" i="118" s="1"/>
  <c r="B15" i="118" s="1"/>
  <c r="B16" i="118" s="1"/>
  <c r="B17" i="118" s="1"/>
  <c r="B18" i="118" s="1"/>
  <c r="B19" i="118" s="1"/>
  <c r="B20" i="118" s="1"/>
  <c r="B21" i="118" s="1"/>
  <c r="B22" i="118" s="1"/>
  <c r="B23" i="118" s="1"/>
  <c r="D4" i="118"/>
  <c r="G3" i="118"/>
  <c r="B9" i="136"/>
  <c r="B10" i="136" s="1"/>
  <c r="B11" i="136" s="1"/>
  <c r="B12" i="136" s="1"/>
  <c r="B13" i="136" s="1"/>
  <c r="B14" i="136" s="1"/>
  <c r="B15" i="136" s="1"/>
  <c r="B16" i="136" s="1"/>
  <c r="B17" i="136" s="1"/>
  <c r="B18" i="136" s="1"/>
  <c r="B19" i="136" s="1"/>
  <c r="B20" i="136" s="1"/>
  <c r="B21" i="136" s="1"/>
  <c r="D4" i="136"/>
  <c r="G3" i="136"/>
  <c r="B9" i="131"/>
  <c r="B10" i="131" s="1"/>
  <c r="B11" i="131" s="1"/>
  <c r="B12" i="131" s="1"/>
  <c r="B13" i="131" s="1"/>
  <c r="B14" i="131" s="1"/>
  <c r="B15" i="131" s="1"/>
  <c r="B16" i="131" s="1"/>
  <c r="B17" i="131" s="1"/>
  <c r="B18" i="131" s="1"/>
  <c r="B19" i="131" s="1"/>
  <c r="B20" i="131" s="1"/>
  <c r="B21" i="131" s="1"/>
  <c r="B22" i="131" s="1"/>
  <c r="B23" i="131" s="1"/>
  <c r="B24" i="131" s="1"/>
  <c r="B25" i="131" s="1"/>
  <c r="B26" i="131" s="1"/>
  <c r="B27" i="131" s="1"/>
  <c r="B28" i="131" s="1"/>
  <c r="B29" i="131" s="1"/>
  <c r="B30" i="131" s="1"/>
  <c r="D4" i="131"/>
  <c r="G3" i="131"/>
  <c r="B9" i="138"/>
  <c r="B10" i="138" s="1"/>
  <c r="B11" i="138" s="1"/>
  <c r="B12" i="138" s="1"/>
  <c r="B13" i="138" s="1"/>
  <c r="B14" i="138" s="1"/>
  <c r="B15" i="138" s="1"/>
  <c r="B16" i="138" s="1"/>
  <c r="B17" i="138" s="1"/>
  <c r="B18" i="138" s="1"/>
  <c r="B19" i="138" s="1"/>
  <c r="B20" i="138" s="1"/>
  <c r="B21" i="138" s="1"/>
  <c r="B22" i="138" s="1"/>
  <c r="B23" i="138" s="1"/>
  <c r="B24" i="138" s="1"/>
  <c r="B25" i="138" s="1"/>
  <c r="B26" i="138" s="1"/>
  <c r="B27" i="138" s="1"/>
  <c r="B28" i="138" s="1"/>
  <c r="B29" i="138" s="1"/>
  <c r="B30" i="138" s="1"/>
  <c r="B31" i="138" s="1"/>
  <c r="B32" i="138" s="1"/>
  <c r="D4" i="138"/>
  <c r="G3" i="138"/>
  <c r="B9" i="126"/>
  <c r="B10" i="126" s="1"/>
  <c r="B11" i="126" s="1"/>
  <c r="D4" i="126"/>
  <c r="G3" i="126"/>
  <c r="B13" i="85"/>
  <c r="B14" i="85" s="1"/>
  <c r="B15" i="85" s="1"/>
  <c r="B16" i="85" s="1"/>
  <c r="B17" i="85" s="1"/>
  <c r="B18" i="85" s="1"/>
  <c r="B19" i="85" s="1"/>
  <c r="B20" i="85" s="1"/>
  <c r="B21" i="85" s="1"/>
  <c r="B22" i="85" s="1"/>
  <c r="B23" i="85" s="1"/>
  <c r="B24" i="85" s="1"/>
  <c r="B25" i="85" s="1"/>
  <c r="B26" i="85" s="1"/>
  <c r="B27" i="85" s="1"/>
  <c r="B28" i="85" s="1"/>
  <c r="B29" i="85" s="1"/>
  <c r="B30" i="85" s="1"/>
  <c r="B31" i="85" s="1"/>
  <c r="B32" i="85" s="1"/>
  <c r="B33" i="85" s="1"/>
  <c r="I4" i="85"/>
  <c r="B13" i="108"/>
  <c r="B14" i="108" s="1"/>
  <c r="B15" i="108" s="1"/>
  <c r="B16" i="108" s="1"/>
  <c r="B17" i="108" s="1"/>
  <c r="B18" i="108" s="1"/>
  <c r="B19" i="108" s="1"/>
  <c r="B20" i="108" s="1"/>
  <c r="B21" i="108" s="1"/>
  <c r="B22" i="108" s="1"/>
  <c r="B23" i="108" s="1"/>
  <c r="B24" i="108" s="1"/>
  <c r="B25" i="108" s="1"/>
  <c r="B26" i="108" s="1"/>
  <c r="B27" i="108" s="1"/>
  <c r="B28" i="108" s="1"/>
  <c r="B29" i="108" s="1"/>
  <c r="B30" i="108" s="1"/>
  <c r="B31" i="108" s="1"/>
  <c r="B32" i="108" s="1"/>
  <c r="B33" i="108" s="1"/>
  <c r="B13" i="84"/>
  <c r="B14" i="84" s="1"/>
  <c r="B15" i="84" s="1"/>
  <c r="B16" i="84" s="1"/>
  <c r="B17" i="84" s="1"/>
  <c r="B18" i="84" s="1"/>
  <c r="B19" i="84" s="1"/>
  <c r="B20" i="84" s="1"/>
  <c r="B21" i="84" s="1"/>
  <c r="B22" i="84" s="1"/>
  <c r="B23" i="84" s="1"/>
  <c r="B24" i="84" s="1"/>
  <c r="B25" i="84" s="1"/>
  <c r="B26" i="84" s="1"/>
  <c r="B27" i="84" s="1"/>
  <c r="B28" i="84" s="1"/>
  <c r="B29" i="84" s="1"/>
  <c r="B30" i="84" s="1"/>
  <c r="B31" i="84" s="1"/>
  <c r="B32" i="84" s="1"/>
  <c r="B33" i="84" s="1"/>
  <c r="I4" i="84"/>
  <c r="B9" i="63"/>
  <c r="B10" i="63" s="1"/>
  <c r="B11" i="63" s="1"/>
  <c r="B12" i="63" s="1"/>
  <c r="B13" i="63" s="1"/>
  <c r="B14" i="63" s="1"/>
  <c r="B15" i="63" s="1"/>
  <c r="B16" i="63" s="1"/>
  <c r="B17" i="63" s="1"/>
  <c r="B18" i="63" s="1"/>
  <c r="B19" i="63" s="1"/>
  <c r="B20" i="63" s="1"/>
  <c r="B21" i="63" s="1"/>
  <c r="G4" i="63"/>
  <c r="D4" i="63"/>
  <c r="G3" i="63"/>
  <c r="B13" i="70"/>
  <c r="B14" i="70" s="1"/>
  <c r="B15" i="70" s="1"/>
  <c r="B16" i="70" s="1"/>
  <c r="B17" i="70" s="1"/>
  <c r="B18" i="70" s="1"/>
  <c r="B19" i="70" s="1"/>
  <c r="B20" i="70" s="1"/>
  <c r="B21" i="70" s="1"/>
  <c r="B22" i="70" s="1"/>
  <c r="B23" i="70" s="1"/>
  <c r="B24" i="70" s="1"/>
  <c r="B25" i="70" s="1"/>
  <c r="B26" i="70" s="1"/>
  <c r="B27" i="70" s="1"/>
  <c r="B28" i="70" s="1"/>
  <c r="B29" i="70" s="1"/>
  <c r="B30" i="70" s="1"/>
  <c r="B31" i="70" s="1"/>
  <c r="B32" i="70" s="1"/>
  <c r="B33" i="70" s="1"/>
  <c r="I4" i="70"/>
  <c r="B13" i="69"/>
  <c r="B14" i="69" s="1"/>
  <c r="B15" i="69" s="1"/>
  <c r="B16" i="69" s="1"/>
  <c r="B17" i="69" s="1"/>
  <c r="B18" i="69" s="1"/>
  <c r="B19" i="69" s="1"/>
  <c r="B20" i="69" s="1"/>
  <c r="B21" i="69" s="1"/>
  <c r="B22" i="69" s="1"/>
  <c r="B23" i="69" s="1"/>
  <c r="B24" i="69" s="1"/>
  <c r="B25" i="69" s="1"/>
  <c r="B26" i="69" s="1"/>
  <c r="B27" i="69" s="1"/>
  <c r="B28" i="69" s="1"/>
  <c r="B29" i="69" s="1"/>
  <c r="B30" i="69" s="1"/>
  <c r="B31" i="69" s="1"/>
  <c r="B32" i="69" s="1"/>
  <c r="B33" i="69" s="1"/>
  <c r="I4" i="69"/>
  <c r="B13" i="68"/>
  <c r="B14" i="68" s="1"/>
  <c r="B15" i="68" s="1"/>
  <c r="B16" i="68" s="1"/>
  <c r="B17" i="68" s="1"/>
  <c r="B18" i="68" s="1"/>
  <c r="B19" i="68" s="1"/>
  <c r="B20" i="68" s="1"/>
  <c r="B21" i="68" s="1"/>
  <c r="B22" i="68" s="1"/>
  <c r="B23" i="68" s="1"/>
  <c r="B24" i="68" s="1"/>
  <c r="B25" i="68" s="1"/>
  <c r="B26" i="68" s="1"/>
  <c r="B27" i="68" s="1"/>
  <c r="B28" i="68" s="1"/>
  <c r="B29" i="68" s="1"/>
  <c r="B30" i="68" s="1"/>
  <c r="B31" i="68" s="1"/>
  <c r="B32" i="68" s="1"/>
  <c r="B33" i="68" s="1"/>
  <c r="I4" i="68"/>
  <c r="B13" i="67"/>
  <c r="B14" i="67" s="1"/>
  <c r="B15" i="67" s="1"/>
  <c r="B16" i="67" s="1"/>
  <c r="B17" i="67" s="1"/>
  <c r="B18" i="67" s="1"/>
  <c r="B19" i="67" s="1"/>
  <c r="B20" i="67" s="1"/>
  <c r="B21" i="67" s="1"/>
  <c r="B22" i="67" s="1"/>
  <c r="B23" i="67" s="1"/>
  <c r="B24" i="67" s="1"/>
  <c r="B25" i="67" s="1"/>
  <c r="B26" i="67" s="1"/>
  <c r="B27" i="67" s="1"/>
  <c r="B28" i="67" s="1"/>
  <c r="B29" i="67" s="1"/>
  <c r="B30" i="67" s="1"/>
  <c r="B31" i="67" s="1"/>
  <c r="B32" i="67" s="1"/>
  <c r="B33" i="67" s="1"/>
  <c r="I4" i="67"/>
  <c r="B13" i="66"/>
  <c r="B14" i="66" s="1"/>
  <c r="B15" i="66" s="1"/>
  <c r="B16" i="66" s="1"/>
  <c r="B17" i="66" s="1"/>
  <c r="B18" i="66" s="1"/>
  <c r="B19" i="66" s="1"/>
  <c r="B20" i="66" s="1"/>
  <c r="B21" i="66" s="1"/>
  <c r="B22" i="66" s="1"/>
  <c r="B23" i="66" s="1"/>
  <c r="B24" i="66" s="1"/>
  <c r="B25" i="66" s="1"/>
  <c r="B26" i="66" s="1"/>
  <c r="B27" i="66" s="1"/>
  <c r="B28" i="66" s="1"/>
  <c r="B29" i="66" s="1"/>
  <c r="B30" i="66" s="1"/>
  <c r="B31" i="66" s="1"/>
  <c r="B32" i="66" s="1"/>
  <c r="B33" i="66" s="1"/>
  <c r="I4" i="66"/>
  <c r="B13" i="156"/>
  <c r="B14" i="156" s="1"/>
  <c r="I4" i="156"/>
  <c r="B13" i="86"/>
  <c r="B14" i="86" s="1"/>
  <c r="B15" i="86" s="1"/>
  <c r="B16" i="86" s="1"/>
  <c r="B17" i="86" s="1"/>
  <c r="B18" i="86" s="1"/>
  <c r="B19" i="86" s="1"/>
  <c r="B20" i="86" s="1"/>
  <c r="B21" i="86" s="1"/>
  <c r="B22" i="86" s="1"/>
  <c r="B23" i="86" s="1"/>
  <c r="B24" i="86" s="1"/>
  <c r="B25" i="86" s="1"/>
  <c r="B26" i="86" s="1"/>
  <c r="B27" i="86" s="1"/>
  <c r="B28" i="86" s="1"/>
  <c r="B29" i="86" s="1"/>
  <c r="B30" i="86" s="1"/>
  <c r="B31" i="86" s="1"/>
  <c r="B32" i="86" s="1"/>
  <c r="B33" i="86" s="1"/>
  <c r="B13" i="128"/>
  <c r="B14" i="128" s="1"/>
  <c r="B15" i="128" s="1"/>
  <c r="B16" i="128" s="1"/>
  <c r="B17" i="128" s="1"/>
  <c r="B18" i="128" s="1"/>
  <c r="B19" i="128" s="1"/>
  <c r="B20" i="128" s="1"/>
  <c r="B21" i="128" s="1"/>
  <c r="B22" i="128" s="1"/>
  <c r="B23" i="128" s="1"/>
  <c r="B24" i="128" s="1"/>
  <c r="B25" i="128" s="1"/>
  <c r="B26" i="128" s="1"/>
  <c r="B27" i="128" s="1"/>
  <c r="B28" i="128" s="1"/>
  <c r="B29" i="128" s="1"/>
  <c r="B30" i="128" s="1"/>
  <c r="B31" i="128" s="1"/>
  <c r="B32" i="128" s="1"/>
  <c r="B33" i="128" s="1"/>
  <c r="I4" i="128"/>
</calcChain>
</file>

<file path=xl/sharedStrings.xml><?xml version="1.0" encoding="utf-8"?>
<sst xmlns="http://schemas.openxmlformats.org/spreadsheetml/2006/main" count="2164" uniqueCount="767">
  <si>
    <t>FAIT?</t>
  </si>
  <si>
    <t>N°</t>
  </si>
  <si>
    <t>DESCRIPTION DES TACHES</t>
  </si>
  <si>
    <t>Durée</t>
  </si>
  <si>
    <t>OUI</t>
  </si>
  <si>
    <t>NON</t>
  </si>
  <si>
    <t>REMARQUES (MATERIEL + PIECES)</t>
  </si>
  <si>
    <t>Nom et Visa Intervenants</t>
  </si>
  <si>
    <t>Nom et Visa Responsables</t>
  </si>
  <si>
    <t xml:space="preserve">Line </t>
  </si>
  <si>
    <t>Frequency</t>
  </si>
  <si>
    <t>CHECKLIST  MECANIQUE</t>
  </si>
  <si>
    <t>DEPALETTISEUR</t>
  </si>
  <si>
    <t xml:space="preserve">Commentaire </t>
  </si>
  <si>
    <t>HEBDOMADAIRE</t>
  </si>
  <si>
    <t>DECAISSEUSE</t>
  </si>
  <si>
    <t>LAVEUSE BOUTEILLES</t>
  </si>
  <si>
    <t>SOUTIREUSE</t>
  </si>
  <si>
    <t>PASTEURISATEUR</t>
  </si>
  <si>
    <t>ETIQUETEUSE</t>
  </si>
  <si>
    <t>LAVE-CAISSES</t>
  </si>
  <si>
    <t>ENCAISSEUSE</t>
  </si>
  <si>
    <t>PALETTISEUR</t>
  </si>
  <si>
    <t>controler l'arret d'huile et le remplacé au besoin. Aucune fuite d'huile n'est acceptable.</t>
  </si>
  <si>
    <t xml:space="preserve">controler la pression d'air sur le pressostat du bloc regualteur </t>
  </si>
  <si>
    <t>controler les fuites sur les élements pneumatiques de la trasverse</t>
  </si>
  <si>
    <t>controler le fonctionnement de la barre de stabilisation des casiers et reparer le clamp element au besoin</t>
  </si>
  <si>
    <t>verifier l'alignement et le serrage des doigts par rapport aux casiers et les regler si necessaire</t>
  </si>
  <si>
    <t>demonter le filtre à l'interieur du silencieux et le nettoyer si nécessaire</t>
  </si>
  <si>
    <t>Mag pal / vérifier l'horizontalité des 4 fourches et redresser si necessaire.</t>
  </si>
  <si>
    <t>Mag pal / controler l'ouverture et la fermeture de la vanne manuelle et remplacer la au besoin.</t>
  </si>
  <si>
    <t>Mag pal / demonter le filtre à l'interieur du silencieux et le nettoyer si nécessaire</t>
  </si>
  <si>
    <t>Mag pal / controler la fixtion des couvre chaines et bien les ranger au besoin. Aucune chaine ne doit frotter sur un couvre chaine.</t>
  </si>
  <si>
    <t>Convoy Palettes / verifier la presence des pieds de convoyeurs, vérifier la fixation des convoyeur sur leur support. Aucune inclinaison n'est acceptable.</t>
  </si>
  <si>
    <t>Convoy Palettes / controler l'usure des maillons de chaine et remplacer la chiane au besoin.</t>
  </si>
  <si>
    <t>Convoy Palettes / controler le passage des palettes sur le convoyeur et ajuster au besoin. Les palettes ne doivent pas coincés sur le convoyeur.</t>
  </si>
  <si>
    <t>Inspecter toutes les glaces de la laveuse et s'assurer qu'elles sont en bon état et bien ajustées</t>
  </si>
  <si>
    <t>Vérifier que les joints de tulipes sont encore en bon état</t>
  </si>
  <si>
    <t>Contrôler que les porte-joints de tulipes sont encore intacts</t>
  </si>
  <si>
    <t>Vérifier que les petites bagues de guidage des axes sont en place</t>
  </si>
  <si>
    <t>Vérifier que les axes de guidage des robinets sont droits</t>
  </si>
  <si>
    <t>Eliminer fuites d'air sur flexibles mise à vide, compression et décompression et remplacer raccords rapides défectueux</t>
  </si>
  <si>
    <t>Couper, nettoyer, inspecter et réparer les convoyeurs à l'entrée et à la sortie de la machine</t>
  </si>
  <si>
    <t>Rechercher fuites d'air sur vérin étoile de blocage et les étancher</t>
  </si>
  <si>
    <t>Commander manuellement le vérin de l'étoile de blocage des bouteilles et vérifier si le blocage et le relâchement sont effectifs</t>
  </si>
  <si>
    <t>Contrôler l'usure des encoches de l'étoile de blocage et voir si elle est encore acceptable (blocage ferme)</t>
  </si>
  <si>
    <t>Contrôler l'usure des guides et glissières de guides droits et circulaire de la vis de sélection à la sortie boucheuse</t>
  </si>
  <si>
    <t>Vérifier alignement des tôles de transfert avec sellettes et vérifier que les supports sont intacts</t>
  </si>
  <si>
    <t>Couper, nettoyer, inspecter et réparer des chaines d'entrée et sortie soutireuse</t>
  </si>
  <si>
    <t>S'assurer que la pression d'alimentation des pistons est normale</t>
  </si>
  <si>
    <t xml:space="preserve">Contrôler serrage tendeur et état des roulements </t>
  </si>
  <si>
    <t>S'assurer que la tuyauterie d'évacuation d'eau de la pompe à vide n'est pas rouillée</t>
  </si>
  <si>
    <t>Contrôler que les buses de nettoyage des casses d'explosion fonctionnent bien et qu'elles sont actives</t>
  </si>
  <si>
    <t>S'assurer que toutes les plaques de séparation des robinets de remplissage sont en place</t>
  </si>
  <si>
    <t>Contrôler l'état des sellettes et des bagues de fixation</t>
  </si>
  <si>
    <t>Contrôler fixation vibreur de capsule</t>
  </si>
  <si>
    <t>Contrôler l'étanchéité et la course des vérins de la colonne de descente des capsules</t>
  </si>
  <si>
    <t xml:space="preserve">Contrôler étanchéité et course tige vérin blocage capsules en fin de colonne - Simuler fonctionnement avec capsules </t>
  </si>
  <si>
    <t xml:space="preserve">S'assurer que le souffleur de capsules fonctionne bien et automatiquement </t>
  </si>
  <si>
    <t>Inspecter colonne de descente des capsules depuis le tambour jusqu'au point de sertissage et corriger défauts mécaniques</t>
  </si>
  <si>
    <t>Démonter retourneur de capsules pour inspection et se rassurer que les surfaces intérieures sont lisses</t>
  </si>
  <si>
    <t>Contrôler le module de vibration du retourneur de capsules / Simuler distributeur module</t>
  </si>
  <si>
    <t>Contrôler vannes - CV01 et PV01 prioritaires - raccords, détendeur et manomètres sur la conduite de bière et éliminer toutes les fuites</t>
  </si>
  <si>
    <t>Contrôler vannes,raccords, régulateurs et manomètres sur la conduite de CO2 et éliminer toutes les fuites</t>
  </si>
  <si>
    <t>Contrôler vannes,raccords, détendeur et manomètres sur la conduite d'air et éliminer toutes les fuites</t>
  </si>
  <si>
    <t>Contrôler vannes et raccords conduite CIP</t>
  </si>
  <si>
    <t>Vérifier le fonctionnement des 10 pompes d'injection</t>
  </si>
  <si>
    <t>Faire une inpection d'étanchéité de la pompe d'eau chaude</t>
  </si>
  <si>
    <t>Faire une inpection d'étanchéité de la pompe d'eau froide</t>
  </si>
  <si>
    <t>Faire une inspection générale des manomètres de la machine/Vérifier présence huile cadrant</t>
  </si>
  <si>
    <t>S'assurer que la vanne à volant d'arrivée vapeur DN100 s'ouvre et se ferme normalement</t>
  </si>
  <si>
    <t>Faire une inspection générale du circuit vapeur et éliminer les fuites éventuelles / Contrôler aussi purgeurs</t>
  </si>
  <si>
    <t>Contrôler et ajuster la position des tôles de transfert externes à l'entrée et à la sortie</t>
  </si>
  <si>
    <t>Contrôler et ajuster la position des tôles de transfert internes à l'entrée et à la sortie</t>
  </si>
  <si>
    <t>Contrôler, ajuster et réparer guides et glissières bouteilles entrée et sortie pasteurisateur</t>
  </si>
  <si>
    <t>Contrôler portières de sécurité et fenêtres d'inspection de la machine</t>
  </si>
  <si>
    <t>Contrôler usure des sellettes et les remplacer au besoin</t>
  </si>
  <si>
    <t>Contrôler les colliers à ergot de fixation des têtes de pression</t>
  </si>
  <si>
    <t>Contrôler et ajuster l'alignement de la tôle de transfert avec les sellettes à l'entrée et à la sortie</t>
  </si>
  <si>
    <t>Contrôler boulons de fixation des tôles de transfert à l'entrée et à la sortie</t>
  </si>
  <si>
    <t>Contrôler usure vis de sélection et la remplacer si usée</t>
  </si>
  <si>
    <t>S'assurer de l'absence de jeu au niveau du manchon de la vis de sélection</t>
  </si>
  <si>
    <t>S'assurer du bon serrage de la vis de fixation du manchon de la vis de sélection</t>
  </si>
  <si>
    <t>Contrôler le serrage des entretoises des étoiles d'entrée et de sortie</t>
  </si>
  <si>
    <t>Contrôler ressort de rappel des pistons et leur raideur</t>
  </si>
  <si>
    <t xml:space="preserve">S'assurer que l'injection d'eau d'arrosage est fonctionnelle sur les brosses de lissage </t>
  </si>
  <si>
    <t>Contrôler les galets et remplacer roulement 628 et/ou galets sur tambour étiquettes</t>
  </si>
  <si>
    <t>Contrôler ressorts commandes de came et les remplacer au besoin sur tambour étiquettes</t>
  </si>
  <si>
    <t>Contrôler usure coussinet en bronze des axes de commande et remplacer au besoin sur tambour étiquettes</t>
  </si>
  <si>
    <t>Contrôler le jeu entre cames et axe support sur tambour étiquettes</t>
  </si>
  <si>
    <t>Contrôler ressorts commandes de came et les remplacer au besoin sur tambour stagnoles/collerettes</t>
  </si>
  <si>
    <t>Contrôler usure coussinet en bronze des axes de commande et remplacer au besoin sur tambour stagnoles/collerettes</t>
  </si>
  <si>
    <t>Contrôler le jeu entre cames et axe support sur tambour stagnoles/collerettes</t>
  </si>
  <si>
    <t>Contrôler barres de supports de griffes, redresser et/ou remplacer  sur tous les tambours de la station 1</t>
  </si>
  <si>
    <t>Redresser les griffes et ajuster leurs postion par rapport aux barres supports sur tous les tambours de la station 1</t>
  </si>
  <si>
    <t>Contrôler les éponges du cylindre de transfert et remplacer si nécessaire et/ou recoller sur tous les tambours de la station 1</t>
  </si>
  <si>
    <t>S'assurer que l'injection d'eau d'arrosage est fonctionnelle sur la brosse des éponges du cylindre de transfert sur les tambours de la station 1</t>
  </si>
  <si>
    <t>Contrôler les ressorts de rappel dispositif de pose si stagnole et remplacer si nécessaire  sur les tambours de la station 1</t>
  </si>
  <si>
    <t>S'assurer que la rotation du rouleau encoleur s'effectue sans battement sur la station 1</t>
  </si>
  <si>
    <t xml:space="preserve">S'assurer du bon état de l'élément d'entrainement en rotation du rouleau encoleur (clavette,rainure, etc.) station 1 </t>
  </si>
  <si>
    <t>Ajuster la position des racleurs étiquettes et stagnoles à l'aide des tambours de réglage station 1</t>
  </si>
  <si>
    <t xml:space="preserve">Vérifier que les raccords et flexibles de la pompe à colle de la station 1 ne fuient pas et sont bien serrés  </t>
  </si>
  <si>
    <t>Contrôler que le caroussel à segments tourne sans battements station 1</t>
  </si>
  <si>
    <t xml:space="preserve">Contrôler le revêtement en caoutchouc des segments station 1 et le renforcer si début de décollement </t>
  </si>
  <si>
    <t>Contrôler degré d'usure des segments station 1 et remplacer si nécessaire</t>
  </si>
  <si>
    <t>Contrôler le serrage des segments de la station 1 sur leurs axes et ajuster au besoin</t>
  </si>
  <si>
    <t>Contrôler que les réducteurs du servo-moteur au-dessous de l'agrégat 1 ne fuit pas</t>
  </si>
  <si>
    <t>Ajuster la position des griffes des magasins à étiquettes et stagnoles de la station 1</t>
  </si>
  <si>
    <t>Contrôler état et raideur des ressorts des griffes des tambours de la station 1</t>
  </si>
  <si>
    <t>Contrôler la corde des poussoirs à étiquettes/stagnoles station 1, tendre et/ou remplacer au besoin</t>
  </si>
  <si>
    <t>controler les fuites d'air sur le distributeur en dessous des rouleaux</t>
  </si>
  <si>
    <t xml:space="preserve">controler la fixation et le reglage de la barre de blocage de casiers </t>
  </si>
  <si>
    <t>controler la verticalité des tiges de guidage du grappin, les redressées au besoin. Aucune inclinaison n'est autorisée.</t>
  </si>
  <si>
    <t>controler le fonctionnement des vérins du cadre de centrage et remedier au problème si possible. Aucun verin en suspend n'est autorisée.</t>
  </si>
  <si>
    <t>controler la fixation de tous les vérins du grappins, remedier aux problèmes rencontrés.</t>
  </si>
  <si>
    <t>Distr Casiers / controler toutes les palets du distributeur de casiers et les remplacés au besoin.</t>
  </si>
  <si>
    <t>Distr Casiers / controler l'horizontalité des tiges et les redresser au besoin</t>
  </si>
  <si>
    <t>Distr Casiers / vérifier la fixation des tiges sur les maillons de chaines et remplacer l'anneau de fixation au besoin</t>
  </si>
  <si>
    <t>Distr Casiers / controler la presence de toutes les billes de l'embrayage, tester son fonctionnement et remplacer le au besoin.</t>
  </si>
  <si>
    <t xml:space="preserve">controler l'usure des roulements et paliers de l'axe moteur et remplacer si necessaire. </t>
  </si>
  <si>
    <t>controler l'état des courroies et remplacer au besoin.</t>
  </si>
  <si>
    <t>controler les fuites sur le vérin, sa fixation  remedier aux problèmes rencontrés.</t>
  </si>
  <si>
    <t>controler les fuites sur les raccords les remediées au besoin. Aucune fuite sur ces raccords n'est permise.</t>
  </si>
  <si>
    <t>controler l'usure des maillons de chaine et remplacer la chaine complète au besoin.</t>
  </si>
  <si>
    <t>controler la presence des palettes sur tout le long du convoyeur et remplacer les palettes manquantes</t>
  </si>
  <si>
    <t>controler la presence des embouts en debut et fin de glissières et remplacer si elles sont absentes.</t>
  </si>
  <si>
    <t>Prélever un échantillon des huiles des blocs d'agrégat et de la table et s'assurer qu'elles ne sont pas mélangées à de l'eau</t>
  </si>
  <si>
    <t>contrôler l'état des roulements  des rouleaux du support des grappins et remplacer au besoin. Aucun déséquilibre du chariot n'est autorisé.</t>
  </si>
  <si>
    <t>contrôler les circlips des rouleaux du support des grappins et remplacer au besoin. Aucun déséquilibre du chariot n'est autorisé.</t>
  </si>
  <si>
    <t>controler les fuites au niveau du vérin et raccords et remedier au problème rencontrés</t>
  </si>
  <si>
    <t xml:space="preserve">controler la prise et la pose des bouteilles sur la table. Utiliser la commande manuelle à l'HMI. </t>
  </si>
  <si>
    <t>controler l'état du silencieux sur l'electrovanne d'arrivée d'air sur les grappins et remplacer au besoin.</t>
  </si>
  <si>
    <t>controler les fuites sur les raccords de l'electrovanne d'alimentation du distributeur d'air des grappins et les remediées au besoin. Aucune fuite sur ces raccords n'est permise.</t>
  </si>
  <si>
    <t>controler les fuites sur les raccords du distributeur d'air sur les grappins et les remediées au besoin. Aucune fuite sur ces raccords n'est permise.</t>
  </si>
  <si>
    <t>demonter et nettoyer la goutière en dessous de la table puis remonter.</t>
  </si>
  <si>
    <t>demonter et nettoyer la goutière en dessous du convoyeur interne puis remonter.</t>
  </si>
  <si>
    <t>controler le reglage des guides casiers à l'entrée et ajuster au besoin.</t>
  </si>
  <si>
    <t>S'assurer que la pression d'alimentation des électrovannes de remplissage A,B et C est normale</t>
  </si>
  <si>
    <t>Inspecter les injecteurs et déboucher les buses d'injection</t>
  </si>
  <si>
    <t>S'assurer que le blocage des bouteilles s'effectue sans mouvement résiduel au niveau de la vis de sélection</t>
  </si>
  <si>
    <t>Démonter l'étoile d'entrée et vérifier l'état des vis de l'accouplement et le serrage</t>
  </si>
  <si>
    <t>Contrôler l'absence de jeu au niveau des supports des étoiles d'entrée et de sortie</t>
  </si>
  <si>
    <t>Contrôler absence de jeu sur arbre d'entrainement des étoiles d'entrée, de sortie et de leur pignon respectif</t>
  </si>
  <si>
    <t>Vérifier absence écorchure ou déchirure sur la courroie de la vis de sélection</t>
  </si>
  <si>
    <t>Faire tourner le moteur en manuel et s'assurer que la courroie de la vis de sélection ne frotte sur rien</t>
  </si>
  <si>
    <t>Vérifier absence de fuite sur le réducteur de la vis de sélection et contrôler état arrêt d'huile</t>
  </si>
  <si>
    <t>Contrôler état glissières guides semi-circulaires à l'entrée et à la sortie de la machine</t>
  </si>
  <si>
    <t>Contrôler état glissière guides semi-circulaires à l'entrée et à la sortie</t>
  </si>
  <si>
    <t>Couper, nettoyer, inspecter et réparer chaine à l'entrée et à la sortie de l'étiqueteuse</t>
  </si>
  <si>
    <t>Contrôler glissières et rails et remplacer éléments  défectueux sur les convoyeurs à l'entrée et à la sortie de la machine</t>
  </si>
  <si>
    <t>Contrôler étanchéité du réducteur des convoyeurs d'entrée et de sortie de la machine</t>
  </si>
  <si>
    <t>Contrôle état des roulements des 30 galets et remplacer si endommagé</t>
  </si>
  <si>
    <t>Contrôler étanchéité réducteur ajustement hauteur caroussel principal</t>
  </si>
  <si>
    <t xml:space="preserve">Vérifier le serrage et la position des supports de brosses  </t>
  </si>
  <si>
    <t>Graisser les couronnes du train d'engrenage</t>
  </si>
  <si>
    <t>Contrôler les galets et remplacer roulement 628 et/ou galets sur tambour stagnoles/collerettes</t>
  </si>
  <si>
    <t>Ajuster la position des griffes du magasin à contre-étiquettes de la station 2</t>
  </si>
  <si>
    <t>Contrôler état et raideur des ressorts des griffes des tambours de la station 2</t>
  </si>
  <si>
    <t>Contrôler la fixation des ventouses sur la tige des bras (clip, etc.)</t>
  </si>
  <si>
    <t>Contrôler les flexibles et raccords de l'unité de traitement d'air et remplacer défectueux</t>
  </si>
  <si>
    <t>Démonter, nettoyer et/ou remplacer silencieux bouché de l'unité de traitement d'air</t>
  </si>
  <si>
    <t>controler le reglage des guides bouteilles sur le convoyeur juste avant la table et ajuster au besoin.</t>
  </si>
  <si>
    <t>CHAINE 5</t>
  </si>
  <si>
    <t>Apollo 1</t>
  </si>
  <si>
    <t>Apollo 2</t>
  </si>
  <si>
    <t>Apollo 3</t>
  </si>
  <si>
    <t>Apollo 4</t>
  </si>
  <si>
    <t xml:space="preserve">Heure début:………………………………………………        Heure fin : ………………………………………                                     </t>
  </si>
  <si>
    <t>Vérifier systématiquement tous les roulements de l'Infeed</t>
  </si>
  <si>
    <t>Vérifier systématiquement les roulements de la décharge</t>
  </si>
  <si>
    <t>INTERVENANT</t>
  </si>
  <si>
    <t>Lave caisses</t>
  </si>
  <si>
    <t>Soutireuse</t>
  </si>
  <si>
    <t>Graisser manuellement tous les points de graissage de la colonne de la boucheuse.</t>
  </si>
  <si>
    <t>Controler le serrage des écrous des tendeurs et leurs supports et remedier.</t>
  </si>
  <si>
    <t>Nettoyer les filtres sur les circuits de lubrification des blocs aggregats</t>
  </si>
  <si>
    <t>Tester la machine</t>
  </si>
  <si>
    <t>Vérifier serrage accouplement encodeur Discharge et sa courroie d'entrainement</t>
  </si>
  <si>
    <t>Nettoyer les filtres des stations de lubrification</t>
  </si>
  <si>
    <t>Nettoyer avec le Karcher les glissières à la sortie de la machine afin d'enlever les casses en dessous des glissières.</t>
  </si>
  <si>
    <t>Controler la valeur de la pression à la sortie des pompes des stations de lubrification. 4bars</t>
  </si>
  <si>
    <t>Controler les éléments du remplacement de format et rassurer que tous les éléments sont presents</t>
  </si>
  <si>
    <t>FONDJA</t>
  </si>
  <si>
    <t>ITEMBE</t>
  </si>
  <si>
    <t>Apollos</t>
  </si>
  <si>
    <t xml:space="preserve">CHECKLIST GRAISSAGE                                                            </t>
  </si>
  <si>
    <t>CODE:</t>
  </si>
  <si>
    <t>Semaine:</t>
  </si>
  <si>
    <t>MACHINE</t>
  </si>
  <si>
    <t>Commentaire Général</t>
  </si>
  <si>
    <t>Tester la machine et s'assurer qu'il nya aucun corps etranger à l'intérieur du convoyeur</t>
  </si>
  <si>
    <t>S'assurer que l'huile de lubrification des blocs aggregats arrive au niveau des roulements des pallets</t>
  </si>
  <si>
    <t>S'assurer que l'huile de lubrification des blocs aggregats arrive au niveau des rouleaux à colle</t>
  </si>
  <si>
    <t>S'assurer que l'huile de lubrification des blocs aggregats arrive au niveau des axes des cylindres de transfert</t>
  </si>
  <si>
    <t>Controler le fonctionnement du vérin tendeur de la chaine et se rassurer qu'il ne présente aucune fuite. Démonter le vérin et alimenter son orifice supérieure et se rassurer que sa tige coulisse librement.</t>
  </si>
  <si>
    <t>controler l'alignement et la fixation du pignon de  l'axe moteur et remedier au besoin. Insister sur le serrage des vis de fixation des pignons</t>
  </si>
  <si>
    <t>controler la hauteur des rouleaux et ajuster les au besoin. Utiliser le niveau d'eau et se rassurer l'horizontalité entre les palettes d'apollo et les convoyeurs adjacents</t>
  </si>
  <si>
    <t>Controler la longueur de la chaine d'apollo en se rassurant qu'a vide la distance entre le capteur de surcharge et la barre oscillante est de 45mm.</t>
  </si>
  <si>
    <t>CHECKLIST  LUBRIFICATION ET GRAISSAGE</t>
  </si>
  <si>
    <t>Graisser les roulements de paliers de la première table</t>
  </si>
  <si>
    <t>Graisser les roulements de paliers de la deuxième table</t>
  </si>
  <si>
    <t>Graisser les roulements des paliers des deux convoyeurs convoyeurs de sortie</t>
  </si>
  <si>
    <t>Graisser les rails du chariot de levage</t>
  </si>
  <si>
    <t>Graisser les chaines 10b1 des convoyeurs à palettes à l'entrée et la sortie de la machine</t>
  </si>
  <si>
    <t>Graisser les roulements des paliers sur l'axe des motoreducteurs du chariot de levage</t>
  </si>
  <si>
    <t>Graisser les roulements des paliers du motoreducteurs de la traverse</t>
  </si>
  <si>
    <t>Graisser les roulements de paliers du motoreducteur des slides</t>
  </si>
  <si>
    <t>Graisser les roulements des paliers du grand tapis</t>
  </si>
  <si>
    <t>Graisser les roulements des paliers du poussoir</t>
  </si>
  <si>
    <t>Graisser les roulements de paliers du distributeur de casiers</t>
  </si>
  <si>
    <t>Laveuse de bouteillles</t>
  </si>
  <si>
    <t>Graisser les roulements de paliers de l'infeed</t>
  </si>
  <si>
    <t>Graisser les roulements de paliers de la table d'entrée</t>
  </si>
  <si>
    <t>Graisser le système de transmission à l'entrée</t>
  </si>
  <si>
    <t>Graisser le système de transmission à la sortie</t>
  </si>
  <si>
    <t>Graisser les roulements de paliers à la sortie</t>
  </si>
  <si>
    <t>Graisser les roulements de paliers principaux du corps de la machine</t>
  </si>
  <si>
    <t>Graisser les roulements de paliers du bloc d'extraction des etiquettes</t>
  </si>
  <si>
    <t>Graisser les pompes basse pression</t>
  </si>
  <si>
    <t>Graisser les roulements de paliers du convoyeur interne</t>
  </si>
  <si>
    <t>Graisser les roulements des paliers de la table</t>
  </si>
  <si>
    <t>Graisser les roulements des paliers du convoyeur à la sortie</t>
  </si>
  <si>
    <t>Graisser les roulements de paliers du guide frame</t>
  </si>
  <si>
    <t>Graisser les roulements de paliers du moto reducteur des branleurs</t>
  </si>
  <si>
    <t>Etiqueteuse</t>
  </si>
  <si>
    <t>Graisser le cylindre à étiquettes</t>
  </si>
  <si>
    <t>Graisser le cylindre à stanioles</t>
  </si>
  <si>
    <t>Graisser les roulements de paliers du convoyeur à l'entrée</t>
  </si>
  <si>
    <t>Graisser les roulements de paliers du convoyeur à la sortie</t>
  </si>
  <si>
    <t>Graisser les roulements de paliers du convoyeur entrée haut</t>
  </si>
  <si>
    <t>Graisser les roulements de paliers du convoyeur entrée bas</t>
  </si>
  <si>
    <t>Graisser les roulements de paliers du convoyeur sortie haut</t>
  </si>
  <si>
    <t>Graisser les roulements de paliers du convoyeur sortie bas</t>
  </si>
  <si>
    <t>Graisser les roulements de paliers du tapis haut</t>
  </si>
  <si>
    <t>Graisser les roulements de paliers du tapis bas</t>
  </si>
  <si>
    <t>Graisser les roulements de paliers du convoyeurs extracteur de casses</t>
  </si>
  <si>
    <t>Graisser les roulements de paliers du convoyeur interne de la lave caisse</t>
  </si>
  <si>
    <t>Graisser les roulements de paliers du tapis extracteur N°2</t>
  </si>
  <si>
    <t>Graisser les roulements de paliers du tapis extracteur N°1</t>
  </si>
  <si>
    <t>Controler le niveau de l'huile à l'intérieur des reducteurs de convoyeur Apollo 1</t>
  </si>
  <si>
    <t>Controler le niveau de l'huile à l'intérieur des reducteurs de convoyeur Apollo 4</t>
  </si>
  <si>
    <t>Controler le niveau de l'huile à l'intérieur des reducteurs de convoyeur Apollo 2</t>
  </si>
  <si>
    <t>Controler le niveau de l'huile à l'intérieur des reducteurs de convoyeur Apollo 3</t>
  </si>
  <si>
    <t>Graisser les roulements de paliers du convoyeur Apollo 1</t>
  </si>
  <si>
    <t>Graisser les roulements de paliers du convoyeur Apollo 2</t>
  </si>
  <si>
    <t>Graisser les roulements de paliers du convoyeur Apollo 3</t>
  </si>
  <si>
    <t>Graisser les roulements de paliers du convoyeur Apollo 4</t>
  </si>
  <si>
    <t>Lubrifier la chaine motrice du convoyeur Apollo 1</t>
  </si>
  <si>
    <t>Lubrifier la chaine motrice du convoyeur Apollo 2</t>
  </si>
  <si>
    <t>Lubrifier la chaine motrice du convoyeur Apollo 3</t>
  </si>
  <si>
    <t>Lubrifier la chaine motrice du convoyeur Apollo 4</t>
  </si>
  <si>
    <t xml:space="preserve">Controler le serrage de tous les ecrous de fixation des pistons et serrer au besoin. </t>
  </si>
  <si>
    <t>Controler les raccords en T d'alimentation des pistons et remplacer au besoin.</t>
  </si>
  <si>
    <t xml:space="preserve">ITEMBE </t>
  </si>
  <si>
    <t>Nettoyer puis souffler à l'air le filtre en dessous de la vanne manuelle d'arrivée d'eau dans le bac à eau de la pompe à vide</t>
  </si>
  <si>
    <t xml:space="preserve">TANKWA </t>
  </si>
  <si>
    <t xml:space="preserve">controler l'arret d'huile du reducteur principal et le remplacé au besoin. Aucune fuite d'huile n'est acceptable. </t>
  </si>
  <si>
    <t>controler l'arret d'huile du reducteur numéro 2 et le remplacé au besoin. Aucune fuite d'huile n'est acceptable.</t>
  </si>
  <si>
    <t>controler les brides de serrage sur l'arbre des reducteurs principaux et remplacer au besoin</t>
  </si>
  <si>
    <t xml:space="preserve">controler la fixation des tiges portant les freins de sécurité (haut et bas) et bien serrer au besoin. </t>
  </si>
  <si>
    <t>controler état des roulements du chariot et les remplacés au besoin</t>
  </si>
  <si>
    <t>controler la fixation des courroies sur le chariot et ameliorer sa fixation si necessaire.</t>
  </si>
  <si>
    <t>controler l'état des rouleaux de guidage, leurs roulements et circlips de la traverse et remedier au besoin</t>
  </si>
  <si>
    <t>controler l'état des roulements et paliers de la traverse et remedier au besoin</t>
  </si>
  <si>
    <t>controler l'arret d'huile du reducteur d'entrainement de la traverse et le remplacé au besoin. Aucune fuite d'huile n'est acceptable.</t>
  </si>
  <si>
    <t>controler l'état du rouleau entrainant la courroie lisse du poussoir</t>
  </si>
  <si>
    <t>controler l'état des coulisseaux du poussoir et remedier au besoin</t>
  </si>
  <si>
    <t>controler l'état des rouleaux , roulements et circlips de guidage du poussoir et remedier au besoin</t>
  </si>
  <si>
    <t xml:space="preserve">controler l'état des roulements des differents rouleaux tendeurs de la courroie verte </t>
  </si>
  <si>
    <t>controler l'état des rouleaux au dessus de la courroie verte et les remplacés si necessaire</t>
  </si>
  <si>
    <t>controler l'usure de la courroie verte et la remplacée au besoin</t>
  </si>
  <si>
    <t>controler l'usure de la tole de transfert entre les differents rouleaux au dessus des courroies vertes</t>
  </si>
  <si>
    <t>controler les fuites sur le vérin de blocage de casiers en dessous des rouleaux</t>
  </si>
  <si>
    <t>controler l'ajustement des pallets sur le convoyeur à pallets de la zone paletisation et le reglé au besoin</t>
  </si>
  <si>
    <t>controler les fuites sur les vérins de blocage, controler leur fixation et remédier aux problèmes constatés.</t>
  </si>
  <si>
    <t>controler les fuites sur le vérin, sa fixation et le réglage de la plaque de blocage des pallets du convoyeur à palettes de la zone paletisation</t>
  </si>
  <si>
    <t>controler l'état de tous les éléments pneumatiques de la tete de prehension (distributeur, limiteur de pression, clapet et raccords) et remdier au besoin</t>
  </si>
  <si>
    <t>controler la torsion des crochets de latete de prehension, les redressés si elles sont tordues ou les remplacés au besoin. Aucune torsion des crochets n'est acceptable.</t>
  </si>
  <si>
    <t>controler l'ouverture et la fermeture de la vanne manuelle d'arrivée air dans la machine et remplacer la au besoin.</t>
  </si>
  <si>
    <t>controler l'etanchéité des distributeurs de graisse et les remplacés au besoin. Aucune fuite n'est acceptable</t>
  </si>
  <si>
    <t>Distr Casiers / controler les fuites sur le vérin de guidage des palettes, sa fixation  remedier aux problèmes rencontrés.</t>
  </si>
  <si>
    <t>Distr Casiers / controler l'état des pignons moteur d'entrainement du distributeur de casiers et remplacer au besoin</t>
  </si>
  <si>
    <t>Distr Casiers / controler l'état de la chaine motrice de transmission et son attache et les remplacer au besoin.</t>
  </si>
  <si>
    <t>Distr Casiers / verifier que tous les rouleaux de transfert entrés et sortis tournent normamelent et remplacer les si les roulements sont absents.</t>
  </si>
  <si>
    <t>Convoy Palettes / controler les arret d'huile des reducteurs des convoyeurs à palettes et les remplacés au besoin. Aucune fuite d'huile n'est acceptable.</t>
  </si>
  <si>
    <t>Convoy Palettes / controler l'usure des maillons de chaine 10b1 et remplacer la chaine au besoin.</t>
  </si>
  <si>
    <t>Controler la pompe retour condensat et se rassurer qu'elle ne presente aucune fuite</t>
  </si>
  <si>
    <t>controler la fixation des courroies sur le chariot de levage et ameliorer sa fixation si necessaire.</t>
  </si>
  <si>
    <t>controler l'état des roulements de paliers du chariot de levage et les remplacés au besoin</t>
  </si>
  <si>
    <t>Controler la fixation et la tension des courroies de la traverse et remedier si necessaire</t>
  </si>
  <si>
    <t>Controler l'etat des roues libres et pignons de la traverse, leurs manchons de serrage et remedier aux problèmes rencontrés</t>
  </si>
  <si>
    <t>controler le guidage en translation ( galets de guidage, leurs roulements et circlip ) des slides 1 et 2 et remedier au beoin.</t>
  </si>
  <si>
    <t>controler l'ajustement des pallets sur les convoyeurs à palletes à l'entrée et les ajustés au besoin</t>
  </si>
  <si>
    <t>controler le guidage des casiers sur les deux tables</t>
  </si>
  <si>
    <t>controler la torsion des crochets sur la tete de prehension, les redressés si elles sont tordues ou les remplacés au besoin. Aucune torsion des crochets n'est acceptable.</t>
  </si>
  <si>
    <t>contrôler l'usure du caoutchouc des vérins de cintrage de la tete de prehension et remplacer au besoin</t>
  </si>
  <si>
    <t>controler le fonctionnement des vérins de cintrage de la tete de prehension, les remplacés au besoin.</t>
  </si>
  <si>
    <t>controler les fuites sur les éléments pneumatiques de la tete de prehension et les remediés au besoin.</t>
  </si>
  <si>
    <t>demonter le filtre à l'interieur du silencieux de la tete de prehension et le nettoyer si nécessaire</t>
  </si>
  <si>
    <t>controler l'ouverture et la fermeture de la vanne manuelle d'arrivée d'air de la machine et remedier au besoin.</t>
  </si>
  <si>
    <t>controler l'usure des roues libres des convoyeurs à palettes de la zone et remplacer si necessaire</t>
  </si>
  <si>
    <t>Ouvrir les convoyeurs à palettes de la sortie depal jusqu’à l'entrée Apollo 1, nettoyer au Karcher, inspecter et reparer tout anomalie</t>
  </si>
  <si>
    <t>Controler l'usure des clavettes et rainures sur l'arbre moteur et remedier ou signaler les problèmes rencontrés</t>
  </si>
  <si>
    <t>controler l'état des glissières et leur fixation des convoyeurs à palettes et remplacer les au besoin</t>
  </si>
  <si>
    <t>CONVOYEURS CASIERS C1 ( Depal - Apollo 1)</t>
  </si>
  <si>
    <t>Controler l'etat des roulements de paliers des convoyeurs à palettes de la zone et remplacer si necessaire</t>
  </si>
  <si>
    <t>Controler l'usure des pignons des convoyeurs à palettes et les remplacés si necessaire</t>
  </si>
  <si>
    <t>controler l'alignement et la fixation des pignons sur l'axe moteur des convoyeurs à palettes et remedier si necessaire</t>
  </si>
  <si>
    <t>Ouvrir les couvres chaines des convoyeurs à rouleaux, inspecter rouleaux, chaines motrices, tendeur et pignon moteur des convoyeurs à rouleaux et remedier aux problèmes rencontrés</t>
  </si>
  <si>
    <t xml:space="preserve">Controler la fixation des reducteurs de cette zone </t>
  </si>
  <si>
    <t>Controler la fixation des reducteurs de cette zone</t>
  </si>
  <si>
    <t>CONVOYEURS CASIERS C2 ( Apollo 1 - Apollo 2 )</t>
  </si>
  <si>
    <t>Ouvrir les convoyeurs à palettes de la sortie apollo 1 jusqu’à l'entrée Apollo 2, nettoyer au Karcher, inspecter et reparer tout anomalie</t>
  </si>
  <si>
    <t>Ouvrir les convoyeurs à palettes de la sortie Apollo 2  jusqu’à la decaisseuse nettoyer au Karcher, inspecter et reparer tout anomalie</t>
  </si>
  <si>
    <t>CONVOYEURS CASIERS C3 ( Apollo 2 - Decaisseuse)</t>
  </si>
  <si>
    <t>Station Lubrification</t>
  </si>
  <si>
    <t>Ouvrir les convoyeurs à palettes de la sortie decaisseuse jusqu’à la lave caisses, nettoyer au Karcher, inspecter et reparer tout anomalie</t>
  </si>
  <si>
    <t>Graisser tous les roulements de paliers des convoyeurs à palettes de la zone. Faire cette opération en marche</t>
  </si>
  <si>
    <t>Controler l'usure des chaines à palettes cramponées des convoyeurs à palettes de la zone et remplacer les au besoin</t>
  </si>
  <si>
    <t>Controler l'usure des chaines à palettes des convoyeurs à palettes de la zone et remplacer les au besoin. Reduire les chaines longues</t>
  </si>
  <si>
    <t>Ouvrir les convoyeurs à palettes de la sortie Apollo 4 jusqu’àu paletiseur, nettoyer au Karcher, inspecter et reparer tout anomalie</t>
  </si>
  <si>
    <t>Ouvrir les convoyeurs à palettes de la sortie Apollo 3 jusqu’à Apollo 4, nettoyer au Karcher, inspecter et reparer tout anomalie</t>
  </si>
  <si>
    <t>Ouvrir les convoyeurs à palettes de la sortie encaisseuse jusqu’à Apollo 3, nettoyer au Karcher, inspecter et reparer tout anomalie</t>
  </si>
  <si>
    <t>Ouvrir les convoyeurs à palettes de la sortie lave caisses jusqu’à l'encaisseuse, nettoyer au Karcher, inspecter et reparer tout anomalie</t>
  </si>
  <si>
    <t>Controler l'usure des pignons des convoyeurs des tapis de cette zone</t>
  </si>
  <si>
    <t>controler l'alignement et la fixation des pignons sur l'axe moteur par rapport aux tapis</t>
  </si>
  <si>
    <t>controler l'état des glissières et leur fixation des tapis de la zone et remplacer les au besoin</t>
  </si>
  <si>
    <t>Controler l'etat des roulements de paliers des tapis de la zone et remplacer si necessaire</t>
  </si>
  <si>
    <t>Controler l'usure des tapis de la zone et les remplacer au besoin. Reduire les tapis longs</t>
  </si>
  <si>
    <t>Graisser tous les roulements de paliers et rouleaux des tapis de la zone. Faire cette opération en marche</t>
  </si>
  <si>
    <t>Ouvrir les tapis sortie depal et entrée paletiseur, nettoyer au Karcher, inspecter et reparer tout anomalie</t>
  </si>
  <si>
    <t>Tapis Entrée Apollos( 8 tapis )</t>
  </si>
  <si>
    <t>Ouvrir tous les tapis entrées Apollos, nettoyer au Karcher, inspecter et reparer toutes anomalies</t>
  </si>
  <si>
    <t>CONVOYEURS BOUTEILLES B1 ( Decaisseuse - Laveuse)</t>
  </si>
  <si>
    <t>Ouvrir les convoyeurs à palettes de la sortie decaisseuse jusqu’à la laveuse, nettoyer au Karcher, inspecter et reparer tout anomalie</t>
  </si>
  <si>
    <t>Faire appoint d'huile à l'interieur des reducteurs de la zone</t>
  </si>
  <si>
    <t>CONVOYEURS BOUTEILLES B2 ( Laveuse - Trieuse)</t>
  </si>
  <si>
    <t>Ouvrir les convoyeurs à palettes de la sortie trieuse jusqu’au retour laveuse , nettoyer au Karcher, inspecter et reparer tout anomalie</t>
  </si>
  <si>
    <t>Ouvrir les convoyeurs à palettes de la sortie Ebi jusqu’à la soutireuse , nettoyer au Karcher, inspecter et reparer tout anomalie</t>
  </si>
  <si>
    <t>Ouvrir les convoyeurs à palettes de la sortie soutireuse jusqu’à l'entrée pasteurisateur , nettoyer au Karcher, inspecter et reparer tout anomalie</t>
  </si>
  <si>
    <t>MOTTO + TCHAHA</t>
  </si>
  <si>
    <t>Ouvrir les convoyeurs à palettes de la sortie pasteurisateur jusqu’à l'entrée etiqueteuse , nettoyer au Karcher, inspecter et reparer tout anomalie</t>
  </si>
  <si>
    <t>controler l'usure de la tole de transfert avant la table et la remplacée au besoin.</t>
  </si>
  <si>
    <t>controler l'arret d'huile du reducteur d'entrainment de la table et le remplacé au besoin. Aucune fuite d'huile n'est acceptable.</t>
  </si>
  <si>
    <t>controler le guidage des bouteilles sur la table et reparer au besoin</t>
  </si>
  <si>
    <t>controler la fixation et le reglage des bouteilles dans les couloirs sur la table</t>
  </si>
  <si>
    <t>Controler le fonctionnement des deux vérins de blocage sur la table et remedier au problèmes rencontrés</t>
  </si>
  <si>
    <t>controler l'arret d'huile du reducteur d'entrainement du convoyeur interne et le remplacé au besoin. Aucune fuite d'huile n'est acceptable.</t>
  </si>
  <si>
    <t>Controler le fonctionnement du vérin de blocage du vérin de blocage du convoyeur interne et remedier au problèmes rencontrés</t>
  </si>
  <si>
    <t>Controler le fonctionnement du vérin de blocage à l'entrée et remedier aux problèmes rencontrés</t>
  </si>
  <si>
    <t>controler l'état des silencieux du cadre des grappins, les nettoyés ou les remplacés au besoin. Aucun bruit anormal n'est autorisé.</t>
  </si>
  <si>
    <t>controler l'état des couirroies du guide frame et lesremplacés au besoin. Aucune fissure n'est acceptable sur ces courroies. Se rassurer que les cadres de protection des courroies sont bien montés.</t>
  </si>
  <si>
    <t>controler l'arret d'huile du reducteur d'entrainement du guide frame et le remplacé au besoin. Aucune fuite d'huile n'est acceptable.</t>
  </si>
  <si>
    <t>controler l'ouverture et la fermeture de la vanne manuelle du bloc d'arrivée d'air de la machine et remplacer la au besoin.</t>
  </si>
  <si>
    <t>controler les fuites au niveau des raccords d'air du bloc d'arrivée d'air et les remplacés au besoin</t>
  </si>
  <si>
    <t>controler l'usure de la tole de transfert après la table et la remplacée au besoin.</t>
  </si>
  <si>
    <t>Ouvrir les convoyeurs à palettes de la sortie étiqueteuse jusqu’à l'entrée encaisseuse , nettoyer au Karcher, inspecter et reparer tout anomalie</t>
  </si>
  <si>
    <t>Ouvrir les couvercles des chaines motrices 10b1 de la zone, inspecter, remplacer ou graisser au besoin. Ajuster lz tension si necessaire</t>
  </si>
  <si>
    <t>CONVOYEURS BOUTEILLES B4 ( EBI - Soutireuse)</t>
  </si>
  <si>
    <t>CONVOYEURS CASIERS C8 ( Apollo 4 - Paletiseur)</t>
  </si>
  <si>
    <t>CONVOYEURS CASIERS C7 ( Apollo 3 - Apollo 4)</t>
  </si>
  <si>
    <t>CONVOYEURS CASIERS C6 ( Encaisseuse - Apollo 3)</t>
  </si>
  <si>
    <t>CONVOYEURS CASIERS C5 ( Lave caisses - Encaisseuse)</t>
  </si>
  <si>
    <t>CONVOYEURS CASIERS C4 ( Decaisseuse - Lave caisses)</t>
  </si>
  <si>
    <t>Ouvrir les tapis du ECI et  FCI , nettoyer au Karcher, inspecter et reparer tout anomalie</t>
  </si>
  <si>
    <t>Ouvrir les tapis entrée distributeur de casiers, nettoyer au Karcher, inspecter et reparer tout anomalie</t>
  </si>
  <si>
    <t>Faire appoint d'huile à l'interieur des reducteurs des  tapis de cette zone</t>
  </si>
  <si>
    <t>Faire appoint d'huile des pistons</t>
  </si>
  <si>
    <t>MENSUELLE</t>
  </si>
  <si>
    <t>Inspecter portières de sécurité sortie laveuse (glaces, rails, poignées, etc.)</t>
  </si>
  <si>
    <t>Vérifier serrage accouplement biconique arbre infeed</t>
  </si>
  <si>
    <t>Contrôler fuite et fixation vérin de sécurité de l'Infeed et s'assurer que la pression d'alimentation en air n'excède pas 2 bar</t>
  </si>
  <si>
    <t>Contrôler fuite et fixation vérin de sécurité de la sortie et s'assurer que la pression d'alimentation en air n'excède pas 2 bar</t>
  </si>
  <si>
    <t xml:space="preserve">Enlever cache et contrôler courroies trapézoïdales des pompes BP des bains de soude / Régler aussi leur tension </t>
  </si>
  <si>
    <t>Transférer bains de soude, éliminer fond boueux et nettoyer le bain</t>
  </si>
  <si>
    <t>Contrôler degré d'allongement de la chaine (estimation mou) lors du nettoyage mensuel du fond boueux des bains</t>
  </si>
  <si>
    <t>Contrôler état, éléments guidage et tension des tapis d'extraction des étiquettes</t>
  </si>
  <si>
    <t>Contrôler les injecteurs des tambours et s'assurer qu'ils ne sont pas bouchés</t>
  </si>
  <si>
    <t>Faire une inspection générale des manomètres de la laveuse (blocs d'extraction d'étiquettes, conduites d'eau, d'air, de vapeur, etc.) / Vérifier présence d'huile dans le manomètre</t>
  </si>
  <si>
    <t>Faire une inspection générale d'étanchéité des vannes manuelles et pneumatiques de la laveuse</t>
  </si>
  <si>
    <t xml:space="preserve">controler l'usure des roulements et paliers de l'axe en dessous de la colonne et remplacer si necessaire. </t>
  </si>
  <si>
    <t>controler l'usure des roues renvoie et remplacer au besoin</t>
  </si>
  <si>
    <t>controler la tension de la chaine et reduire les maillons si possible.</t>
  </si>
  <si>
    <t>controler l'etat des roulements et élément se situant entre les roulements et remplacer les au besoin. Vérifier leur fixation sur la chaine et bien fixer au besoin.</t>
  </si>
  <si>
    <t>verifier que tous les rouleaux entrés et sorties tournent normamelent et remplacer les si les roulements sont absents.</t>
  </si>
  <si>
    <t>Contrôler la goupille de l'axe de la vis de sélection</t>
  </si>
  <si>
    <t>Contrôler l'usure du corps de la vis de sélection</t>
  </si>
  <si>
    <t>Contrôler l'étanchéité de tous les pistons du carousel de la soutireuse</t>
  </si>
  <si>
    <t>Contrôler moto-réducteurs train d'engrenage avant et du carousel principal (fuite d'huile, battements, roulements cassés, etc.)</t>
  </si>
  <si>
    <t>Contrôler l'accouplement de la pompe à vide et ses roulements avant et arrière (serrage boulons, présence cylinbloc, etc.)</t>
  </si>
  <si>
    <t>Vérifier le serrage des brides de la tuyauterie d'aspiration et de refoulement de la pompe à vide</t>
  </si>
  <si>
    <t>Contrôler serrage et usure des étoiles et guides de la boucheuse</t>
  </si>
  <si>
    <t>Contrôler le tapis d'élévation des capsules et son guidage</t>
  </si>
  <si>
    <t xml:space="preserve">Démonter, nettoyer et inspectrer filtres sur conduite CO2  </t>
  </si>
  <si>
    <t>Contrôler la pompe HPI d'injection et éliminer les fuites observées</t>
  </si>
  <si>
    <t>Contrôler fonctionnement chauffage et régulateur de débit en aval pompe HPI d'injection</t>
  </si>
  <si>
    <t>Démonter, nettoyer et inspecter les filtres avant et après la pompe d'injection</t>
  </si>
  <si>
    <t>Vérifier à l'aide d'un gabarit que les tiges des pistons sont droites et centrées</t>
  </si>
  <si>
    <t>Contrôler les flexibles et raccords de la pompe de lubrification</t>
  </si>
  <si>
    <t>Contrôler l'état des brosses et remplacer si usure avancé</t>
  </si>
  <si>
    <t>Contrôler que les réducteurs des servo-moteurs au-dessous du caroussel principal ne fuient pas</t>
  </si>
  <si>
    <t>Contrôler ressorts commandes de came et les remplacer au besoin sur tambour étiquettes de dos</t>
  </si>
  <si>
    <t xml:space="preserve">Contrôler usure coussinet en bronze des axes de commande et remplacer au besoin sur tambour étiquettes de dos </t>
  </si>
  <si>
    <t>Contrôler le jeu entre cames et axe support sur tambour étiquettes de dos</t>
  </si>
  <si>
    <t>Tirer les éponges et graisser avec EP2 les coulisseaux du disposition de pose si cylindre stagnoles station 1</t>
  </si>
  <si>
    <t>Contrôler barres de supports de griffes, redresser et/ou remplacer  sur tous les tambours de la station  2</t>
  </si>
  <si>
    <t>Redresser les griffes et ajuster leurs postion par rapport aux barres supports sur tous les tambours de la station  2</t>
  </si>
  <si>
    <t>Contrôler les éponges du cylindre de transfert et remplacer si nécessaire et/ou recoller sur tous les tambours de la station  2</t>
  </si>
  <si>
    <t>S'assurer que l'injection d'eau d'arrosage est fonctionnelle sur la brosse des éponges du cylindre de transfert sur les tambours de la station  2</t>
  </si>
  <si>
    <t>Tirer les éponges et graisser avec EP2 les coulisseaux du disposition de pose si cylindre stagnoles station  2</t>
  </si>
  <si>
    <t>S'assurer que la rotation du rouleau encoleur s'effectue sans battement sur la station  2</t>
  </si>
  <si>
    <t xml:space="preserve">S'assurer du bon état de l'élément d'entrainement en rotation du rouleau encoleur (clavette,rainure, etc.) station  2 </t>
  </si>
  <si>
    <t>Ajuster la position des racleurs étiquettes et stagnoles à l'aide des tambours de réglage station  2</t>
  </si>
  <si>
    <t xml:space="preserve">Vérifier que les raccords et flexibles de la pompe à colle de la station  2 ne fuient pas et sont bien serrés  </t>
  </si>
  <si>
    <t>Contrôler que le caroussel à segments tourne sans battements station  2</t>
  </si>
  <si>
    <t xml:space="preserve">Contrôler le revêtement en caoutchouc des segments station  2 et le renforcer si début de décollement </t>
  </si>
  <si>
    <t>Contrôler degré d'usure des segments station  2 et remplacer si nécessaire</t>
  </si>
  <si>
    <t>Contrôler le serrage des segments de la station  2 sur leurs axes et ajuster au besoin</t>
  </si>
  <si>
    <t>Vérifier que les raccords et flexibles de la pompe mécanique de l'agrégat de la station 1 ne fuient pas,sont bien serrés et que la pompe refoule bien</t>
  </si>
  <si>
    <t>Contrôler la raideur des ressorts de rappel du poussoir étiquettes de dos station 2 et remplacer au besoin</t>
  </si>
  <si>
    <t>Dépressuriser le circuit puis démonter la cartouche de filtre à air et la nettoyer</t>
  </si>
  <si>
    <t>Contrôler canalisations, raccords et flexibles CIP au niveau du rouleau encoleur, entonnoir de retour colle, segments, cylindres de transfert, etc.</t>
  </si>
  <si>
    <t>Se rassurer que les couvercles de protection des courroies de transmission petit et grand tapis soient bien fixés</t>
  </si>
  <si>
    <t>Controler la fixation des slides 1 et 2 et remedier aux problèmes rencontrés</t>
  </si>
  <si>
    <t>Trimestrielle</t>
  </si>
  <si>
    <t>Contrôler usure étoile d'entrée et de sortie et remplacer si nécessaire</t>
  </si>
  <si>
    <t xml:space="preserve">Démonter courroie vis de sélection et vérifier absence bavures sur poulies d'entrainement </t>
  </si>
  <si>
    <t>Contrôler serrage des supports des piston du caroussel principal</t>
  </si>
  <si>
    <t>Serrer les fixations des supports de tous les tambours station 1</t>
  </si>
  <si>
    <t>Serrer les fixations des supports de tous les tambours station  2</t>
  </si>
  <si>
    <t>Contrôler l'orientation du support des magasins à étiquettes/stagnoles station 1 et ajuster si nécessaire au niveau de sa fixation</t>
  </si>
  <si>
    <t>Démonter les bras et Contrôler l'état d'usure des galets de came ainsi que celui de leur axe</t>
  </si>
  <si>
    <t>Contrôler le blocage en translation de l'axe du galet de came (vis de pression)</t>
  </si>
  <si>
    <t>Démonter les bras et Contrôler l'état d'usure des galets supports ainsi que celui de leur axe</t>
  </si>
  <si>
    <t>Remplacer les membranes des ventouses</t>
  </si>
  <si>
    <t>Contrôler serrage et intégrité des articulations du bras télescopique de l'IHM</t>
  </si>
  <si>
    <t>Inspecter,serrer et lubrifier paumelles portières de sécurité</t>
  </si>
  <si>
    <t>Inspecter et serrer supports capteurs portières de sécurité</t>
  </si>
  <si>
    <t>Controler les supports de fixation du chariot et remplacer si necessaire</t>
  </si>
  <si>
    <t>vérifier la présence du teflon en bout des doigts et faire fabriquer au besoin</t>
  </si>
  <si>
    <t>Controler l'usure des courroies des slides 1 et 2 et remplacer au besoin</t>
  </si>
  <si>
    <t>Inspecter la qualité d'huile à l'interieur du reducteur principal de la boucheuse et la remplacer si necessaire</t>
  </si>
  <si>
    <t>Controler la fixation des traverses ( supports des rails ) et reparer si necessaire</t>
  </si>
  <si>
    <t>JIOFACK</t>
  </si>
  <si>
    <t>Inspecter les pieds supportant le grand tapis et remplacer les si necessaire</t>
  </si>
  <si>
    <t>Controler le fonctionnement du graissage automatique de la butée  du carrousel</t>
  </si>
  <si>
    <t>Inspecter les fuites d'air au dessus du bac de recuperation de la soude et remedier si necessaire</t>
  </si>
  <si>
    <t>Graisser les roulements linéaires du guide frame</t>
  </si>
  <si>
    <t>controler le fonctionnement du vérin de blocage des caisers entre les tables et remplacer au besoin. Inspecter raccords du vérin et distributeur et remplacer si necessaire</t>
  </si>
  <si>
    <t>Faire appoint d'huile à l'interieur du reducteur du convoyeur interne</t>
  </si>
  <si>
    <t>Faire appoint huile dans les reducteurs des tapis extracteurs</t>
  </si>
  <si>
    <t>Faire appoint huile reducteur première table</t>
  </si>
  <si>
    <t>Faire appoint huile reducteur deuxième table</t>
  </si>
  <si>
    <t>Faire appoint huile dans les reducteurs des slides 1 et 2</t>
  </si>
  <si>
    <t>Faire appoint huile dans les motoreducteurs des convoyeurs à palettes à l'entrée</t>
  </si>
  <si>
    <t>Faire appoint huile dans les motoreducteurs des convoyeurs à palettes du magasin à palettes</t>
  </si>
  <si>
    <t>Faire appoint huile mototreducteurs des retourneurs de palettes</t>
  </si>
  <si>
    <t>Faire appoint huile reducteurs prinipaux de levage</t>
  </si>
  <si>
    <t>Faire appoint huile reducteur de la traverse</t>
  </si>
  <si>
    <t>Faire appoint huile Reducteurs principaux de levage du chariot</t>
  </si>
  <si>
    <t>Faire appoint huile reducteur du grand tapis</t>
  </si>
  <si>
    <t>Faire appoint huile dans les recuteurs des convoyeurs à palettes à l'entrée et à la sortie</t>
  </si>
  <si>
    <t>Faire appoint huile reducteur du distributeur à casiers</t>
  </si>
  <si>
    <t>Faire appoint huile reducteurs du poussoir</t>
  </si>
  <si>
    <t>Faire appoint huile reducteurs d'entrainement des rouleaux</t>
  </si>
  <si>
    <t>Faire appoint huile reducteur du guide frame</t>
  </si>
  <si>
    <t>Faire appoint huile reducteur du convoyeur interne</t>
  </si>
  <si>
    <t>Faire appoint huile reducteurs principaux de levage</t>
  </si>
  <si>
    <t>Faire appoint huile reducteurs du convoyeur casier à l'entrée et à la sortie</t>
  </si>
  <si>
    <t>Faire appoint huile reducteur de la table</t>
  </si>
  <si>
    <t>Faire appoint huile reducteur du branleur</t>
  </si>
  <si>
    <t xml:space="preserve">CHECKLIST GRAISSAGE  + LUBRIFICATION                                                          </t>
  </si>
  <si>
    <t>Faire appoint huile reducteur convoyeur à l'entrée</t>
  </si>
  <si>
    <t>Faire appoint huile reducteur convoyeur à la sortie</t>
  </si>
  <si>
    <t>Faire appoint huile reducteur entrainant le carrousel</t>
  </si>
  <si>
    <t>Faire appoint huile reducteur entrainant les etoiles entrée et sortie</t>
  </si>
  <si>
    <t>Faire appoint huile reducteur entrainant la station 1</t>
  </si>
  <si>
    <t>Faire appoint huile reducteur entrainant la station 2</t>
  </si>
  <si>
    <t>Faire appoint huile reducteur reglage en hauteur station de staniolage</t>
  </si>
  <si>
    <t>Faire appoint huile reducteur reglage en hauteur du carrousel</t>
  </si>
  <si>
    <t>Controler qualité huile, Vidanger si necessaire, Faire appoint huile dans les reducteurs principaux tapis haut</t>
  </si>
  <si>
    <t>Controler qualité huile, Vidanger si necessaire, Faire appoint huile dans les reducteurs principaux tapis bas</t>
  </si>
  <si>
    <t>Controler qualité huile, Vidanger si necessaire, Faire appoint huile dans les reducteurs Convoyeur entrée haut et bas</t>
  </si>
  <si>
    <t>Controler qualité huile, Vidanger si necessaire, Faire appoint huile dans les reducteurs Convoyeur sortie bas et haut</t>
  </si>
  <si>
    <t>Controler qualité huile, Vidanger si necessaire, Faire appoint huile dans reducteurs des extracteurs bain 1 à 5</t>
  </si>
  <si>
    <t>Controler qualité huile, Vidanger si necessaire, Faire appoint huile dans reducteurs des tambours bain 1 à 5</t>
  </si>
  <si>
    <t>Controler qualité huile, Vidanger si necessaire, Faire appoint huile dans reducteur d'entrainement de la sortie</t>
  </si>
  <si>
    <t>Controler qualité huile, Vidanger si necessaire, Faire appoint huile dans reducteur d'entrainement des branleurs</t>
  </si>
  <si>
    <t>Controler qualité huile, Vidanger si necessaire, Faire appoint huile dans reducteur convoyeur bouteilles à l'entrée</t>
  </si>
  <si>
    <t>Controler qualité huile, Vidanger si necessaire, Faire appoint huile dans reducteurs d'entrainement de l'infeed</t>
  </si>
  <si>
    <t>Controler qualité huile, Vidanger si necessaire, Faire appoint huile dans reducteurs principaux de la machine</t>
  </si>
  <si>
    <t>Controler qualité huile, Vidanger si necessaire, Faire appoint huile dans reducteur grand tapis extraction</t>
  </si>
  <si>
    <t>TANKWA</t>
  </si>
  <si>
    <t>Remplacer roulements en dessous de la vis de reglage en hauteur de la boucheuse</t>
  </si>
  <si>
    <t>Remplacer roulements à l'interieur de reducteur de la boucheuse et faire vidange</t>
  </si>
  <si>
    <t>QUADRIMESTRE</t>
  </si>
  <si>
    <t>Trimestriel</t>
  </si>
  <si>
    <t>Distr Casiers / controler l'usure sur le guide plat coté gauche et remplacer si  necessaire.</t>
  </si>
  <si>
    <t>Distr Casiers / verifier la presence des pieds de convoyeurs, vérifier la fixation des convoyeur sur leur support. Aucune inclinaison n'est acceptable.</t>
  </si>
  <si>
    <t>controler les roues de renvoie, pignons, roulements de paliers, glissières et tendeurs du grand tapis. Controler l'etat du tapis et remplacer si necessaire</t>
  </si>
  <si>
    <t>inspecter la torsion des rails du grand tapis et redresser les au besoin</t>
  </si>
  <si>
    <t>controler l'état des rouleaux d'entrainement des courroies vertes,  des rouleaux tedeurs et remplacé les au besoin</t>
  </si>
  <si>
    <t>controler la fixation des couvres chaines et repositionner celles qui sont absentes</t>
  </si>
  <si>
    <t>controler l'usure des chaines et pignons des rouleaux des convoyeurs à palettes</t>
  </si>
  <si>
    <t>verifier la presence des pieds dse convoyeurs à palettes, du grand tapis et de la table des rouleaux, remedier à leur fixation</t>
  </si>
  <si>
    <t>Distr Casiers / controler l'usure des guides plats gauche et droit, guide pointu à l'entrée et remplacer les au besoin</t>
  </si>
  <si>
    <t>Ajuster les toles de transfert entre les tapis de la zone</t>
  </si>
  <si>
    <t>Ouvrir chaines du convoyeurs interne, nettoyer puis inspecter chaines, glissières, pignons, roues libres, retours chaines et roulements de paliers puis remplacer si necessaire</t>
  </si>
  <si>
    <t>Se rassurer que les box en dessous de lamachine soit nettoyé</t>
  </si>
  <si>
    <t>Controler le niveau d'huile de lubrification des selettes et faire appoint si necessaire</t>
  </si>
  <si>
    <t>Graisser la came des supports tete de pression</t>
  </si>
  <si>
    <t>Frequence</t>
  </si>
  <si>
    <t>H</t>
  </si>
  <si>
    <t>M</t>
  </si>
  <si>
    <t>Faire appoint graisse pour lubrification de la came de la station de staniolage</t>
  </si>
  <si>
    <t>3M</t>
  </si>
  <si>
    <t>Nettoyer vielle graisse sur les ressorts des tetes de pression et mettre nouvelle graisse</t>
  </si>
  <si>
    <t>A</t>
  </si>
  <si>
    <t>D</t>
  </si>
  <si>
    <t>Graisser les cylindres de transfert stanioles et etiquettes ( lubrifier les galets des deux cylindres )</t>
  </si>
  <si>
    <t>Mettre une petite quantité de graisse sur l'arbre des racleurs à colle</t>
  </si>
  <si>
    <t>Controler niveau huile à l'interieur des aggregats et faire appoint si necessaire</t>
  </si>
  <si>
    <t>6M</t>
  </si>
  <si>
    <t xml:space="preserve">Vidanger huile de l'aggregat station 1 ( utiliser huile 220 ) </t>
  </si>
  <si>
    <t>Controler maillons de chaines, glissières, pignon et roue libre du convoyeur interne et remplacer si necessaire</t>
  </si>
  <si>
    <t>Demonter et nettoyer filtres situé avant les pompes des bains</t>
  </si>
  <si>
    <t>Controler la fixation des guides incurvés à l'entrée et à la sortie de la machine et remedier si necessaire</t>
  </si>
  <si>
    <t>Controler le jet de toutes les buses et remedier si necessaire</t>
  </si>
  <si>
    <t>controler la pression à la sortie des pompes et deboucher les canalisations au besoin</t>
  </si>
  <si>
    <t>Semestriel</t>
  </si>
  <si>
    <t xml:space="preserve">controler l'usure sur la portée des roulements des demi arbres du chariot de levage et remplacer au besoin. </t>
  </si>
  <si>
    <t xml:space="preserve">controler les roulements des roues dentées du dessus. </t>
  </si>
  <si>
    <t>controler la sortie de la graisse sur toutes les voies de sortie du distributeur et deboucher au besoin.</t>
  </si>
  <si>
    <t>controler l'usure des roues dentées du chariot et remplacées au besoin. Aucun glissement n'est acceptable.</t>
  </si>
  <si>
    <t>controler l'usure des roues dentées de la traverse et  remplacées au besoin. Aucun glissement n'est acceptable.</t>
  </si>
  <si>
    <t>controler l'usure et la tension des courroies de la traverse et du chariot et remplacées si necessaire.</t>
  </si>
  <si>
    <t>controler l'usure des coulisseaux et des rails du guide frame et remplacer au besoin</t>
  </si>
  <si>
    <t>controler l'usure des coulisseaux et des rails du didpositif de reglage à l'entrée et remplacer au besoin</t>
  </si>
  <si>
    <t>controler le débit d'envoie de la pompe de graisse et remedier au problème au besoin.</t>
  </si>
  <si>
    <t>Mensuel</t>
  </si>
  <si>
    <t>controler l'état des roulements / drive unit support carriage / transverse conveyor</t>
  </si>
  <si>
    <t>controler l'usure des chaines de la 1ere table de chargement  et les remplacées si necessaire / élements d'entrainement table 1 / table 1</t>
  </si>
  <si>
    <t>controler l'état des pignons et les remplacées si necessaire / élements d'entrainement table 1 / table 1</t>
  </si>
  <si>
    <t>controler l'état des roues libres et les remplacées si necessaire / élements d'entrainement table 1 / table 1</t>
  </si>
  <si>
    <t>controler l'état des roulements et paliers des tapis et les remplacé si necessaire / élements d'entrainement table 1 / table 1</t>
  </si>
  <si>
    <t>controler la tension des chaines et refaire les tendeurs au besoin.  / élements d'entrainement table 1 / table 1</t>
  </si>
  <si>
    <t>controler l'état des glissères et les remplacées au besoin. Aucune glissère absente n'est acceptable / élements d'entrainement table 1 / table 1</t>
  </si>
  <si>
    <t>controler la fixation des glissières. Les vis doivent etre noyés à l'interieur des glissières. / élements d'entrainement table 1 / table 1</t>
  </si>
  <si>
    <t>controler l'usure des rails et les remplacées au besoin.  / élements d'entrainement table 1 / table 1</t>
  </si>
  <si>
    <t>verifier la presence des pieds de convoyeurs, vérifier la fixation des convoyeur sur leur support. Aucune inclinaison n'est acceptable. / support des convoyeur / table 1</t>
  </si>
  <si>
    <t>controler l'usure des chaines de la 1ere table de chargement  et les remplacées si necessaire / élements d'entrainement table 2 / table 2</t>
  </si>
  <si>
    <t>controler l'état des pignons et les remplacées si necessaire / élements d'entrainement table 2 / table 2</t>
  </si>
  <si>
    <t>controler l'état des roues libres et les remplacées si necessaire / élements d'entrainement table 2 / table 2</t>
  </si>
  <si>
    <t>controler l'état des roulements et paliers des tapis et les remplacé si necessaire / élements d'entrainement table 2 / table 2</t>
  </si>
  <si>
    <t>controler la tension des chaines et refaire les tendeurs au besoin.  / élements d'entrainement table 2 / table 2</t>
  </si>
  <si>
    <t>controler l'état des glissères et les remplacées au besoin. Aucune glissère absente n'est acceptable / élements d'entrainement table 2 / table 2</t>
  </si>
  <si>
    <t>controler l'usure des rails et les remplacées au besoin.  / élements d'entrainement table 2 / table 2</t>
  </si>
  <si>
    <t>verifier la presence des pieds de convoyeurs, vérifier la fixation des convoyeur sur leur support. Aucune inclinaison n'est acceptable. / support des convoyeur / table 2</t>
  </si>
  <si>
    <t>Mag pal / verifier la presence des pieds de convoyeurs, vérifier la fixation des convoyeur sur leur support. Aucune inclinaison n'est acceptable. / support des convoyeur / support des convoyeur</t>
  </si>
  <si>
    <t>Mag pal / controler les dents des rouleaux et remplacer les au besoin. / rouleaux / rouleaux du magazin à palettes</t>
  </si>
  <si>
    <t>Convoy Palettes / controler l'usure du pignon et le remplacé au besoin. Aucune perte de mouvement n'est acceptable; / montage pivot / convoyeur rotatif</t>
  </si>
  <si>
    <t>Convoy Palettes / controler l'usure du roulement et remplacer le au besoin.  / montage pivot / convoyeur rotatif</t>
  </si>
  <si>
    <t>Redresser les supports de guides bouteilles de la sortie pasto à l'entrée etiqueteuse</t>
  </si>
  <si>
    <t>Souffleur</t>
  </si>
  <si>
    <t>Hebdomadaire</t>
  </si>
  <si>
    <t>Controler le guidage des bouteilles à l'interieur et ajuster si necessaire</t>
  </si>
  <si>
    <t>Controler la position des buses sur les bouteilles et ajuster si necessaire</t>
  </si>
  <si>
    <t>Controler la fixation des supports des buses et serrer si necessaire</t>
  </si>
  <si>
    <t>Controler le fonctionnement des 4 souffleurs et remedier si necessaire</t>
  </si>
  <si>
    <t>Deboucher toutes les buses bouchées</t>
  </si>
  <si>
    <t>Nettoyer les filtres sur les conduites d'aspiration des 4 souffleurs</t>
  </si>
  <si>
    <t>controler l'état des engrenages à l'interieur du reducteur N°1 du chariot de levage et remplacer le réducteur complet au besoin</t>
  </si>
  <si>
    <t>controler les roulements  à l'interieur du reducteur N°1 du chariot de levage et les remplacés au besoin. Aucun jeu à l'inteurieur du réducteur n'est acceptable</t>
  </si>
  <si>
    <t>controler l'état des engrenages  à l'interieur du reducteur N°2 du chariot de levageet remplacer le réducteur complet au besoin</t>
  </si>
  <si>
    <t>controler les roulements  à l'interieur du reducteur N°2 du chariot de levage et les remplacés au besoin. Aucun jeu à l'inteurieur du réducteur n'est acceptable</t>
  </si>
  <si>
    <t>controler l'état des engrenages du reducteur de la traverse et remplacer le réducteur complet au besoin</t>
  </si>
  <si>
    <t>controler les roulements du réducteur de la traverse et les remplacés au besoin. Aucun jeu à l'inteurieur du réducteur n'est acceptable</t>
  </si>
  <si>
    <t>Inspecter et réparer les déviateurs des bouteilles avant la table de chargement de la laveuse</t>
  </si>
  <si>
    <t>Contrôler et ajuster les tôles de transfert de la table d'accumulation de l'entrée laveuse</t>
  </si>
  <si>
    <t>Contrôler les vannes pneumatique de l'unité de dosage de soude et éliminer les fuites éventuelles</t>
  </si>
  <si>
    <t>Démonter et nettoyer la turbine de la pompe de dosage de soude</t>
  </si>
  <si>
    <t>Démonter la pompe de rinçage Zone A à partir des brides et nettoyer sa turbine</t>
  </si>
  <si>
    <t>Démonter la pompe de rinçage Zone B à partir des brides et nettoyer sa turbine</t>
  </si>
  <si>
    <t>Démonter la pompe de rinçage Zone C à partir des brides et nettoyer sa turbine</t>
  </si>
  <si>
    <t>Contrôler l'état de tous les tamis des zones de rinçage</t>
  </si>
  <si>
    <t>Contrôler l'étanchéité de la pompe de transfert de soude</t>
  </si>
  <si>
    <t>Contrôler et ajuster position doigts anti-blocage des bouteilles derrière l'Infeed (accessible par trou d'homme)</t>
  </si>
  <si>
    <t>Contrôler et ajuster position doigts de sécurité d'éjection des bouteilles après décharge (accessible par trou d'homme)</t>
  </si>
  <si>
    <t>Démonter, nettoyer et contrôler toutes les conduites de prélèvement de soude par le laboratoire</t>
  </si>
  <si>
    <t>Démonter les tôles de transfert et les supports et en faire une inspection détaillée / Renforcer points de soudure au besoin</t>
  </si>
  <si>
    <t>Vérifier que l'accouplement de la vis de sélection est bien serré</t>
  </si>
  <si>
    <t>Vérifier que les 2 roulements externes du renvoi d'angle sont en bon état</t>
  </si>
  <si>
    <t>Ouvrir renvoi d'angle et démonter grand pignon en téflon pour inspection état dents, rainure, clavette et arbre d'entrainement)</t>
  </si>
  <si>
    <t>Contrôler l'usure des étoiles de la machine et des roulements de leur support de montage</t>
  </si>
  <si>
    <t>Vérifier que les semelles et supports de fixation au sol  de la machine sont en bon état et corriger sinon</t>
  </si>
  <si>
    <t>Contrôler guidage et fixation des pistons (état guides et galets)</t>
  </si>
  <si>
    <t>S'assurer que les manomètres liés à la pompe à vide fonctionnent normalement</t>
  </si>
  <si>
    <t>Démonter, nettoyer les buses de nettoyage des casses d'explosion</t>
  </si>
  <si>
    <t>Vérifier vanne pneumatique d'angle du tuyau de dégazage du CO2 de la cuve</t>
  </si>
  <si>
    <t>Contrôler usure éléments extérieurs de sertissage et guides goulot en fer de cheval</t>
  </si>
  <si>
    <t>Contrôler le fonctionnement du vibreur du tambour et sa fixation</t>
  </si>
  <si>
    <t>Démonter, nettoyer et inspecter buses d'injection eau chaude</t>
  </si>
  <si>
    <t>Remplacer éléments d'usure des tetes de pression du carrousel</t>
  </si>
  <si>
    <t>Ouvrir et faire nettoyer les convoyeurs casiers directement à la sortie de la machine, inspecter et reparer si necessaire</t>
  </si>
  <si>
    <t>Convoy Palettes / controler la fixtion des couvre chaines de tous les convoyeurs à palettes et bien les ranger au besoin. Aucune chaine ne doit frotter sur un couvre chaine.</t>
  </si>
  <si>
    <t>Convoy Palettes / controler la fixation des rouleaux et dents des rouleaux des convoyeurs à palettes  et remplacer  au besoin</t>
  </si>
  <si>
    <t>controler les fuites sur les élements pneumatiques de la trasverse etremedier au besoin</t>
  </si>
  <si>
    <t>Mag pal / controler les fuites sur le vérin de levage , sa fixation  remedier aux problèmes rencontrés.</t>
  </si>
  <si>
    <t>Convoy Palettes / controler les dents des rouleaux et leur fixation et remplacer les au besoin.</t>
  </si>
  <si>
    <t>Nettoyer au karcher les embases des doigts à la decharge. Se rassurer que tous les embases soient libres autour de l'axe.</t>
  </si>
  <si>
    <t>controler la fixation de la courroie sur le chariot et ameliorer sa fixation si necessaire.</t>
  </si>
  <si>
    <t>controler le fonctionnement des vérins au dessus du chariot utilisés pour le changement de format</t>
  </si>
  <si>
    <t>remplacer les courroies du guide frame et bien fixer les cadres de protection. Aucune casse de bouteille ne doit y parvenir.</t>
  </si>
  <si>
    <t>controler l'état des roulements et paliers de l'arbre du moteur entrainant le guide frame et les remplacé si necessaire</t>
  </si>
  <si>
    <t>CHOUAGOUE</t>
  </si>
  <si>
    <t>Inspecter les manchons en dessous des arbres des segments et remplacer si necessaire</t>
  </si>
  <si>
    <t>Inspecter les pignons moteurs à deux rangées des convoyeurs à palettes et remplacés si necessaire</t>
  </si>
  <si>
    <t xml:space="preserve">CHECKLIST Lubrification Quadrimestre                                                          </t>
  </si>
  <si>
    <t>Contrôler niveau d'huile des moto-réducteurs de la machine (boucheuse, carrousel, levage boucheuse, moteur pompe à vide, levage cuve et came)</t>
  </si>
  <si>
    <t>Reparer rails virage convoyeur entrée Apollo 4</t>
  </si>
  <si>
    <t xml:space="preserve">Nettoyer le tambour et la colonne de capsules </t>
  </si>
  <si>
    <t xml:space="preserve">Remplacer les joints manquants à l'interieur des alveoles </t>
  </si>
  <si>
    <t>Se rassurer que les couvercles de protection des courroies de transmission petit et grand tapis soient bien fixés et l'etat de la courroie</t>
  </si>
  <si>
    <t>Mesurer la profondeur entrre les tiges des grappins et leurs sièges et signaler si elle est superieur à 5mm</t>
  </si>
  <si>
    <t>Ouvrir les deux tables, faire nettoyer, inspecter et remplacer glissières, roues et pignons si necessaire.</t>
  </si>
  <si>
    <t>controler les fuites sur les élements pneumatiques ( flexible, raccord , vérins…) de la trasverse</t>
  </si>
  <si>
    <t>controler l'usure des courroies du chariot et remplacer les en cas de fissure. Aucune fissure n'est permise</t>
  </si>
  <si>
    <t>controler l'usure des courroies de la traverse et remplacer les en cas de fissure. Aucune fissure n'est permise</t>
  </si>
  <si>
    <t>controler l'usure des chaines, pignons, roues libres, glissières, rails, roulements de paliers et pieds de convoyeurs de la 1ere table de chargement  et les remplacées si necessaire</t>
  </si>
  <si>
    <t>controler l'usure des chaines, pignons, roues libres, glissières, rails, roulements de paliers et pieds de convoyeurs du convoyeur interne   et les remplacées si necessaire</t>
  </si>
  <si>
    <t>controler les fuites sur le vérin de blocage de casiers à l'interieur du convoyeur interne</t>
  </si>
  <si>
    <t>Nettoyer les pignons d'entrainement des courroies du guide frame</t>
  </si>
  <si>
    <t>Inspecter la fixation des guides chaines en dessous des chaines à l'entrée et remedier si necessaire</t>
  </si>
  <si>
    <t>Reduire un maillon de chaine sur ce convoyeur</t>
  </si>
  <si>
    <t>Serrer les vis de fixation des cames du carrousel</t>
  </si>
  <si>
    <t>Demonter couvercle des pistons du carrousel, et inspecter la course de tous les galets des pistons du caroussel principal</t>
  </si>
  <si>
    <t>Date:</t>
  </si>
  <si>
    <t>Hbedomadaire</t>
  </si>
  <si>
    <t>Contrôler fixation et l'usure des guides bouteilles et doigts sortie laveuse et renforcer/ajuster ceux qui bougent et remplacer si necessaire</t>
  </si>
  <si>
    <t>Contrôler axes branleurs et roulements table d'accumulation Infeed et vérifier qu'ils sont bien soudés et simuler le mouvement</t>
  </si>
  <si>
    <t>Contrôler ressorts Infeed et vérifier serrage supports et la tension du ressort et remplacer si necessaire</t>
  </si>
  <si>
    <t>Contrôler ressorts Décharge et vérifier serrage supports  et la tension remplacer si necessaire</t>
  </si>
  <si>
    <t>Contrôler l'usure des doigts de l'Infeed, leur serrage et rechercher des fissures éventuelles et remplacer si necessaire</t>
  </si>
  <si>
    <t>Démonter les injecteurs internes des zones de rinçage ( A, B , C et bain 6 ) et les nettoyer</t>
  </si>
  <si>
    <t>Inspecter les injecteurs interne des bains de soude ( Bains 1 à 5 ) et réparer si fuite</t>
  </si>
  <si>
    <t>Inspecter systématiquement tous les injecteurs externes ( monthly )</t>
  </si>
  <si>
    <t>Contrôler niveau d'huile hydraulique dans le réservoir ( Hors service pour le moment )</t>
  </si>
  <si>
    <t>Demarrer à la machine à la vitesse optimale ( s'assurer que tous les composants sont en etat fonctionnel )</t>
  </si>
  <si>
    <t>Controler l'usure des courroies des pompes basses pression et remplacer au besoin</t>
  </si>
  <si>
    <t>S'assurer que les filtres des pompes basses pression de tous les bains sont nettoyés et inspecter defaut</t>
  </si>
  <si>
    <t>Inspecter l'allongement, les guides et rails des tapis d'extraction de tous les bains de soude</t>
  </si>
  <si>
    <t>Inspecter fixation, usure des tamis de tambours de tous les bains de soude et remplacer si necessaire</t>
  </si>
  <si>
    <t>Controler l'allongement du tapis extracteur au pretrempage et reparer si necessaire</t>
  </si>
  <si>
    <t>S'assurer que le filtre de l'arrivée d'eau au rincage final soit nettoyé</t>
  </si>
  <si>
    <t xml:space="preserve">S'assurer que les bains de soude ne sont pas chauffés à plus de 80°C (risque d'endommagement des joints) </t>
  </si>
  <si>
    <t>Contrôler étanchéité raccords ,flexibles hydrauliques et purger conduite ( Hors service pour le moment )</t>
  </si>
  <si>
    <t>Contrôler étanchéité du vérin hydraulique (le faire jouer manuellement en avant et arrière) ( Hors service pour le moment )</t>
  </si>
  <si>
    <t>Lubrifier la chaine principale du convoyeur Apollo 3 à l'huile 220</t>
  </si>
  <si>
    <t>Inspecter maillons cassés sur la chaine principale Apollo 3 et remplacer</t>
  </si>
  <si>
    <t>Ouvrir les convoyeurs de la sortie laveuse jusqu’à la trieuse, nettoyer au Karcher, inspecter et reparer tout anomalie</t>
  </si>
  <si>
    <t>Demonter 10 rampes d'alveoles et controler rails de guidage des alveoles des bains de soude</t>
  </si>
  <si>
    <t>Controler rails de guidage des alveoles des bains de pretrempage et rincage</t>
  </si>
  <si>
    <t>Controler le serrage des vis des demi lunes en dessous des pistons de la lboucheuse</t>
  </si>
  <si>
    <t>Graisser retourneur de palettes à la sortie du depaletiseur ( 4 points de graissage situés en dessous du convoyeur à palettes )</t>
  </si>
  <si>
    <t>Graisser retourneur de palettes à l'entrée du paletiseur ( 4 points de graissage situés en dessous du convoyeur à palettes )</t>
  </si>
  <si>
    <t>controler l'usure des dents du pignon sur l'axe moteur et le remplacé au besoin. Aucun glissement n'est acceptable.</t>
  </si>
  <si>
    <t>controler l'usure du pignon de la roue de renvoie en dessous de la colonne et le remplacé au besoin. Aucun glissement n'est acceptable.</t>
  </si>
  <si>
    <t>controler le jeu des roulements de la roue de renvoie en dessous de la colonne et remedier au besoin.</t>
  </si>
  <si>
    <t>controler l'usure du pignon de la roue libre à l'entrée ou à la sortie et remplacé au besoin. Aucun glissement n'est acceptable.</t>
  </si>
  <si>
    <t>controler l'alignement et la fixation de la roue libre  et remedier au besoin.</t>
  </si>
  <si>
    <t>Controler la fixation des supports de tendeurs et remedier au besoin</t>
  </si>
  <si>
    <t>TANKWA + NDOGMO</t>
  </si>
  <si>
    <t>Nettoyer la vielle graisse en dessous de la vis de reglage en hauteur de la boucheuse et controler usure des roulements à rouleaux coniques</t>
  </si>
  <si>
    <t>Contrôler la courroie de la vis de selection et ajuster sa tension si necessaire</t>
  </si>
  <si>
    <t>Controler la fonctionnalité des freins pneumatiques et remplacer au besoin</t>
  </si>
  <si>
    <t>Inspecter les elements mecaniques ( galets, ressorts, cône de sertissage…) des pistons de la boucheuse et remedier si necessaire</t>
  </si>
  <si>
    <t>Mag pal / Inspecter les moteurs du convoyeur rotatif et des rouleaux/ contrôler leur fixation</t>
  </si>
  <si>
    <t>Ajuster des couples</t>
  </si>
  <si>
    <t>Contrôler la fonctionnalité du bloqueur de casiers</t>
  </si>
  <si>
    <t>NAHEU</t>
  </si>
  <si>
    <t xml:space="preserve">                                                                                                                                                 </t>
  </si>
  <si>
    <t>JIOFACK + NDOGMO</t>
  </si>
  <si>
    <t>Contrôler les capteurs des différents bains</t>
  </si>
  <si>
    <t>Contrôler l'etancheité sur les blocs des robinets; remplacer membranes au besoin</t>
  </si>
  <si>
    <t>KUETE</t>
  </si>
  <si>
    <t>ouvrir, faire nettoyer et inspecter chaines à palettes, glissières, rails, pignons, arbre et roues libres de la table et remedier aux problèmes rencontrés.</t>
  </si>
  <si>
    <t xml:space="preserve">Tapis Entrée distributeur de casiers </t>
  </si>
  <si>
    <t>Controler la fixation des paliers des roulements de l'axe des moteurs principaux. Insister sur le serrage des vis de fixation des ces paliers</t>
  </si>
  <si>
    <t>Contrôler l'usure des 2 courroies de l'Infeed et vérifier serrage accouplement / Contrôler aussi serrage bielle et de son support et remplacer si necessaire</t>
  </si>
  <si>
    <t xml:space="preserve">Convoy Palettes / Contrôler et serrer les vis de pression des pignons </t>
  </si>
  <si>
    <t>Nettoyer la conduite et les vannes pour alimenter les vitres de niveau des bains 2, 3, 4 et 4</t>
  </si>
  <si>
    <t>Démonter la tôle de protection des courroies de l'infeed. Graisser manuellement le roulement interne sur l'arbre d'entrainement des doigts</t>
  </si>
  <si>
    <t>Faire la vidange systématique de l'huile dans les réducteurs principaux (si l'huile d'origine a dejà été remplacé)</t>
  </si>
  <si>
    <t>Remplacer les joints sur l'axe du foiling cup; Inspecter les roulements</t>
  </si>
  <si>
    <t>Contrôler les deux couvercles de protections des roulements sur l'axe de l'etoile de sortie</t>
  </si>
  <si>
    <t>Faire une inspection générale du manomètre du filtre à l'entrée de l'echangeur thermique. Si P&gt;1 bar, nettoyer le filtre</t>
  </si>
  <si>
    <t>Graisser les pompes basses pressions</t>
  </si>
  <si>
    <t>CONVOYEURS BOUTEILLES ( Etiqueteuse -Encaisseuse)</t>
  </si>
  <si>
    <t>BIMENSUELLE</t>
  </si>
  <si>
    <t>TRIMESTRIELLE</t>
  </si>
  <si>
    <t>CONVOYEURS BOUTEILLES B3 ( Trieuse - EBI - retour laveuse)</t>
  </si>
  <si>
    <t>Tapis ECI - sortie depal( 7 tapis )</t>
  </si>
  <si>
    <t>CONVOYEURS BOUTEILLES B5 ( Soutireuse - Pasteurisateur)</t>
  </si>
  <si>
    <t>CONVOYEURS BOUTEILLES B6 ( Pasteurisateur - Entrée souffleur)</t>
  </si>
  <si>
    <t>TCHAMO +JOYCE</t>
  </si>
  <si>
    <t xml:space="preserve">CHIMI </t>
  </si>
  <si>
    <t>Inspecter la rampe de lubrification  de la table; Deboucher les buses si elles sont bouchées</t>
  </si>
  <si>
    <t xml:space="preserve"> KUETE</t>
  </si>
  <si>
    <t>Tapis FCI+Entrée Paletiseur (8 tapis)</t>
  </si>
  <si>
    <t>Bimensuelle</t>
  </si>
  <si>
    <t>JIOFACK + DONGMO</t>
  </si>
  <si>
    <t>ITEMBE  + NDOKO</t>
  </si>
  <si>
    <t>Inspecter la rampe de lubrification de la table; Déboucher les buses et remonter toute anomalie</t>
  </si>
  <si>
    <t>Laveuse de bouteillles L5</t>
  </si>
  <si>
    <t>Controler l'état des rails et des glissières du convoyeur interne</t>
  </si>
  <si>
    <t>Pasteurisateur L5</t>
  </si>
  <si>
    <t>Contrôler la fixation de la plaque de liaison à la fin de la colonne de capsules; Corriger toute anomalie</t>
  </si>
  <si>
    <t>KWEHATCHOU + TSINKU</t>
  </si>
  <si>
    <t xml:space="preserve"> JOYCE</t>
  </si>
  <si>
    <t>CHECKLIST HEBDOMADAIRE ELECTRIQUE</t>
  </si>
  <si>
    <t>SIMO</t>
  </si>
  <si>
    <t>Vérifier, graisser, et retendre la chaîne de transmission pour le
réglage en hauteur du caisson caméra</t>
  </si>
  <si>
    <t xml:space="preserve">  Effectuer le graissage centralisé des paliers</t>
  </si>
  <si>
    <t>Vérifier guides bouteilles et les ajuster en fonction des repères standardisés</t>
  </si>
  <si>
    <t>EBI  Chaine 5</t>
  </si>
  <si>
    <t>Eliminer la cause de renversement des bouteilles à la sortie; Contrôler que les guides bouteilles à la sortie ne cognent sur aucune bouteilles ou casses.</t>
  </si>
  <si>
    <t>Inspecter le bac à capsules et se rassurer qu'aucun fer n'est dessoudé</t>
  </si>
  <si>
    <t>Nettoyer les pignons des courroies de l'infeed et se rassurer d'eliminer tout blocage à la rotation des courroies</t>
  </si>
  <si>
    <t>CHIMI+KWEHATCHOU</t>
  </si>
  <si>
    <t xml:space="preserve">CHECKLIST GRAISSAGE  HEBDOMADAIRE                                                        </t>
  </si>
  <si>
    <t>Soutireuse L5</t>
  </si>
  <si>
    <t>COMPOSANT/ZONE A GRAISSER</t>
  </si>
  <si>
    <t>Type de graisse / huile</t>
  </si>
  <si>
    <t xml:space="preserve"> Effectuer le graissage manuel exclusif</t>
  </si>
  <si>
    <t>Roulement de la vis de selection (Axe de commande)</t>
  </si>
  <si>
    <t>Multi complex EP 2</t>
  </si>
  <si>
    <t>Roulement de renvoi d'angle de la vis de selection</t>
  </si>
  <si>
    <t>Roulement de réglage de hauteur</t>
  </si>
  <si>
    <t xml:space="preserve"> Faire le graissage manuel des points automatiques</t>
  </si>
  <si>
    <t>3 Piliers des etoiles d'entrée et sortie de la boucheuse</t>
  </si>
  <si>
    <t>Butée de la boucheuse</t>
  </si>
  <si>
    <r>
      <t xml:space="preserve"> Contrôler si la lubrification automatique est effective sur tous les points ci-dessous; </t>
    </r>
    <r>
      <rPr>
        <b/>
        <sz val="16"/>
        <color theme="1"/>
        <rFont val="Comic Sans MS"/>
        <family val="4"/>
      </rPr>
      <t>Déconnecter les flexibles - Mettre la pompe en manuel - verifier si la graisse s'echappe des flexibles</t>
    </r>
    <r>
      <rPr>
        <sz val="16"/>
        <color theme="1"/>
        <rFont val="Comic Sans MS"/>
        <family val="4"/>
      </rPr>
      <t xml:space="preserve"> </t>
    </r>
  </si>
  <si>
    <t>Roulement de la grande courone (4 points de graissage)</t>
  </si>
  <si>
    <t>Pignon d'attaque de la grande courone</t>
  </si>
  <si>
    <t>Roulement principal de la boucheuse (32040)</t>
  </si>
  <si>
    <t xml:space="preserve">CHECKLIST GRAISSAGE  MENSUELLE                                                        </t>
  </si>
  <si>
    <t>Effectuer le graissage des points manuels exclusif</t>
  </si>
  <si>
    <t>Roulements des piliers de reglage en hauteur  du carrousel (6 points de graissage)</t>
  </si>
  <si>
    <t>6 paliers de la tremie à capsusles</t>
  </si>
  <si>
    <t>Contrôler qualité &amp; niveau huile, vidanger si necessaire, faire appoint d'huile</t>
  </si>
  <si>
    <t xml:space="preserve"> Reducteur principal soutireuse</t>
  </si>
  <si>
    <t>Total carter Xep 220</t>
  </si>
  <si>
    <t>Reducteur principal boucheuse</t>
  </si>
  <si>
    <t>Reducteur reglage en hauteur boucheuse</t>
  </si>
  <si>
    <t>Reducteur reglage en hauteur soutireuse</t>
  </si>
  <si>
    <t xml:space="preserve">Reducteurs convoyeurs entrée et sortie </t>
  </si>
  <si>
    <t>Reducteur levage capsules</t>
  </si>
  <si>
    <t>Reducteur tambour capsules</t>
  </si>
  <si>
    <t>Reducteur levage came soutireuse</t>
  </si>
  <si>
    <t xml:space="preserve">CHECKLIST GRAISSAGE BIMENSUEL                                                        </t>
  </si>
  <si>
    <t>Effectuer le Graissage manuel exclusif</t>
  </si>
  <si>
    <t>Roulement de la colonne centrale</t>
  </si>
  <si>
    <t>Mobilgrease FM 222</t>
  </si>
  <si>
    <t>Week 38 2025</t>
  </si>
  <si>
    <t>KWEHATCHOU</t>
  </si>
  <si>
    <t>week 39 2025</t>
  </si>
  <si>
    <t>Week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</si>
</sst>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 _€_-;\-* #,##0.00\ _€_-;_-* &quot;-&quot;??\ _€_-;_-@_-"/>
    <numFmt numFmtId="165" formatCode="_-* #,##0.00\ _F_C_F_A_-;\-* #,##0.00\ _F_C_F_A_-;_-* &quot;-&quot;??\ _F_C_F_A_-;_-@_-"/>
    <numFmt numFmtId="166" formatCode="[$-F800]dddd\,\ mmmm\ dd\,\ yyyy"/>
    <numFmt numFmtId="167" formatCode="0.0%"/>
  </numFmts>
  <fonts count="40" x14ac:knownFonts="1">
    <font>
      <sz val="11"/>
      <color theme="1"/>
      <name val="Calibri"/>
      <family val="2"/>
      <scheme val="minor"/>
    </font>
    <font>
      <sz val="11"/>
      <color theme="1"/>
      <name val="Calibri"/>
      <family val="2"/>
      <scheme val="minor"/>
    </font>
    <font>
      <b/>
      <sz val="11"/>
      <color theme="1"/>
      <name val="Calibri"/>
      <family val="2"/>
      <scheme val="minor"/>
    </font>
    <font>
      <b/>
      <sz val="20"/>
      <color theme="0"/>
      <name val="Arial"/>
      <family val="2"/>
    </font>
    <font>
      <b/>
      <sz val="14"/>
      <color theme="1"/>
      <name val="Calibri"/>
      <family val="2"/>
      <scheme val="minor"/>
    </font>
    <font>
      <sz val="10"/>
      <color theme="1"/>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b/>
      <sz val="10"/>
      <color theme="1"/>
      <name val="Calibri"/>
      <family val="2"/>
      <scheme val="minor"/>
    </font>
    <font>
      <b/>
      <sz val="18"/>
      <color theme="1"/>
      <name val="Arial"/>
      <family val="2"/>
    </font>
    <font>
      <sz val="16"/>
      <color theme="1"/>
      <name val="Arial"/>
      <family val="2"/>
    </font>
    <font>
      <b/>
      <sz val="14"/>
      <color theme="1"/>
      <name val="Arial"/>
      <family val="2"/>
    </font>
    <font>
      <b/>
      <sz val="12"/>
      <color theme="1"/>
      <name val="Arial"/>
      <family val="2"/>
    </font>
    <font>
      <b/>
      <sz val="11"/>
      <color theme="1"/>
      <name val="Arial"/>
      <family val="2"/>
    </font>
    <font>
      <b/>
      <sz val="16"/>
      <color theme="1"/>
      <name val="Arial"/>
      <family val="2"/>
    </font>
    <font>
      <sz val="10"/>
      <color indexed="8"/>
      <name val="Arial"/>
      <family val="2"/>
    </font>
    <font>
      <b/>
      <sz val="11"/>
      <color indexed="8"/>
      <name val="Calibri"/>
      <family val="2"/>
      <scheme val="minor"/>
    </font>
    <font>
      <b/>
      <sz val="14"/>
      <name val="Calibri"/>
      <family val="2"/>
      <scheme val="minor"/>
    </font>
    <font>
      <sz val="16"/>
      <name val="Arial"/>
      <family val="2"/>
    </font>
    <font>
      <b/>
      <sz val="12"/>
      <color theme="1"/>
      <name val="Calibri"/>
      <family val="2"/>
      <scheme val="minor"/>
    </font>
    <font>
      <b/>
      <sz val="20"/>
      <color theme="1"/>
      <name val="Calibri"/>
      <family val="2"/>
      <scheme val="minor"/>
    </font>
    <font>
      <u/>
      <sz val="11"/>
      <color theme="10"/>
      <name val="Calibri"/>
      <family val="2"/>
      <scheme val="minor"/>
    </font>
    <font>
      <sz val="10"/>
      <name val="Arial"/>
      <family val="2"/>
    </font>
    <font>
      <u/>
      <sz val="10"/>
      <color indexed="12"/>
      <name val="Arial"/>
      <family val="2"/>
    </font>
    <font>
      <sz val="10"/>
      <color theme="1"/>
      <name val="Rockwell"/>
      <family val="2"/>
    </font>
    <font>
      <b/>
      <sz val="10"/>
      <color rgb="FFFF0000"/>
      <name val="Calibri"/>
      <family val="2"/>
      <scheme val="minor"/>
    </font>
    <font>
      <b/>
      <sz val="20"/>
      <color rgb="FFFF0000"/>
      <name val="Calibri"/>
      <family val="2"/>
      <scheme val="minor"/>
    </font>
    <font>
      <sz val="15"/>
      <color theme="1"/>
      <name val="Calibri"/>
      <family val="2"/>
      <scheme val="minor"/>
    </font>
    <font>
      <b/>
      <sz val="15"/>
      <color theme="1"/>
      <name val="Calibri"/>
      <family val="2"/>
      <scheme val="minor"/>
    </font>
    <font>
      <b/>
      <sz val="15"/>
      <color theme="1"/>
      <name val="Arial Black"/>
      <family val="2"/>
    </font>
    <font>
      <sz val="15"/>
      <color theme="1"/>
      <name val="Comic Sans MS"/>
      <family val="4"/>
    </font>
    <font>
      <b/>
      <sz val="14"/>
      <color theme="0"/>
      <name val="Arial"/>
      <family val="2"/>
    </font>
    <font>
      <sz val="8"/>
      <name val="Calibri"/>
      <family val="2"/>
      <scheme val="minor"/>
    </font>
    <font>
      <sz val="14"/>
      <color theme="1"/>
      <name val="Arial"/>
      <family val="2"/>
    </font>
    <font>
      <b/>
      <sz val="18"/>
      <color theme="1"/>
      <name val="Calibri"/>
      <family val="2"/>
      <scheme val="minor"/>
    </font>
    <font>
      <sz val="11"/>
      <color indexed="8"/>
      <name val="Calibri"/>
      <family val="2"/>
    </font>
    <font>
      <b/>
      <sz val="14"/>
      <color theme="1"/>
      <name val="Arial Black"/>
      <family val="2"/>
    </font>
    <font>
      <sz val="16"/>
      <color theme="1"/>
      <name val="Comic Sans MS"/>
      <family val="4"/>
    </font>
    <font>
      <b/>
      <sz val="16"/>
      <color theme="1"/>
      <name val="Comic Sans MS"/>
      <family val="4"/>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rgb="FF00B0F0"/>
        <bgColor indexed="64"/>
      </patternFill>
    </fill>
  </fills>
  <borders count="6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right style="thin">
        <color indexed="64"/>
      </right>
      <top/>
      <bottom/>
      <diagonal/>
    </border>
    <border>
      <left style="thin">
        <color indexed="64"/>
      </left>
      <right style="medium">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s>
  <cellStyleXfs count="91">
    <xf numFmtId="0" fontId="0" fillId="0" borderId="0"/>
    <xf numFmtId="0" fontId="16" fillId="0" borderId="0"/>
    <xf numFmtId="0" fontId="22" fillId="0" borderId="0" applyNumberFormat="0" applyFill="0" applyBorder="0" applyAlignment="0" applyProtection="0"/>
    <xf numFmtId="0" fontId="1" fillId="0" borderId="0"/>
    <xf numFmtId="0" fontId="23" fillId="0" borderId="0"/>
    <xf numFmtId="0" fontId="24"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5" fillId="0" borderId="0"/>
    <xf numFmtId="9" fontId="25" fillId="0" borderId="0" applyFont="0" applyFill="0" applyBorder="0" applyAlignment="0" applyProtection="0"/>
    <xf numFmtId="165"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36" fillId="0" borderId="0" applyFont="0" applyFill="0" applyBorder="0" applyAlignment="0" applyProtection="0"/>
    <xf numFmtId="9" fontId="36" fillId="0" borderId="0" applyFont="0" applyFill="0" applyBorder="0" applyAlignment="0" applyProtection="0"/>
    <xf numFmtId="164" fontId="1" fillId="0" borderId="0" applyFont="0" applyFill="0" applyBorder="0" applyAlignment="0" applyProtection="0"/>
    <xf numFmtId="164" fontId="3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cellStyleXfs>
  <cellXfs count="252">
    <xf numFmtId="0" fontId="0" fillId="0" borderId="0" xfId="0"/>
    <xf numFmtId="0" fontId="1" fillId="2" borderId="0" xfId="0" applyFont="1" applyFill="1" applyProtection="1">
      <protection locked="0"/>
    </xf>
    <xf numFmtId="0" fontId="5" fillId="2" borderId="0" xfId="0" applyFont="1" applyFill="1" applyAlignment="1" applyProtection="1">
      <alignment horizontal="left"/>
      <protection locked="0"/>
    </xf>
    <xf numFmtId="0" fontId="2" fillId="2" borderId="0" xfId="0" applyFont="1" applyFill="1" applyAlignment="1" applyProtection="1">
      <alignment horizontal="center" vertical="center"/>
      <protection locked="0"/>
    </xf>
    <xf numFmtId="0" fontId="6" fillId="2" borderId="0" xfId="0" applyFont="1" applyFill="1" applyProtection="1">
      <protection locked="0"/>
    </xf>
    <xf numFmtId="0" fontId="4" fillId="2" borderId="13" xfId="0" applyFont="1" applyFill="1" applyBorder="1" applyAlignment="1" applyProtection="1">
      <alignment horizontal="center" vertical="center"/>
      <protection locked="0"/>
    </xf>
    <xf numFmtId="0" fontId="4" fillId="2" borderId="14" xfId="0" applyFont="1" applyFill="1" applyBorder="1" applyAlignment="1" applyProtection="1">
      <alignment horizontal="center" vertical="center"/>
      <protection hidden="1"/>
    </xf>
    <xf numFmtId="0" fontId="6" fillId="2" borderId="17" xfId="0" applyFont="1" applyFill="1" applyBorder="1" applyProtection="1">
      <protection locked="0"/>
    </xf>
    <xf numFmtId="0" fontId="6" fillId="2" borderId="18" xfId="0" applyFont="1" applyFill="1" applyBorder="1" applyAlignment="1" applyProtection="1">
      <alignment vertical="center"/>
      <protection locked="0"/>
    </xf>
    <xf numFmtId="0" fontId="7" fillId="2" borderId="17" xfId="0" applyFont="1" applyFill="1" applyBorder="1" applyProtection="1">
      <protection locked="0"/>
    </xf>
    <xf numFmtId="0" fontId="6" fillId="2" borderId="25" xfId="0" applyFont="1" applyFill="1" applyBorder="1" applyProtection="1">
      <protection locked="0"/>
    </xf>
    <xf numFmtId="0" fontId="6" fillId="2" borderId="23" xfId="0" applyFont="1" applyFill="1" applyBorder="1" applyAlignment="1" applyProtection="1">
      <alignment vertical="center"/>
      <protection locked="0"/>
    </xf>
    <xf numFmtId="0" fontId="1" fillId="2" borderId="0" xfId="0" applyFont="1" applyFill="1" applyAlignment="1" applyProtection="1">
      <alignment horizontal="center" vertical="center"/>
      <protection locked="0"/>
    </xf>
    <xf numFmtId="0" fontId="0" fillId="4" borderId="0" xfId="0" applyFill="1"/>
    <xf numFmtId="0" fontId="9" fillId="2" borderId="6" xfId="0" applyFont="1" applyFill="1" applyBorder="1" applyAlignment="1" applyProtection="1">
      <alignment vertical="center"/>
      <protection locked="0"/>
    </xf>
    <xf numFmtId="0" fontId="10" fillId="2" borderId="7" xfId="0" applyFont="1" applyFill="1" applyBorder="1" applyAlignment="1" applyProtection="1">
      <alignment horizontal="center" vertical="center"/>
      <protection locked="0"/>
    </xf>
    <xf numFmtId="0" fontId="11" fillId="2" borderId="13" xfId="0" applyFont="1" applyFill="1" applyBorder="1" applyAlignment="1">
      <alignment horizontal="left" vertical="center" wrapText="1"/>
    </xf>
    <xf numFmtId="0" fontId="11" fillId="2" borderId="15" xfId="0" applyFont="1" applyFill="1" applyBorder="1" applyAlignment="1">
      <alignment horizontal="left" vertical="center" wrapText="1"/>
    </xf>
    <xf numFmtId="0" fontId="11" fillId="2" borderId="31" xfId="0" applyFont="1" applyFill="1" applyBorder="1" applyAlignment="1">
      <alignment horizontal="left" vertical="center" wrapText="1"/>
    </xf>
    <xf numFmtId="0" fontId="6" fillId="2" borderId="32" xfId="0" applyFont="1" applyFill="1" applyBorder="1" applyProtection="1">
      <protection locked="0"/>
    </xf>
    <xf numFmtId="0" fontId="6" fillId="2" borderId="30" xfId="0" applyFont="1" applyFill="1" applyBorder="1" applyAlignment="1" applyProtection="1">
      <alignment vertical="center"/>
      <protection locked="0"/>
    </xf>
    <xf numFmtId="0" fontId="7" fillId="2" borderId="28" xfId="0" applyFont="1" applyFill="1" applyBorder="1" applyAlignment="1" applyProtection="1">
      <alignment horizontal="center" vertical="center"/>
      <protection hidden="1"/>
    </xf>
    <xf numFmtId="0" fontId="7" fillId="2" borderId="19" xfId="0" applyFont="1" applyFill="1" applyBorder="1" applyAlignment="1" applyProtection="1">
      <alignment horizontal="center" vertical="center"/>
      <protection hidden="1"/>
    </xf>
    <xf numFmtId="0" fontId="7" fillId="2" borderId="21" xfId="0" applyFont="1" applyFill="1" applyBorder="1" applyAlignment="1" applyProtection="1">
      <alignment horizontal="center" vertical="center"/>
      <protection hidden="1"/>
    </xf>
    <xf numFmtId="0" fontId="12" fillId="3" borderId="12" xfId="0" applyFont="1" applyFill="1" applyBorder="1" applyAlignment="1" applyProtection="1">
      <alignment horizontal="center" vertical="center"/>
      <protection locked="0"/>
    </xf>
    <xf numFmtId="0" fontId="13" fillId="3" borderId="9" xfId="0" applyFont="1" applyFill="1" applyBorder="1" applyAlignment="1" applyProtection="1">
      <alignment horizontal="center" vertical="center"/>
      <protection locked="0"/>
    </xf>
    <xf numFmtId="0" fontId="13" fillId="3" borderId="10"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3" fillId="3" borderId="7" xfId="0" applyFont="1" applyFill="1" applyBorder="1" applyAlignment="1" applyProtection="1">
      <alignment horizontal="center" vertical="center" wrapText="1"/>
      <protection locked="0"/>
    </xf>
    <xf numFmtId="0" fontId="14" fillId="3" borderId="11" xfId="0" applyFont="1" applyFill="1" applyBorder="1" applyAlignment="1" applyProtection="1">
      <alignment horizontal="center" vertical="center"/>
      <protection locked="0"/>
    </xf>
    <xf numFmtId="0" fontId="14" fillId="3" borderId="12" xfId="0" applyFont="1" applyFill="1" applyBorder="1" applyAlignment="1" applyProtection="1">
      <alignment horizontal="center" vertical="center"/>
      <protection locked="0"/>
    </xf>
    <xf numFmtId="0" fontId="15" fillId="2" borderId="1" xfId="0" applyFont="1" applyFill="1" applyBorder="1" applyAlignment="1" applyProtection="1">
      <alignment horizontal="center" vertical="center"/>
      <protection locked="0"/>
    </xf>
    <xf numFmtId="0" fontId="7" fillId="2" borderId="33" xfId="0" applyFont="1" applyFill="1" applyBorder="1" applyAlignment="1" applyProtection="1">
      <alignment horizontal="left" vertical="center"/>
      <protection locked="0"/>
    </xf>
    <xf numFmtId="0" fontId="7" fillId="2" borderId="16" xfId="0" applyFont="1" applyFill="1" applyBorder="1" applyAlignment="1" applyProtection="1">
      <alignment horizontal="left" vertical="center"/>
      <protection locked="0"/>
    </xf>
    <xf numFmtId="0" fontId="7" fillId="2" borderId="24" xfId="0" applyFont="1" applyFill="1" applyBorder="1" applyAlignment="1" applyProtection="1">
      <alignment horizontal="left" vertical="center"/>
      <protection locked="0"/>
    </xf>
    <xf numFmtId="0" fontId="4" fillId="2" borderId="14" xfId="0" applyFont="1" applyFill="1" applyBorder="1" applyAlignment="1" applyProtection="1">
      <alignment horizontal="center" vertical="center"/>
      <protection locked="0"/>
    </xf>
    <xf numFmtId="0" fontId="11" fillId="2" borderId="14" xfId="0" applyFont="1" applyFill="1" applyBorder="1" applyAlignment="1">
      <alignment horizontal="left" vertical="center" wrapText="1"/>
    </xf>
    <xf numFmtId="0" fontId="11" fillId="2" borderId="36" xfId="0" applyFont="1" applyFill="1" applyBorder="1" applyAlignment="1">
      <alignment horizontal="left" vertical="center" wrapText="1"/>
    </xf>
    <xf numFmtId="0" fontId="7" fillId="2" borderId="37" xfId="0" applyFont="1" applyFill="1" applyBorder="1" applyAlignment="1" applyProtection="1">
      <alignment horizontal="center" vertical="center"/>
      <protection hidden="1"/>
    </xf>
    <xf numFmtId="0" fontId="6" fillId="2" borderId="38" xfId="0" applyFont="1" applyFill="1" applyBorder="1" applyProtection="1">
      <protection locked="0"/>
    </xf>
    <xf numFmtId="0" fontId="6" fillId="2" borderId="39" xfId="0" applyFont="1" applyFill="1" applyBorder="1" applyAlignment="1" applyProtection="1">
      <alignment vertical="center"/>
      <protection locked="0"/>
    </xf>
    <xf numFmtId="0" fontId="7" fillId="2" borderId="40" xfId="0" applyFont="1" applyFill="1" applyBorder="1" applyAlignment="1" applyProtection="1">
      <alignment horizontal="left" vertical="center"/>
      <protection locked="0"/>
    </xf>
    <xf numFmtId="0" fontId="4" fillId="2" borderId="41" xfId="0" applyFont="1" applyFill="1" applyBorder="1" applyAlignment="1" applyProtection="1">
      <alignment horizontal="center" vertical="center"/>
      <protection hidden="1"/>
    </xf>
    <xf numFmtId="0" fontId="11" fillId="2" borderId="41" xfId="0" applyFont="1" applyFill="1" applyBorder="1" applyAlignment="1">
      <alignment horizontal="left" vertical="center" wrapText="1"/>
    </xf>
    <xf numFmtId="0" fontId="7" fillId="2" borderId="42" xfId="0" applyFont="1" applyFill="1" applyBorder="1" applyAlignment="1" applyProtection="1">
      <alignment horizontal="center" vertical="center"/>
      <protection hidden="1"/>
    </xf>
    <xf numFmtId="0" fontId="6" fillId="2" borderId="43" xfId="0" applyFont="1" applyFill="1" applyBorder="1" applyProtection="1">
      <protection locked="0"/>
    </xf>
    <xf numFmtId="0" fontId="6" fillId="2" borderId="44" xfId="0" applyFont="1" applyFill="1" applyBorder="1" applyAlignment="1" applyProtection="1">
      <alignment vertical="center"/>
      <protection locked="0"/>
    </xf>
    <xf numFmtId="0" fontId="7" fillId="2" borderId="45" xfId="0" applyFont="1" applyFill="1" applyBorder="1" applyAlignment="1" applyProtection="1">
      <alignment horizontal="left" vertical="center"/>
      <protection locked="0"/>
    </xf>
    <xf numFmtId="14" fontId="0" fillId="3" borderId="0" xfId="0" applyNumberFormat="1" applyFill="1"/>
    <xf numFmtId="166" fontId="10" fillId="2" borderId="5" xfId="0" applyNumberFormat="1" applyFont="1" applyFill="1" applyBorder="1" applyAlignment="1" applyProtection="1">
      <alignment horizontal="center" vertical="center"/>
      <protection locked="0"/>
    </xf>
    <xf numFmtId="0" fontId="17" fillId="2" borderId="0" xfId="0" applyFont="1" applyFill="1" applyAlignment="1" applyProtection="1">
      <alignment horizontal="left" vertical="center"/>
      <protection locked="0"/>
    </xf>
    <xf numFmtId="0" fontId="18" fillId="2" borderId="28" xfId="0" applyFont="1" applyFill="1" applyBorder="1" applyAlignment="1" applyProtection="1">
      <alignment horizontal="center" vertical="center"/>
      <protection hidden="1"/>
    </xf>
    <xf numFmtId="0" fontId="19" fillId="2" borderId="14" xfId="0" applyFont="1" applyFill="1" applyBorder="1" applyAlignment="1">
      <alignment horizontal="left" vertical="center" wrapText="1"/>
    </xf>
    <xf numFmtId="0" fontId="1" fillId="2" borderId="47" xfId="0" applyFont="1" applyFill="1" applyBorder="1" applyProtection="1">
      <protection locked="0"/>
    </xf>
    <xf numFmtId="0" fontId="1" fillId="2" borderId="48" xfId="0" applyFont="1" applyFill="1" applyBorder="1" applyProtection="1">
      <protection locked="0"/>
    </xf>
    <xf numFmtId="0" fontId="19" fillId="2" borderId="20" xfId="14" applyFont="1" applyFill="1" applyBorder="1" applyAlignment="1">
      <alignment horizontal="left" vertical="center" wrapText="1"/>
    </xf>
    <xf numFmtId="20" fontId="7" fillId="2" borderId="33" xfId="0" applyNumberFormat="1" applyFont="1" applyFill="1" applyBorder="1" applyAlignment="1" applyProtection="1">
      <alignment horizontal="left" vertical="center"/>
      <protection locked="0"/>
    </xf>
    <xf numFmtId="0" fontId="19" fillId="2" borderId="20" xfId="14" quotePrefix="1" applyFont="1" applyFill="1" applyBorder="1" applyAlignment="1">
      <alignment horizontal="left" vertical="center" wrapText="1"/>
    </xf>
    <xf numFmtId="0" fontId="4" fillId="2" borderId="5" xfId="0" applyFont="1" applyFill="1" applyBorder="1" applyAlignment="1" applyProtection="1">
      <alignment horizontal="center" vertical="center"/>
      <protection locked="0"/>
    </xf>
    <xf numFmtId="166" fontId="4" fillId="2" borderId="49" xfId="0" applyNumberFormat="1" applyFont="1" applyFill="1" applyBorder="1" applyAlignment="1" applyProtection="1">
      <alignment horizontal="center" vertical="center"/>
      <protection hidden="1"/>
    </xf>
    <xf numFmtId="0" fontId="4" fillId="2" borderId="51" xfId="0" applyFont="1" applyFill="1" applyBorder="1" applyAlignment="1" applyProtection="1">
      <alignment horizontal="left" vertical="center"/>
      <protection hidden="1"/>
    </xf>
    <xf numFmtId="0" fontId="28" fillId="2" borderId="0" xfId="0" applyFont="1" applyFill="1" applyProtection="1">
      <protection locked="0"/>
    </xf>
    <xf numFmtId="0" fontId="29" fillId="3" borderId="9" xfId="0" applyFont="1" applyFill="1" applyBorder="1" applyAlignment="1" applyProtection="1">
      <alignment horizontal="center" vertical="center"/>
      <protection locked="0"/>
    </xf>
    <xf numFmtId="0" fontId="30" fillId="3" borderId="2" xfId="0" applyFont="1" applyFill="1" applyBorder="1" applyAlignment="1" applyProtection="1">
      <alignment horizontal="center" vertical="center"/>
      <protection locked="0"/>
    </xf>
    <xf numFmtId="0" fontId="29" fillId="3" borderId="11" xfId="0" applyFont="1" applyFill="1" applyBorder="1" applyAlignment="1" applyProtection="1">
      <alignment horizontal="center" vertical="center"/>
      <protection locked="0"/>
    </xf>
    <xf numFmtId="0" fontId="29" fillId="3" borderId="12"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wrapText="1"/>
      <protection locked="0"/>
    </xf>
    <xf numFmtId="0" fontId="29" fillId="2" borderId="13" xfId="0" applyFont="1" applyFill="1" applyBorder="1" applyAlignment="1" applyProtection="1">
      <alignment horizontal="center" vertical="center"/>
      <protection locked="0"/>
    </xf>
    <xf numFmtId="0" fontId="28" fillId="2" borderId="53" xfId="0" applyFont="1" applyFill="1" applyBorder="1" applyAlignment="1" applyProtection="1">
      <alignment horizontal="center" vertical="center"/>
      <protection hidden="1"/>
    </xf>
    <xf numFmtId="0" fontId="28" fillId="2" borderId="54" xfId="0" applyFont="1" applyFill="1" applyBorder="1" applyProtection="1">
      <protection locked="0"/>
    </xf>
    <xf numFmtId="0" fontId="28" fillId="2" borderId="55" xfId="0" applyFont="1" applyFill="1" applyBorder="1" applyAlignment="1" applyProtection="1">
      <alignment vertical="center"/>
      <protection locked="0"/>
    </xf>
    <xf numFmtId="0" fontId="28" fillId="7" borderId="53" xfId="0" applyFont="1" applyFill="1" applyBorder="1" applyAlignment="1" applyProtection="1">
      <alignment horizontal="left" vertical="center"/>
      <protection locked="0"/>
    </xf>
    <xf numFmtId="0" fontId="29" fillId="2" borderId="14"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Protection="1">
      <protection locked="0"/>
    </xf>
    <xf numFmtId="0" fontId="28" fillId="2" borderId="18" xfId="0" applyFont="1" applyFill="1" applyBorder="1" applyAlignment="1" applyProtection="1">
      <alignment vertical="center"/>
      <protection locked="0"/>
    </xf>
    <xf numFmtId="0" fontId="28" fillId="7" borderId="16" xfId="0" applyFont="1" applyFill="1" applyBorder="1" applyAlignment="1" applyProtection="1">
      <alignment horizontal="left" vertical="center"/>
      <protection locked="0"/>
    </xf>
    <xf numFmtId="0" fontId="28" fillId="7" borderId="16" xfId="0" applyFont="1" applyFill="1" applyBorder="1" applyAlignment="1" applyProtection="1">
      <alignment horizontal="left" vertical="center" wrapText="1"/>
      <protection locked="0"/>
    </xf>
    <xf numFmtId="0" fontId="29" fillId="2" borderId="47"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2" borderId="25" xfId="0" applyFont="1" applyFill="1" applyBorder="1" applyProtection="1">
      <protection locked="0"/>
    </xf>
    <xf numFmtId="0" fontId="28" fillId="2" borderId="23" xfId="0" applyFont="1" applyFill="1" applyBorder="1" applyAlignment="1" applyProtection="1">
      <alignment vertical="center"/>
      <protection locked="0"/>
    </xf>
    <xf numFmtId="0" fontId="28" fillId="7" borderId="24" xfId="0" applyFont="1" applyFill="1" applyBorder="1" applyAlignment="1" applyProtection="1">
      <alignment horizontal="left" vertical="center"/>
      <protection locked="0"/>
    </xf>
    <xf numFmtId="0" fontId="29" fillId="2" borderId="12" xfId="0" applyFont="1" applyFill="1" applyBorder="1" applyAlignment="1" applyProtection="1">
      <alignment horizontal="center" vertical="center"/>
      <protection locked="0"/>
    </xf>
    <xf numFmtId="0" fontId="12" fillId="2" borderId="7" xfId="0" applyFont="1" applyFill="1" applyBorder="1" applyAlignment="1" applyProtection="1">
      <alignment horizontal="center" vertical="center"/>
      <protection locked="0"/>
    </xf>
    <xf numFmtId="0" fontId="12" fillId="3" borderId="11" xfId="0" applyFont="1" applyFill="1" applyBorder="1" applyAlignment="1" applyProtection="1">
      <alignment horizontal="center" vertical="center"/>
      <protection locked="0"/>
    </xf>
    <xf numFmtId="166" fontId="12" fillId="2" borderId="5"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vertical="center"/>
      <protection locked="0"/>
    </xf>
    <xf numFmtId="0" fontId="12" fillId="2" borderId="1" xfId="0" applyFont="1" applyFill="1" applyBorder="1" applyAlignment="1" applyProtection="1">
      <alignment horizontal="center" vertical="center"/>
      <protection locked="0"/>
    </xf>
    <xf numFmtId="0" fontId="7" fillId="2" borderId="0" xfId="0" applyFont="1" applyFill="1" applyProtection="1">
      <protection locked="0"/>
    </xf>
    <xf numFmtId="0" fontId="4" fillId="2" borderId="0" xfId="0" applyFont="1" applyFill="1" applyAlignment="1" applyProtection="1">
      <alignment horizontal="left" vertical="center"/>
      <protection locked="0"/>
    </xf>
    <xf numFmtId="0" fontId="12" fillId="3" borderId="9" xfId="0" applyFont="1" applyFill="1" applyBorder="1" applyAlignment="1" applyProtection="1">
      <alignment horizontal="center" vertical="center"/>
      <protection locked="0"/>
    </xf>
    <xf numFmtId="0" fontId="12" fillId="3" borderId="10" xfId="0" applyFont="1" applyFill="1" applyBorder="1" applyAlignment="1" applyProtection="1">
      <alignment horizontal="center" vertical="center"/>
      <protection locked="0"/>
    </xf>
    <xf numFmtId="0" fontId="12" fillId="3" borderId="6" xfId="0" applyFont="1" applyFill="1" applyBorder="1" applyAlignment="1" applyProtection="1">
      <alignment horizontal="center" vertical="center"/>
      <protection locked="0"/>
    </xf>
    <xf numFmtId="0" fontId="12" fillId="3" borderId="7" xfId="0" applyFont="1" applyFill="1" applyBorder="1" applyAlignment="1" applyProtection="1">
      <alignment horizontal="center" vertical="center" wrapText="1"/>
      <protection locked="0"/>
    </xf>
    <xf numFmtId="0" fontId="7" fillId="2" borderId="32" xfId="0" applyFont="1" applyFill="1" applyBorder="1" applyProtection="1">
      <protection locked="0"/>
    </xf>
    <xf numFmtId="0" fontId="7" fillId="2" borderId="30" xfId="0" applyFont="1" applyFill="1" applyBorder="1" applyAlignment="1" applyProtection="1">
      <alignment vertical="center"/>
      <protection locked="0"/>
    </xf>
    <xf numFmtId="0" fontId="7" fillId="2" borderId="18" xfId="0" applyFont="1" applyFill="1" applyBorder="1" applyAlignment="1" applyProtection="1">
      <alignment vertical="center"/>
      <protection locked="0"/>
    </xf>
    <xf numFmtId="0" fontId="0" fillId="2" borderId="0" xfId="0" applyFill="1" applyProtection="1">
      <protection locked="0"/>
    </xf>
    <xf numFmtId="14" fontId="10" fillId="2" borderId="5" xfId="0" applyNumberFormat="1" applyFont="1" applyFill="1" applyBorder="1" applyAlignment="1" applyProtection="1">
      <alignment horizontal="center" vertical="center"/>
      <protection locked="0"/>
    </xf>
    <xf numFmtId="0" fontId="1" fillId="2" borderId="1" xfId="0" applyFont="1" applyFill="1" applyBorder="1" applyProtection="1">
      <protection locked="0"/>
    </xf>
    <xf numFmtId="0" fontId="7" fillId="2" borderId="32" xfId="0" applyFont="1" applyFill="1" applyBorder="1" applyAlignment="1" applyProtection="1">
      <alignment horizontal="center" vertical="center"/>
      <protection hidden="1"/>
    </xf>
    <xf numFmtId="0" fontId="11" fillId="2" borderId="20" xfId="0" applyFont="1" applyFill="1" applyBorder="1" applyAlignment="1">
      <alignment horizontal="left" vertical="center" wrapText="1"/>
    </xf>
    <xf numFmtId="0" fontId="11" fillId="2" borderId="49" xfId="0" applyFont="1" applyFill="1" applyBorder="1" applyAlignment="1">
      <alignment horizontal="left" vertical="center" wrapText="1"/>
    </xf>
    <xf numFmtId="0" fontId="19" fillId="2" borderId="20" xfId="14" applyFont="1" applyFill="1" applyBorder="1" applyAlignment="1">
      <alignment vertical="center" wrapText="1"/>
    </xf>
    <xf numFmtId="20" fontId="19" fillId="2" borderId="20" xfId="14" applyNumberFormat="1" applyFont="1" applyFill="1" applyBorder="1" applyAlignment="1">
      <alignment vertical="center" wrapText="1"/>
    </xf>
    <xf numFmtId="0" fontId="34" fillId="2" borderId="14" xfId="0" applyFont="1" applyFill="1" applyBorder="1" applyAlignment="1">
      <alignment horizontal="left" vertical="center" wrapText="1"/>
    </xf>
    <xf numFmtId="0" fontId="13" fillId="3" borderId="2"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14" fillId="3" borderId="59" xfId="0" applyFont="1" applyFill="1" applyBorder="1" applyAlignment="1" applyProtection="1">
      <alignment horizontal="center" vertical="center"/>
      <protection locked="0"/>
    </xf>
    <xf numFmtId="0" fontId="13" fillId="3" borderId="4" xfId="0" applyFont="1" applyFill="1" applyBorder="1" applyAlignment="1" applyProtection="1">
      <alignment horizontal="center" vertical="center" wrapText="1"/>
      <protection locked="0"/>
    </xf>
    <xf numFmtId="0" fontId="12" fillId="3" borderId="62" xfId="0" applyFont="1" applyFill="1" applyBorder="1" applyAlignment="1" applyProtection="1">
      <alignment horizontal="center" vertical="center"/>
      <protection locked="0"/>
    </xf>
    <xf numFmtId="0" fontId="7" fillId="2" borderId="20" xfId="0" applyFont="1" applyFill="1" applyBorder="1" applyAlignment="1" applyProtection="1">
      <alignment horizontal="center" vertical="center"/>
      <protection hidden="1"/>
    </xf>
    <xf numFmtId="0" fontId="6" fillId="2" borderId="20" xfId="0" applyFont="1" applyFill="1" applyBorder="1" applyProtection="1">
      <protection locked="0"/>
    </xf>
    <xf numFmtId="0" fontId="6" fillId="2" borderId="20" xfId="0" applyFont="1" applyFill="1" applyBorder="1" applyAlignment="1" applyProtection="1">
      <alignment vertical="center"/>
      <protection locked="0"/>
    </xf>
    <xf numFmtId="0" fontId="10" fillId="2" borderId="20" xfId="0" applyFont="1" applyFill="1" applyBorder="1" applyAlignment="1">
      <alignment horizontal="left" vertical="center" wrapText="1"/>
    </xf>
    <xf numFmtId="0" fontId="1" fillId="2" borderId="41" xfId="0" applyFont="1" applyFill="1" applyBorder="1" applyProtection="1">
      <protection locked="0"/>
    </xf>
    <xf numFmtId="0" fontId="1" fillId="2" borderId="45" xfId="0" applyFont="1" applyFill="1" applyBorder="1" applyProtection="1">
      <protection locked="0"/>
    </xf>
    <xf numFmtId="0" fontId="7" fillId="2" borderId="18" xfId="0" applyFont="1" applyFill="1" applyBorder="1" applyAlignment="1" applyProtection="1">
      <alignment horizontal="left" vertical="center"/>
      <protection locked="0"/>
    </xf>
    <xf numFmtId="0" fontId="7" fillId="2" borderId="63" xfId="0" applyFont="1" applyFill="1" applyBorder="1" applyAlignment="1" applyProtection="1">
      <alignment horizontal="left" vertical="center"/>
      <protection locked="0"/>
    </xf>
    <xf numFmtId="0" fontId="31" fillId="2" borderId="36" xfId="0" applyFont="1" applyFill="1" applyBorder="1" applyAlignment="1">
      <alignment horizontal="left" vertical="center" wrapText="1"/>
    </xf>
    <xf numFmtId="0" fontId="31" fillId="2" borderId="64" xfId="0" applyFont="1" applyFill="1" applyBorder="1" applyAlignment="1">
      <alignment horizontal="left" vertical="center" wrapText="1"/>
    </xf>
    <xf numFmtId="0" fontId="31" fillId="2" borderId="40" xfId="0" applyFont="1" applyFill="1" applyBorder="1" applyAlignment="1">
      <alignment horizontal="left" vertical="center" wrapText="1"/>
    </xf>
    <xf numFmtId="0" fontId="28" fillId="2" borderId="40" xfId="0" applyFont="1" applyFill="1" applyBorder="1" applyAlignment="1" applyProtection="1">
      <alignment horizontal="center" vertical="center"/>
      <protection hidden="1"/>
    </xf>
    <xf numFmtId="0" fontId="28" fillId="2" borderId="38" xfId="0" applyFont="1" applyFill="1" applyBorder="1" applyProtection="1">
      <protection locked="0"/>
    </xf>
    <xf numFmtId="0" fontId="28" fillId="2" borderId="39" xfId="0" applyFont="1" applyFill="1" applyBorder="1" applyAlignment="1" applyProtection="1">
      <alignment vertical="center"/>
      <protection locked="0"/>
    </xf>
    <xf numFmtId="0" fontId="28" fillId="7" borderId="40" xfId="0" applyFont="1" applyFill="1" applyBorder="1" applyAlignment="1" applyProtection="1">
      <alignment horizontal="left" vertical="center"/>
      <protection locked="0"/>
    </xf>
    <xf numFmtId="0" fontId="11" fillId="8" borderId="14" xfId="0" applyFont="1" applyFill="1" applyBorder="1" applyAlignment="1">
      <alignment horizontal="left" vertical="center" wrapText="1"/>
    </xf>
    <xf numFmtId="0" fontId="11" fillId="9" borderId="14" xfId="0" applyFont="1" applyFill="1" applyBorder="1" applyAlignment="1">
      <alignment horizontal="left" vertical="center" wrapText="1"/>
    </xf>
    <xf numFmtId="0" fontId="11" fillId="10" borderId="20" xfId="0" applyFont="1" applyFill="1" applyBorder="1" applyAlignment="1">
      <alignment horizontal="left" vertical="center" wrapText="1"/>
    </xf>
    <xf numFmtId="0" fontId="11" fillId="0" borderId="14" xfId="0" applyFont="1" applyBorder="1" applyAlignment="1">
      <alignment horizontal="left" vertical="center" wrapText="1"/>
    </xf>
    <xf numFmtId="0" fontId="11" fillId="2" borderId="5" xfId="0" applyFont="1" applyFill="1" applyBorder="1" applyAlignment="1">
      <alignment horizontal="left" vertical="center" wrapText="1"/>
    </xf>
    <xf numFmtId="0" fontId="4" fillId="3" borderId="9" xfId="0" applyFont="1" applyFill="1" applyBorder="1" applyAlignment="1" applyProtection="1">
      <alignment horizontal="center" vertical="center"/>
      <protection locked="0"/>
    </xf>
    <xf numFmtId="0" fontId="37" fillId="3" borderId="2" xfId="0" applyFont="1" applyFill="1" applyBorder="1" applyAlignment="1" applyProtection="1">
      <alignment horizontal="center" vertical="center"/>
      <protection locked="0"/>
    </xf>
    <xf numFmtId="0" fontId="4" fillId="3" borderId="11" xfId="0" applyFont="1" applyFill="1" applyBorder="1" applyAlignment="1" applyProtection="1">
      <alignment horizontal="center" vertical="center"/>
      <protection locked="0"/>
    </xf>
    <xf numFmtId="0" fontId="4" fillId="3" borderId="12" xfId="0" applyFont="1" applyFill="1" applyBorder="1" applyAlignment="1" applyProtection="1">
      <alignment horizontal="center" vertical="center"/>
      <protection locked="0"/>
    </xf>
    <xf numFmtId="0" fontId="4" fillId="3" borderId="7" xfId="0" applyFont="1" applyFill="1" applyBorder="1" applyAlignment="1" applyProtection="1">
      <alignment horizontal="center" vertical="center" wrapText="1"/>
      <protection locked="0"/>
    </xf>
    <xf numFmtId="0" fontId="7" fillId="2" borderId="16" xfId="0" applyFont="1" applyFill="1" applyBorder="1" applyAlignment="1" applyProtection="1">
      <alignment horizontal="center" vertical="center"/>
      <protection hidden="1"/>
    </xf>
    <xf numFmtId="0" fontId="7" fillId="7" borderId="16" xfId="0" applyFont="1" applyFill="1" applyBorder="1" applyAlignment="1" applyProtection="1">
      <alignment horizontal="left" vertical="center"/>
      <protection locked="0"/>
    </xf>
    <xf numFmtId="0" fontId="8" fillId="7" borderId="16" xfId="0" applyFont="1" applyFill="1" applyBorder="1" applyAlignment="1" applyProtection="1">
      <alignment horizontal="left" vertical="center" wrapText="1"/>
      <protection locked="0"/>
    </xf>
    <xf numFmtId="0" fontId="4" fillId="2" borderId="12" xfId="0" applyFont="1" applyFill="1" applyBorder="1" applyAlignment="1" applyProtection="1">
      <alignment horizontal="center" vertical="center"/>
      <protection locked="0"/>
    </xf>
    <xf numFmtId="0" fontId="31" fillId="2" borderId="16" xfId="0" applyFont="1" applyFill="1" applyBorder="1" applyAlignment="1">
      <alignment horizontal="left" vertical="center" wrapText="1"/>
    </xf>
    <xf numFmtId="0" fontId="31" fillId="2" borderId="24" xfId="0" applyFont="1" applyFill="1" applyBorder="1" applyAlignment="1">
      <alignment horizontal="left" vertical="center" wrapText="1"/>
    </xf>
    <xf numFmtId="0" fontId="29" fillId="3" borderId="1" xfId="0" applyFont="1" applyFill="1" applyBorder="1" applyAlignment="1" applyProtection="1">
      <alignment horizontal="center" vertical="center"/>
      <protection locked="0"/>
    </xf>
    <xf numFmtId="0" fontId="31" fillId="2" borderId="33" xfId="0" applyFont="1" applyFill="1" applyBorder="1" applyAlignment="1">
      <alignment horizontal="left" vertical="center" wrapText="1"/>
    </xf>
    <xf numFmtId="0" fontId="28" fillId="2" borderId="33" xfId="0" applyFont="1" applyFill="1" applyBorder="1" applyAlignment="1" applyProtection="1">
      <alignment horizontal="center" vertical="center"/>
      <protection hidden="1"/>
    </xf>
    <xf numFmtId="0" fontId="28" fillId="2" borderId="32" xfId="0" applyFont="1" applyFill="1" applyBorder="1" applyProtection="1">
      <protection locked="0"/>
    </xf>
    <xf numFmtId="0" fontId="28" fillId="2" borderId="30" xfId="0" applyFont="1" applyFill="1" applyBorder="1" applyAlignment="1" applyProtection="1">
      <alignment vertical="center"/>
      <protection locked="0"/>
    </xf>
    <xf numFmtId="0" fontId="28" fillId="7" borderId="33" xfId="0" applyFont="1" applyFill="1" applyBorder="1" applyAlignment="1" applyProtection="1">
      <alignment horizontal="left" vertical="center"/>
      <protection locked="0"/>
    </xf>
    <xf numFmtId="0" fontId="29" fillId="3" borderId="65" xfId="0" applyFont="1" applyFill="1" applyBorder="1" applyAlignment="1" applyProtection="1">
      <alignment horizontal="center" vertical="center"/>
      <protection locked="0"/>
    </xf>
    <xf numFmtId="0" fontId="29" fillId="3" borderId="59" xfId="0" applyFont="1" applyFill="1" applyBorder="1" applyAlignment="1" applyProtection="1">
      <alignment horizontal="center" vertical="center"/>
      <protection locked="0"/>
    </xf>
    <xf numFmtId="0" fontId="29" fillId="3" borderId="4" xfId="0" applyFont="1" applyFill="1" applyBorder="1" applyAlignment="1" applyProtection="1">
      <alignment horizontal="center" vertical="center" wrapText="1"/>
      <protection locked="0"/>
    </xf>
    <xf numFmtId="14" fontId="7" fillId="2" borderId="33" xfId="0" applyNumberFormat="1" applyFont="1" applyFill="1" applyBorder="1" applyAlignment="1" applyProtection="1">
      <alignment horizontal="left" vertical="center"/>
      <protection locked="0"/>
    </xf>
    <xf numFmtId="0" fontId="1" fillId="2" borderId="28" xfId="0" applyFont="1" applyFill="1" applyBorder="1" applyAlignment="1" applyProtection="1">
      <alignment horizontal="center"/>
      <protection locked="0"/>
    </xf>
    <xf numFmtId="0" fontId="1" fillId="2" borderId="29" xfId="0" applyFont="1" applyFill="1" applyBorder="1" applyAlignment="1" applyProtection="1">
      <alignment horizontal="center"/>
      <protection locked="0"/>
    </xf>
    <xf numFmtId="0" fontId="1" fillId="2" borderId="19" xfId="0" applyFont="1" applyFill="1" applyBorder="1" applyAlignment="1" applyProtection="1">
      <alignment horizontal="center"/>
      <protection locked="0"/>
    </xf>
    <xf numFmtId="0" fontId="1" fillId="2" borderId="20" xfId="0" applyFont="1" applyFill="1" applyBorder="1" applyAlignment="1" applyProtection="1">
      <alignment horizontal="center"/>
      <protection locked="0"/>
    </xf>
    <xf numFmtId="0" fontId="1" fillId="2" borderId="21" xfId="0" applyFont="1" applyFill="1" applyBorder="1" applyAlignment="1" applyProtection="1">
      <alignment horizontal="center"/>
      <protection locked="0"/>
    </xf>
    <xf numFmtId="0" fontId="1" fillId="2" borderId="22" xfId="0" applyFont="1" applyFill="1" applyBorder="1" applyAlignment="1" applyProtection="1">
      <alignment horizontal="center"/>
      <protection locked="0"/>
    </xf>
    <xf numFmtId="0" fontId="1" fillId="2" borderId="30" xfId="0" applyFont="1" applyFill="1" applyBorder="1" applyAlignment="1" applyProtection="1">
      <alignment horizontal="center"/>
      <protection locked="0"/>
    </xf>
    <xf numFmtId="0" fontId="1" fillId="2" borderId="18" xfId="0" applyFont="1" applyFill="1" applyBorder="1" applyAlignment="1" applyProtection="1">
      <alignment horizontal="center"/>
      <protection locked="0"/>
    </xf>
    <xf numFmtId="0" fontId="1" fillId="2" borderId="23" xfId="0" applyFont="1" applyFill="1" applyBorder="1" applyAlignment="1" applyProtection="1">
      <alignment horizontal="center"/>
      <protection locked="0"/>
    </xf>
    <xf numFmtId="0" fontId="3" fillId="5" borderId="2" xfId="0" applyFont="1" applyFill="1" applyBorder="1" applyAlignment="1" applyProtection="1">
      <alignment horizontal="center" vertical="center"/>
      <protection locked="0"/>
    </xf>
    <xf numFmtId="0" fontId="3" fillId="5" borderId="3" xfId="0" applyFont="1" applyFill="1" applyBorder="1" applyAlignment="1" applyProtection="1">
      <alignment horizontal="center" vertical="center"/>
      <protection locked="0"/>
    </xf>
    <xf numFmtId="0" fontId="3" fillId="5" borderId="4" xfId="0" applyFont="1" applyFill="1" applyBorder="1" applyAlignment="1" applyProtection="1">
      <alignment horizontal="center" vertical="center"/>
      <protection locked="0"/>
    </xf>
    <xf numFmtId="0" fontId="15" fillId="2" borderId="6" xfId="0" applyFont="1" applyFill="1" applyBorder="1" applyAlignment="1" applyProtection="1">
      <alignment horizontal="center" vertical="center"/>
      <protection locked="0"/>
    </xf>
    <xf numFmtId="0" fontId="15" fillId="2" borderId="8" xfId="0" applyFont="1" applyFill="1" applyBorder="1" applyAlignment="1" applyProtection="1">
      <alignment horizontal="center" vertical="center"/>
      <protection locked="0"/>
    </xf>
    <xf numFmtId="0" fontId="20" fillId="2" borderId="6" xfId="0" applyFont="1" applyFill="1" applyBorder="1" applyAlignment="1" applyProtection="1">
      <alignment horizontal="center" vertical="center"/>
      <protection locked="0"/>
    </xf>
    <xf numFmtId="0" fontId="20" fillId="2" borderId="7" xfId="0" applyFont="1" applyFill="1" applyBorder="1" applyAlignment="1" applyProtection="1">
      <alignment horizontal="center" vertical="center"/>
      <protection locked="0"/>
    </xf>
    <xf numFmtId="0" fontId="21" fillId="2" borderId="6" xfId="0" applyFont="1" applyFill="1" applyBorder="1" applyAlignment="1" applyProtection="1">
      <alignment horizontal="center" vertical="center"/>
      <protection locked="0"/>
    </xf>
    <xf numFmtId="0" fontId="21" fillId="2" borderId="8" xfId="0"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0" fontId="12" fillId="2" borderId="7" xfId="0" applyFont="1" applyFill="1" applyBorder="1" applyAlignment="1" applyProtection="1">
      <alignment horizontal="center" vertical="center"/>
      <protection locked="0"/>
    </xf>
    <xf numFmtId="0" fontId="12" fillId="3" borderId="11" xfId="0" applyFont="1" applyFill="1" applyBorder="1" applyAlignment="1" applyProtection="1">
      <alignment horizontal="center" vertical="center"/>
      <protection locked="0"/>
    </xf>
    <xf numFmtId="0" fontId="12" fillId="3" borderId="46"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wrapText="1"/>
      <protection locked="0"/>
    </xf>
    <xf numFmtId="0" fontId="12" fillId="3" borderId="8" xfId="0" applyFont="1" applyFill="1" applyBorder="1" applyAlignment="1" applyProtection="1">
      <alignment horizontal="center" vertical="center" wrapText="1"/>
      <protection locked="0"/>
    </xf>
    <xf numFmtId="0" fontId="12" fillId="3" borderId="35" xfId="0" applyFont="1" applyFill="1" applyBorder="1" applyAlignment="1" applyProtection="1">
      <alignment horizontal="center" vertical="center" wrapText="1"/>
      <protection locked="0"/>
    </xf>
    <xf numFmtId="0" fontId="26" fillId="2" borderId="1" xfId="0" applyFont="1" applyFill="1" applyBorder="1" applyAlignment="1" applyProtection="1">
      <alignment horizontal="center"/>
      <protection locked="0"/>
    </xf>
    <xf numFmtId="0" fontId="3" fillId="6" borderId="2" xfId="0" applyFont="1" applyFill="1" applyBorder="1" applyAlignment="1" applyProtection="1">
      <alignment horizontal="center" vertical="center" wrapText="1"/>
      <protection locked="0"/>
    </xf>
    <xf numFmtId="0" fontId="3" fillId="6" borderId="3" xfId="0" applyFont="1" applyFill="1" applyBorder="1" applyAlignment="1" applyProtection="1">
      <alignment horizontal="center" vertical="center" wrapText="1"/>
      <protection locked="0"/>
    </xf>
    <xf numFmtId="0" fontId="3" fillId="6" borderId="4" xfId="0" applyFont="1" applyFill="1" applyBorder="1" applyAlignment="1" applyProtection="1">
      <alignment horizontal="center" vertical="center" wrapText="1"/>
      <protection locked="0"/>
    </xf>
    <xf numFmtId="0" fontId="3" fillId="6" borderId="41" xfId="0" applyFont="1" applyFill="1" applyBorder="1" applyAlignment="1" applyProtection="1">
      <alignment horizontal="center" vertical="center" wrapText="1"/>
      <protection locked="0"/>
    </xf>
    <xf numFmtId="0" fontId="3" fillId="6" borderId="0" xfId="0" applyFont="1" applyFill="1" applyAlignment="1" applyProtection="1">
      <alignment horizontal="center" vertical="center" wrapText="1"/>
      <protection locked="0"/>
    </xf>
    <xf numFmtId="0" fontId="3" fillId="6" borderId="45" xfId="0" applyFont="1" applyFill="1" applyBorder="1" applyAlignment="1" applyProtection="1">
      <alignment horizontal="center" vertical="center" wrapText="1"/>
      <protection locked="0"/>
    </xf>
    <xf numFmtId="0" fontId="3" fillId="6" borderId="47" xfId="0" applyFont="1" applyFill="1" applyBorder="1" applyAlignment="1" applyProtection="1">
      <alignment horizontal="center" vertical="center" wrapText="1"/>
      <protection locked="0"/>
    </xf>
    <xf numFmtId="0" fontId="3" fillId="6" borderId="50" xfId="0" applyFont="1" applyFill="1" applyBorder="1" applyAlignment="1" applyProtection="1">
      <alignment horizontal="center" vertical="center" wrapText="1"/>
      <protection locked="0"/>
    </xf>
    <xf numFmtId="0" fontId="3" fillId="6" borderId="48" xfId="0" applyFont="1" applyFill="1" applyBorder="1" applyAlignment="1" applyProtection="1">
      <alignment horizontal="center" vertical="center" wrapText="1"/>
      <protection locked="0"/>
    </xf>
    <xf numFmtId="0" fontId="27" fillId="2" borderId="6" xfId="0" applyFont="1" applyFill="1" applyBorder="1" applyAlignment="1" applyProtection="1">
      <alignment horizontal="center" vertical="center"/>
      <protection locked="0"/>
    </xf>
    <xf numFmtId="0" fontId="27" fillId="2" borderId="8" xfId="0" applyFont="1" applyFill="1" applyBorder="1" applyAlignment="1" applyProtection="1">
      <alignment horizontal="center" vertical="center"/>
      <protection locked="0"/>
    </xf>
    <xf numFmtId="0" fontId="27" fillId="2" borderId="7" xfId="0" applyFont="1" applyFill="1" applyBorder="1" applyAlignment="1" applyProtection="1">
      <alignment horizontal="center" vertical="center"/>
      <protection locked="0"/>
    </xf>
    <xf numFmtId="0" fontId="21" fillId="2" borderId="7" xfId="0" applyFont="1" applyFill="1" applyBorder="1" applyAlignment="1" applyProtection="1">
      <alignment horizontal="center" vertical="center"/>
      <protection locked="0"/>
    </xf>
    <xf numFmtId="0" fontId="31" fillId="2" borderId="15" xfId="0" applyFont="1" applyFill="1" applyBorder="1" applyAlignment="1">
      <alignment horizontal="left" vertical="center" wrapText="1"/>
    </xf>
    <xf numFmtId="0" fontId="31" fillId="2" borderId="56" xfId="0" applyFont="1" applyFill="1" applyBorder="1" applyAlignment="1">
      <alignment horizontal="left" vertical="center" wrapText="1"/>
    </xf>
    <xf numFmtId="0" fontId="31" fillId="2" borderId="16" xfId="0" applyFont="1" applyFill="1" applyBorder="1" applyAlignment="1">
      <alignment horizontal="left" vertical="center" wrapText="1"/>
    </xf>
    <xf numFmtId="0" fontId="29" fillId="2" borderId="6" xfId="0" applyFont="1" applyFill="1" applyBorder="1" applyAlignment="1" applyProtection="1">
      <alignment horizontal="center" vertical="center"/>
      <protection locked="0"/>
    </xf>
    <xf numFmtId="0" fontId="29" fillId="2" borderId="7" xfId="0" applyFont="1" applyFill="1" applyBorder="1" applyAlignment="1" applyProtection="1">
      <alignment horizontal="center" vertical="center"/>
      <protection locked="0"/>
    </xf>
    <xf numFmtId="0" fontId="29" fillId="3" borderId="52" xfId="0" applyFont="1" applyFill="1" applyBorder="1" applyAlignment="1" applyProtection="1">
      <alignment horizontal="center" vertical="center"/>
      <protection locked="0"/>
    </xf>
    <xf numFmtId="0" fontId="29" fillId="3" borderId="10" xfId="0" applyFont="1" applyFill="1" applyBorder="1" applyAlignment="1" applyProtection="1">
      <alignment horizontal="center" vertical="center"/>
      <protection locked="0"/>
    </xf>
    <xf numFmtId="0" fontId="31" fillId="2" borderId="19" xfId="0" applyFont="1" applyFill="1" applyBorder="1" applyAlignment="1">
      <alignment horizontal="left" vertical="center" wrapText="1"/>
    </xf>
    <xf numFmtId="0" fontId="31" fillId="2" borderId="20" xfId="0" applyFont="1" applyFill="1" applyBorder="1" applyAlignment="1">
      <alignment horizontal="left" vertical="center" wrapText="1"/>
    </xf>
    <xf numFmtId="0" fontId="31" fillId="2" borderId="18" xfId="0" applyFont="1" applyFill="1" applyBorder="1" applyAlignment="1">
      <alignment horizontal="left" vertical="center" wrapText="1"/>
    </xf>
    <xf numFmtId="0" fontId="31" fillId="2" borderId="21" xfId="0" applyFont="1" applyFill="1" applyBorder="1" applyAlignment="1">
      <alignment horizontal="left" vertical="center" wrapText="1"/>
    </xf>
    <xf numFmtId="0" fontId="31" fillId="2" borderId="22" xfId="0" applyFont="1" applyFill="1" applyBorder="1" applyAlignment="1">
      <alignment horizontal="left" vertical="center" wrapText="1"/>
    </xf>
    <xf numFmtId="0" fontId="31" fillId="2" borderId="23" xfId="0" applyFont="1" applyFill="1" applyBorder="1" applyAlignment="1">
      <alignment horizontal="left" vertical="center" wrapText="1"/>
    </xf>
    <xf numFmtId="0" fontId="29" fillId="2" borderId="26" xfId="0" applyFont="1" applyFill="1" applyBorder="1" applyAlignment="1" applyProtection="1">
      <alignment horizontal="center" vertical="center"/>
      <protection locked="0"/>
    </xf>
    <xf numFmtId="0" fontId="29" fillId="2" borderId="27" xfId="0" applyFont="1" applyFill="1" applyBorder="1" applyAlignment="1" applyProtection="1">
      <alignment horizontal="center" vertical="center"/>
      <protection locked="0"/>
    </xf>
    <xf numFmtId="0" fontId="29" fillId="2" borderId="46" xfId="0" applyFont="1" applyFill="1" applyBorder="1" applyAlignment="1" applyProtection="1">
      <alignment horizontal="center" vertical="center"/>
      <protection locked="0"/>
    </xf>
    <xf numFmtId="0" fontId="0" fillId="2" borderId="29" xfId="0" applyFill="1" applyBorder="1" applyAlignment="1" applyProtection="1">
      <alignment horizontal="center" vertical="center"/>
      <protection locked="0"/>
    </xf>
    <xf numFmtId="0" fontId="31" fillId="2" borderId="13" xfId="0" applyFont="1" applyFill="1" applyBorder="1" applyAlignment="1">
      <alignment horizontal="left" vertical="center" wrapText="1"/>
    </xf>
    <xf numFmtId="0" fontId="31" fillId="2" borderId="57" xfId="0" applyFont="1" applyFill="1" applyBorder="1" applyAlignment="1">
      <alignment horizontal="left" vertical="center" wrapText="1"/>
    </xf>
    <xf numFmtId="0" fontId="31" fillId="2" borderId="53" xfId="0" applyFont="1" applyFill="1" applyBorder="1" applyAlignment="1">
      <alignment horizontal="left" vertical="center" wrapText="1"/>
    </xf>
    <xf numFmtId="0" fontId="38" fillId="2" borderId="15" xfId="0" applyFont="1" applyFill="1" applyBorder="1" applyAlignment="1">
      <alignment horizontal="left" vertical="center" wrapText="1"/>
    </xf>
    <xf numFmtId="0" fontId="38" fillId="2" borderId="56" xfId="0" applyFont="1" applyFill="1" applyBorder="1" applyAlignment="1">
      <alignment horizontal="left" vertical="center" wrapText="1"/>
    </xf>
    <xf numFmtId="0" fontId="38" fillId="2" borderId="16" xfId="0" applyFont="1" applyFill="1" applyBorder="1" applyAlignment="1">
      <alignment horizontal="left" vertical="center" wrapText="1"/>
    </xf>
    <xf numFmtId="0" fontId="38" fillId="2" borderId="19" xfId="0" applyFont="1" applyFill="1" applyBorder="1" applyAlignment="1">
      <alignment horizontal="left" vertical="center" wrapText="1"/>
    </xf>
    <xf numFmtId="0" fontId="38" fillId="2" borderId="20" xfId="0" applyFont="1" applyFill="1" applyBorder="1" applyAlignment="1">
      <alignment horizontal="left" vertical="center" wrapText="1"/>
    </xf>
    <xf numFmtId="0" fontId="38" fillId="2" borderId="18" xfId="0" applyFont="1" applyFill="1" applyBorder="1" applyAlignment="1">
      <alignment horizontal="left" vertical="center" wrapText="1"/>
    </xf>
    <xf numFmtId="0" fontId="4" fillId="2" borderId="26" xfId="0" applyFont="1" applyFill="1" applyBorder="1" applyAlignment="1" applyProtection="1">
      <alignment horizontal="center" vertical="center"/>
      <protection locked="0"/>
    </xf>
    <xf numFmtId="0" fontId="4" fillId="2" borderId="27" xfId="0" applyFont="1" applyFill="1" applyBorder="1" applyAlignment="1" applyProtection="1">
      <alignment horizontal="center" vertical="center"/>
      <protection locked="0"/>
    </xf>
    <xf numFmtId="0" fontId="4" fillId="2" borderId="46" xfId="0" applyFont="1" applyFill="1" applyBorder="1" applyAlignment="1" applyProtection="1">
      <alignment horizontal="center" vertical="center"/>
      <protection locked="0"/>
    </xf>
    <xf numFmtId="0" fontId="4" fillId="2" borderId="6" xfId="0" applyFont="1" applyFill="1" applyBorder="1" applyAlignment="1" applyProtection="1">
      <alignment horizontal="center" vertical="center"/>
      <protection locked="0"/>
    </xf>
    <xf numFmtId="0" fontId="4" fillId="2" borderId="7" xfId="0" applyFont="1" applyFill="1" applyBorder="1" applyAlignment="1" applyProtection="1">
      <alignment horizontal="center" vertical="center"/>
      <protection locked="0"/>
    </xf>
    <xf numFmtId="0" fontId="4" fillId="3" borderId="52" xfId="0" applyFont="1" applyFill="1" applyBorder="1" applyAlignment="1" applyProtection="1">
      <alignment horizontal="center" vertical="center"/>
      <protection locked="0"/>
    </xf>
    <xf numFmtId="0" fontId="4" fillId="3" borderId="10" xfId="0" applyFont="1" applyFill="1" applyBorder="1" applyAlignment="1" applyProtection="1">
      <alignment horizontal="center" vertical="center"/>
      <protection locked="0"/>
    </xf>
    <xf numFmtId="166" fontId="4" fillId="2" borderId="66" xfId="0" applyNumberFormat="1" applyFont="1" applyFill="1" applyBorder="1" applyAlignment="1" applyProtection="1">
      <alignment horizontal="center" vertical="center"/>
      <protection hidden="1"/>
    </xf>
    <xf numFmtId="166" fontId="4" fillId="2" borderId="67" xfId="0" applyNumberFormat="1" applyFont="1" applyFill="1" applyBorder="1" applyAlignment="1" applyProtection="1">
      <alignment horizontal="center" vertical="center"/>
      <protection hidden="1"/>
    </xf>
    <xf numFmtId="0" fontId="31" fillId="2" borderId="31" xfId="0" applyFont="1" applyFill="1" applyBorder="1" applyAlignment="1">
      <alignment horizontal="left" vertical="center" wrapText="1"/>
    </xf>
    <xf numFmtId="0" fontId="31" fillId="2" borderId="58" xfId="0" applyFont="1" applyFill="1" applyBorder="1" applyAlignment="1">
      <alignment horizontal="left" vertical="center" wrapText="1"/>
    </xf>
    <xf numFmtId="0" fontId="31" fillId="2" borderId="24" xfId="0" applyFont="1" applyFill="1" applyBorder="1" applyAlignment="1">
      <alignment horizontal="left" vertical="center" wrapText="1"/>
    </xf>
    <xf numFmtId="0" fontId="38" fillId="2" borderId="6" xfId="0" applyFont="1" applyFill="1" applyBorder="1" applyAlignment="1">
      <alignment horizontal="center" vertical="center" wrapText="1"/>
    </xf>
    <xf numFmtId="0" fontId="38" fillId="2" borderId="8" xfId="0" applyFont="1" applyFill="1" applyBorder="1" applyAlignment="1">
      <alignment horizontal="center" vertical="center" wrapText="1"/>
    </xf>
    <xf numFmtId="0" fontId="38" fillId="2" borderId="7" xfId="0" applyFont="1" applyFill="1" applyBorder="1" applyAlignment="1">
      <alignment horizontal="center" vertical="center" wrapText="1"/>
    </xf>
    <xf numFmtId="0" fontId="31" fillId="2" borderId="15" xfId="0" applyFont="1" applyFill="1" applyBorder="1" applyAlignment="1">
      <alignment horizontal="center" vertical="center" wrapText="1"/>
    </xf>
    <xf numFmtId="0" fontId="31" fillId="2" borderId="56" xfId="0" applyFont="1" applyFill="1" applyBorder="1" applyAlignment="1">
      <alignment horizontal="center" vertical="center" wrapText="1"/>
    </xf>
    <xf numFmtId="0" fontId="31" fillId="2" borderId="16" xfId="0" applyFont="1" applyFill="1" applyBorder="1" applyAlignment="1">
      <alignment horizontal="center" vertical="center" wrapText="1"/>
    </xf>
    <xf numFmtId="0" fontId="31" fillId="2" borderId="28" xfId="0" applyFont="1" applyFill="1" applyBorder="1" applyAlignment="1">
      <alignment horizontal="left" vertical="center" wrapText="1"/>
    </xf>
    <xf numFmtId="0" fontId="31" fillId="2" borderId="29" xfId="0" applyFont="1" applyFill="1" applyBorder="1" applyAlignment="1">
      <alignment horizontal="left" vertical="center" wrapText="1"/>
    </xf>
    <xf numFmtId="0" fontId="31" fillId="2" borderId="30" xfId="0" applyFont="1" applyFill="1" applyBorder="1" applyAlignment="1">
      <alignment horizontal="left" vertical="center" wrapText="1"/>
    </xf>
    <xf numFmtId="0" fontId="32" fillId="5" borderId="2" xfId="0" applyFont="1" applyFill="1" applyBorder="1" applyAlignment="1" applyProtection="1">
      <alignment horizontal="center" vertical="center"/>
      <protection locked="0"/>
    </xf>
    <xf numFmtId="0" fontId="32" fillId="5" borderId="3" xfId="0" applyFont="1" applyFill="1" applyBorder="1" applyAlignment="1" applyProtection="1">
      <alignment horizontal="center" vertical="center"/>
      <protection locked="0"/>
    </xf>
    <xf numFmtId="0" fontId="32" fillId="5" borderId="4" xfId="0" applyFont="1" applyFill="1" applyBorder="1" applyAlignment="1" applyProtection="1">
      <alignment horizontal="center" vertical="center"/>
      <protection locked="0"/>
    </xf>
    <xf numFmtId="0" fontId="12" fillId="2" borderId="8" xfId="0" applyFont="1" applyFill="1" applyBorder="1" applyAlignment="1" applyProtection="1">
      <alignment horizontal="center" vertical="center"/>
      <protection locked="0"/>
    </xf>
    <xf numFmtId="0" fontId="35" fillId="2" borderId="6" xfId="0" applyFont="1" applyFill="1" applyBorder="1" applyAlignment="1" applyProtection="1">
      <alignment horizontal="center" vertical="center"/>
      <protection locked="0"/>
    </xf>
    <xf numFmtId="0" fontId="35" fillId="2" borderId="8" xfId="0" applyFont="1" applyFill="1" applyBorder="1" applyAlignment="1" applyProtection="1">
      <alignment horizontal="center" vertical="center"/>
      <protection locked="0"/>
    </xf>
    <xf numFmtId="0" fontId="12" fillId="3" borderId="26" xfId="0" applyFont="1" applyFill="1" applyBorder="1" applyAlignment="1" applyProtection="1">
      <alignment horizontal="center" vertical="center"/>
      <protection locked="0"/>
    </xf>
    <xf numFmtId="0" fontId="12" fillId="3" borderId="27" xfId="0" applyFont="1" applyFill="1" applyBorder="1" applyAlignment="1" applyProtection="1">
      <alignment horizontal="center" vertical="center"/>
      <protection locked="0"/>
    </xf>
    <xf numFmtId="0" fontId="4" fillId="2" borderId="8" xfId="0" applyFont="1" applyFill="1" applyBorder="1" applyAlignment="1" applyProtection="1">
      <alignment horizontal="center" vertical="center"/>
      <protection locked="0"/>
    </xf>
    <xf numFmtId="0" fontId="12" fillId="3" borderId="60" xfId="0" applyFont="1" applyFill="1" applyBorder="1" applyAlignment="1" applyProtection="1">
      <alignment horizontal="center" vertical="center" wrapText="1"/>
      <protection locked="0"/>
    </xf>
    <xf numFmtId="0" fontId="12" fillId="3" borderId="50" xfId="0" applyFont="1" applyFill="1" applyBorder="1" applyAlignment="1" applyProtection="1">
      <alignment horizontal="center" vertical="center" wrapText="1"/>
      <protection locked="0"/>
    </xf>
    <xf numFmtId="0" fontId="12" fillId="3" borderId="61" xfId="0" applyFont="1" applyFill="1" applyBorder="1" applyAlignment="1" applyProtection="1">
      <alignment horizontal="center" vertical="center" wrapText="1"/>
      <protection locked="0"/>
    </xf>
    <xf numFmtId="0" fontId="20" fillId="2" borderId="8" xfId="0" applyFont="1" applyFill="1" applyBorder="1" applyAlignment="1" applyProtection="1">
      <alignment horizontal="center" vertical="center"/>
      <protection locked="0"/>
    </xf>
  </cellXfs>
  <cellStyles count="91">
    <cellStyle name="Comma 2" xfId="16" xr:uid="{00000000-0005-0000-0000-000000000000}"/>
    <cellStyle name="Comma 2 2" xfId="24" xr:uid="{00000000-0005-0000-0000-000001000000}"/>
    <cellStyle name="Comma 2 3" xfId="19" xr:uid="{00000000-0005-0000-0000-000002000000}"/>
    <cellStyle name="Comma 2 3 2" xfId="26" xr:uid="{00000000-0005-0000-0000-000003000000}"/>
    <cellStyle name="Hyperlink 3" xfId="5" xr:uid="{00000000-0005-0000-0000-000004000000}"/>
    <cellStyle name="Hyperlink 5" xfId="2" xr:uid="{00000000-0005-0000-0000-000005000000}"/>
    <cellStyle name="Milliers 2" xfId="22" xr:uid="{00000000-0005-0000-0000-000006000000}"/>
    <cellStyle name="Milliers 2 2" xfId="25" xr:uid="{00000000-0005-0000-0000-000007000000}"/>
    <cellStyle name="Milliers 3" xfId="17" xr:uid="{00000000-0005-0000-0000-000008000000}"/>
    <cellStyle name="Milliers 3 2" xfId="18" xr:uid="{00000000-0005-0000-0000-000009000000}"/>
    <cellStyle name="Milliers 3 2 2" xfId="20" xr:uid="{00000000-0005-0000-0000-00000A000000}"/>
    <cellStyle name="Milliers 3 2 2 2" xfId="27" xr:uid="{00000000-0005-0000-0000-00000B000000}"/>
    <cellStyle name="Milliers 3 3" xfId="86" xr:uid="{00000000-0005-0000-0000-00000C000000}"/>
    <cellStyle name="Milliers 4" xfId="21" xr:uid="{00000000-0005-0000-0000-00000D000000}"/>
    <cellStyle name="Milliers 5" xfId="64" xr:uid="{00000000-0005-0000-0000-00000E000000}"/>
    <cellStyle name="Normal" xfId="0" builtinId="0"/>
    <cellStyle name="Normal 10" xfId="38" xr:uid="{00000000-0005-0000-0000-000010000000}"/>
    <cellStyle name="Normal 11" xfId="39" xr:uid="{00000000-0005-0000-0000-000011000000}"/>
    <cellStyle name="Normal 12" xfId="40" xr:uid="{00000000-0005-0000-0000-000012000000}"/>
    <cellStyle name="Normal 13" xfId="41" xr:uid="{00000000-0005-0000-0000-000013000000}"/>
    <cellStyle name="Normal 14" xfId="42" xr:uid="{00000000-0005-0000-0000-000014000000}"/>
    <cellStyle name="Normal 15" xfId="43" xr:uid="{00000000-0005-0000-0000-000015000000}"/>
    <cellStyle name="Normal 16" xfId="44" xr:uid="{00000000-0005-0000-0000-000016000000}"/>
    <cellStyle name="Normal 17" xfId="45" xr:uid="{00000000-0005-0000-0000-000017000000}"/>
    <cellStyle name="Normal 18" xfId="46" xr:uid="{00000000-0005-0000-0000-000018000000}"/>
    <cellStyle name="Normal 19" xfId="47" xr:uid="{00000000-0005-0000-0000-000019000000}"/>
    <cellStyle name="Normal 2" xfId="4" xr:uid="{00000000-0005-0000-0000-00001A000000}"/>
    <cellStyle name="Normal 2 2" xfId="13" xr:uid="{00000000-0005-0000-0000-00001B000000}"/>
    <cellStyle name="Normal 20" xfId="48" xr:uid="{00000000-0005-0000-0000-00001C000000}"/>
    <cellStyle name="Normal 21" xfId="6" xr:uid="{00000000-0005-0000-0000-00001D000000}"/>
    <cellStyle name="Normal 22" xfId="49" xr:uid="{00000000-0005-0000-0000-00001E000000}"/>
    <cellStyle name="Normal 22 12" xfId="7" xr:uid="{00000000-0005-0000-0000-00001F000000}"/>
    <cellStyle name="Normal 23" xfId="8" xr:uid="{00000000-0005-0000-0000-000020000000}"/>
    <cellStyle name="Normal 24" xfId="50" xr:uid="{00000000-0005-0000-0000-000021000000}"/>
    <cellStyle name="Normal 24 12" xfId="9" xr:uid="{00000000-0005-0000-0000-000022000000}"/>
    <cellStyle name="Normal 25" xfId="51" xr:uid="{00000000-0005-0000-0000-000023000000}"/>
    <cellStyle name="Normal 26" xfId="52" xr:uid="{00000000-0005-0000-0000-000024000000}"/>
    <cellStyle name="Normal 27" xfId="53" xr:uid="{00000000-0005-0000-0000-000025000000}"/>
    <cellStyle name="Normal 28" xfId="54" xr:uid="{00000000-0005-0000-0000-000026000000}"/>
    <cellStyle name="Normal 29" xfId="10" xr:uid="{00000000-0005-0000-0000-000027000000}"/>
    <cellStyle name="Normal 3" xfId="1" xr:uid="{00000000-0005-0000-0000-000028000000}"/>
    <cellStyle name="Normal 3 2" xfId="14" xr:uid="{00000000-0005-0000-0000-000029000000}"/>
    <cellStyle name="Normal 30" xfId="55" xr:uid="{00000000-0005-0000-0000-00002A000000}"/>
    <cellStyle name="Normal 31" xfId="3" xr:uid="{00000000-0005-0000-0000-00002B000000}"/>
    <cellStyle name="Normal 32" xfId="11" xr:uid="{00000000-0005-0000-0000-00002C000000}"/>
    <cellStyle name="Normal 32 2" xfId="33" xr:uid="{00000000-0005-0000-0000-00002D000000}"/>
    <cellStyle name="Normal 33" xfId="12" xr:uid="{00000000-0005-0000-0000-00002E000000}"/>
    <cellStyle name="Normal 34" xfId="56" xr:uid="{00000000-0005-0000-0000-00002F000000}"/>
    <cellStyle name="Normal 35" xfId="57" xr:uid="{00000000-0005-0000-0000-000030000000}"/>
    <cellStyle name="Normal 36" xfId="58" xr:uid="{00000000-0005-0000-0000-000031000000}"/>
    <cellStyle name="Normal 37" xfId="59" xr:uid="{00000000-0005-0000-0000-000032000000}"/>
    <cellStyle name="Normal 38" xfId="60" xr:uid="{00000000-0005-0000-0000-000033000000}"/>
    <cellStyle name="Normal 39" xfId="61" xr:uid="{00000000-0005-0000-0000-000034000000}"/>
    <cellStyle name="Normal 4" xfId="28" xr:uid="{00000000-0005-0000-0000-000035000000}"/>
    <cellStyle name="Normal 40" xfId="62" xr:uid="{00000000-0005-0000-0000-000036000000}"/>
    <cellStyle name="Normal 41" xfId="63" xr:uid="{00000000-0005-0000-0000-000037000000}"/>
    <cellStyle name="Normal 42" xfId="65" xr:uid="{00000000-0005-0000-0000-000038000000}"/>
    <cellStyle name="Normal 43" xfId="66" xr:uid="{00000000-0005-0000-0000-000039000000}"/>
    <cellStyle name="Normal 44" xfId="67" xr:uid="{00000000-0005-0000-0000-00003A000000}"/>
    <cellStyle name="Normal 45" xfId="68" xr:uid="{00000000-0005-0000-0000-00003B000000}"/>
    <cellStyle name="Normal 46" xfId="69" xr:uid="{00000000-0005-0000-0000-00003C000000}"/>
    <cellStyle name="Normal 47" xfId="70" xr:uid="{00000000-0005-0000-0000-00003D000000}"/>
    <cellStyle name="Normal 48" xfId="71" xr:uid="{00000000-0005-0000-0000-00003E000000}"/>
    <cellStyle name="Normal 49" xfId="72" xr:uid="{00000000-0005-0000-0000-00003F000000}"/>
    <cellStyle name="Normal 5" xfId="29" xr:uid="{00000000-0005-0000-0000-000040000000}"/>
    <cellStyle name="Normal 50" xfId="73" xr:uid="{00000000-0005-0000-0000-000041000000}"/>
    <cellStyle name="Normal 51" xfId="74" xr:uid="{00000000-0005-0000-0000-000042000000}"/>
    <cellStyle name="Normal 52" xfId="75" xr:uid="{00000000-0005-0000-0000-000043000000}"/>
    <cellStyle name="Normal 53" xfId="76" xr:uid="{00000000-0005-0000-0000-000044000000}"/>
    <cellStyle name="Normal 54" xfId="77" xr:uid="{00000000-0005-0000-0000-000045000000}"/>
    <cellStyle name="Normal 55" xfId="78" xr:uid="{00000000-0005-0000-0000-000046000000}"/>
    <cellStyle name="Normal 56" xfId="80" xr:uid="{00000000-0005-0000-0000-000047000000}"/>
    <cellStyle name="Normal 57" xfId="82" xr:uid="{00000000-0005-0000-0000-000048000000}"/>
    <cellStyle name="Normal 58" xfId="83" xr:uid="{00000000-0005-0000-0000-000049000000}"/>
    <cellStyle name="Normal 59" xfId="84" xr:uid="{00000000-0005-0000-0000-00004A000000}"/>
    <cellStyle name="Normal 6" xfId="32" xr:uid="{00000000-0005-0000-0000-00004B000000}"/>
    <cellStyle name="Normal 60" xfId="87" xr:uid="{00000000-0005-0000-0000-00004C000000}"/>
    <cellStyle name="Normal 61" xfId="88" xr:uid="{00000000-0005-0000-0000-00004D000000}"/>
    <cellStyle name="Normal 62" xfId="89" xr:uid="{00000000-0005-0000-0000-00004E000000}"/>
    <cellStyle name="Normal 63" xfId="90" xr:uid="{00000000-0005-0000-0000-00004F000000}"/>
    <cellStyle name="Normal 7" xfId="35" xr:uid="{00000000-0005-0000-0000-000050000000}"/>
    <cellStyle name="Normal 8" xfId="36" xr:uid="{00000000-0005-0000-0000-000051000000}"/>
    <cellStyle name="Normal 9" xfId="37" xr:uid="{00000000-0005-0000-0000-000052000000}"/>
    <cellStyle name="Pourcentage 2" xfId="15" xr:uid="{00000000-0005-0000-0000-000053000000}"/>
    <cellStyle name="Pourcentage 2 2" xfId="23" xr:uid="{00000000-0005-0000-0000-000054000000}"/>
    <cellStyle name="Pourcentage 3" xfId="30" xr:uid="{00000000-0005-0000-0000-000055000000}"/>
    <cellStyle name="Pourcentage 4" xfId="31" xr:uid="{00000000-0005-0000-0000-000056000000}"/>
    <cellStyle name="Pourcentage 4 2" xfId="34" xr:uid="{00000000-0005-0000-0000-000057000000}"/>
    <cellStyle name="Pourcentage 5" xfId="79" xr:uid="{00000000-0005-0000-0000-000058000000}"/>
    <cellStyle name="Pourcentage 6" xfId="81" xr:uid="{00000000-0005-0000-0000-000059000000}"/>
    <cellStyle name="Pourcentage 7" xfId="85" xr:uid="{00000000-0005-0000-0000-00005A000000}"/>
  </cellStyles>
  <dxfs count="144">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
      <font>
        <b/>
        <i val="0"/>
      </font>
      <fill>
        <patternFill>
          <bgColor rgb="FFFF0000"/>
        </patternFill>
      </fill>
    </dxf>
    <dxf>
      <font>
        <b/>
        <i val="0"/>
      </font>
      <fill>
        <patternFill>
          <bgColor theme="5"/>
        </patternFill>
      </fill>
    </dxf>
  </dxfs>
  <tableStyles count="0" defaultTableStyle="TableStyleMedium9" defaultPivotStyle="PivotStyleLight16"/>
  <colors>
    <mruColors>
      <color rgb="FF2D25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3.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xdr:row>
      <xdr:rowOff>3933</xdr:rowOff>
    </xdr:from>
    <xdr:to>
      <xdr:col>2</xdr:col>
      <xdr:colOff>559594</xdr:colOff>
      <xdr:row>4</xdr:row>
      <xdr:rowOff>238125</xdr:rowOff>
    </xdr:to>
    <xdr:pic>
      <xdr:nvPicPr>
        <xdr:cNvPr id="2" name="Picture 3">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2033"/>
          <a:ext cx="940594" cy="72949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4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4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4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4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4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4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4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4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527627</xdr:colOff>
      <xdr:row>3</xdr:row>
      <xdr:rowOff>10002</xdr:rowOff>
    </xdr:to>
    <xdr:pic>
      <xdr:nvPicPr>
        <xdr:cNvPr id="2" name="Picture 3">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7202" cy="78077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435841</xdr:colOff>
      <xdr:row>3</xdr:row>
      <xdr:rowOff>0</xdr:rowOff>
    </xdr:to>
    <xdr:pic>
      <xdr:nvPicPr>
        <xdr:cNvPr id="2" name="Picture 3">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1557"/>
          <a:ext cx="943841" cy="77394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435841</xdr:colOff>
      <xdr:row>3</xdr:row>
      <xdr:rowOff>0</xdr:rowOff>
    </xdr:to>
    <xdr:pic>
      <xdr:nvPicPr>
        <xdr:cNvPr id="2" name="Picture 3">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1141" cy="77076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527627</xdr:colOff>
      <xdr:row>3</xdr:row>
      <xdr:rowOff>10002</xdr:rowOff>
    </xdr:to>
    <xdr:pic>
      <xdr:nvPicPr>
        <xdr:cNvPr id="2" name="Picture 3">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1557"/>
          <a:ext cx="936625" cy="7839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527627</xdr:colOff>
      <xdr:row>3</xdr:row>
      <xdr:rowOff>186391</xdr:rowOff>
    </xdr:to>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7202" cy="78077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527627</xdr:colOff>
      <xdr:row>3</xdr:row>
      <xdr:rowOff>10002</xdr:rowOff>
    </xdr:to>
    <xdr:pic>
      <xdr:nvPicPr>
        <xdr:cNvPr id="2" name="Picture 3">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7202" cy="78077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63500</xdr:colOff>
      <xdr:row>0</xdr:row>
      <xdr:rowOff>0</xdr:rowOff>
    </xdr:from>
    <xdr:to>
      <xdr:col>2</xdr:col>
      <xdr:colOff>619125</xdr:colOff>
      <xdr:row>2</xdr:row>
      <xdr:rowOff>752195</xdr:rowOff>
    </xdr:to>
    <xdr:pic>
      <xdr:nvPicPr>
        <xdr:cNvPr id="2" name="Picture 3">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375" y="0"/>
          <a:ext cx="936625" cy="78394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63500</xdr:colOff>
      <xdr:row>0</xdr:row>
      <xdr:rowOff>0</xdr:rowOff>
    </xdr:from>
    <xdr:to>
      <xdr:col>2</xdr:col>
      <xdr:colOff>619125</xdr:colOff>
      <xdr:row>2</xdr:row>
      <xdr:rowOff>752195</xdr:rowOff>
    </xdr:to>
    <xdr:pic>
      <xdr:nvPicPr>
        <xdr:cNvPr id="2" name="Picture 3">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0" y="0"/>
          <a:ext cx="936625" cy="790295"/>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476250</xdr:colOff>
      <xdr:row>2</xdr:row>
      <xdr:rowOff>781050</xdr:rowOff>
    </xdr:to>
    <xdr:pic>
      <xdr:nvPicPr>
        <xdr:cNvPr id="2" name="Picture 3">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866775" cy="761243"/>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476250</xdr:colOff>
      <xdr:row>2</xdr:row>
      <xdr:rowOff>781050</xdr:rowOff>
    </xdr:to>
    <xdr:pic>
      <xdr:nvPicPr>
        <xdr:cNvPr id="2" name="Picture 3">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866775" cy="761243"/>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476250</xdr:colOff>
      <xdr:row>2</xdr:row>
      <xdr:rowOff>781050</xdr:rowOff>
    </xdr:to>
    <xdr:pic>
      <xdr:nvPicPr>
        <xdr:cNvPr id="2" name="Picture 3">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866775" cy="761243"/>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476250</xdr:colOff>
      <xdr:row>2</xdr:row>
      <xdr:rowOff>781050</xdr:rowOff>
    </xdr:to>
    <xdr:pic>
      <xdr:nvPicPr>
        <xdr:cNvPr id="2" name="Picture 3">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866775" cy="761243"/>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3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4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0</xdr:colOff>
      <xdr:row>2</xdr:row>
      <xdr:rowOff>19807</xdr:rowOff>
    </xdr:from>
    <xdr:to>
      <xdr:col>2</xdr:col>
      <xdr:colOff>539750</xdr:colOff>
      <xdr:row>3</xdr:row>
      <xdr:rowOff>10002</xdr:rowOff>
    </xdr:to>
    <xdr:pic>
      <xdr:nvPicPr>
        <xdr:cNvPr id="2" name="Picture 3">
          <a:extLst>
            <a:ext uri="{FF2B5EF4-FFF2-40B4-BE49-F238E27FC236}">
              <a16:creationId xmlns:a16="http://schemas.microsoft.com/office/drawing/2014/main" id="{00000000-0008-0000-4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907"/>
          <a:ext cx="939800" cy="7807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osss002\public\Departmental%20Data\Packgen\F08%20Financial%20info\Variable%20reports\10%20January%2008\Week%20%202\Variables%20-%20MTD%20Week%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20.241\lines\DOCUME~1\LOUISL~1\LOCALS~1\Temp\OCTEXCLRTS_20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1/LOUISL~1/LOCALS~1/Temp/OCTEXCLRTS_20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EBI%20checklis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ted"/>
      <sheetName val="Line 1-5"/>
      <sheetName val="LINE 1"/>
      <sheetName val="Q LINE 4"/>
      <sheetName val="K LINE"/>
      <sheetName val="PET LINE"/>
      <sheetName val="LINE 4"/>
      <sheetName val="LINE 5"/>
      <sheetName val="LINE 3"/>
      <sheetName val="LINE 2"/>
      <sheetName val="Check"/>
      <sheetName val="SAP"/>
      <sheetName val="Material Codes - RM"/>
      <sheetName val="Sheet3"/>
      <sheetName val="PPV"/>
      <sheetName val="Std Prices"/>
      <sheetName val="Stock on hand"/>
      <sheetName val="Glue"/>
    </sheetNames>
    <sheetDataSet>
      <sheetData sheetId="0"/>
      <sheetData sheetId="1"/>
      <sheetData sheetId="2"/>
      <sheetData sheetId="3"/>
      <sheetData sheetId="4"/>
      <sheetData sheetId="5"/>
      <sheetData sheetId="6"/>
      <sheetData sheetId="7"/>
      <sheetData sheetId="8"/>
      <sheetData sheetId="9"/>
      <sheetData sheetId="10"/>
      <sheetData sheetId="11">
        <row r="5">
          <cell r="C5" t="str">
            <v>Cost Elem.</v>
          </cell>
          <cell r="G5" t="str">
            <v>Value COCurr</v>
          </cell>
          <cell r="H5" t="str">
            <v>Cost CtrMaterial</v>
          </cell>
          <cell r="M5" t="str">
            <v>Cost CtrMaterialBrand Old</v>
          </cell>
          <cell r="Q5" t="str">
            <v>Cost CtrCost Elem.</v>
          </cell>
        </row>
        <row r="6">
          <cell r="C6" t="str">
            <v>400007</v>
          </cell>
          <cell r="G6">
            <v>6100</v>
          </cell>
          <cell r="H6" t="str">
            <v>1289375858</v>
          </cell>
          <cell r="M6" t="str">
            <v>128937585830</v>
          </cell>
          <cell r="Q6" t="str">
            <v>12893400007</v>
          </cell>
        </row>
        <row r="7">
          <cell r="C7" t="str">
            <v>400007</v>
          </cell>
          <cell r="G7">
            <v>1220</v>
          </cell>
          <cell r="H7" t="str">
            <v>1289375858</v>
          </cell>
          <cell r="M7" t="str">
            <v>128937585860</v>
          </cell>
          <cell r="Q7" t="str">
            <v>12893400007</v>
          </cell>
        </row>
        <row r="8">
          <cell r="C8" t="str">
            <v>400007</v>
          </cell>
          <cell r="G8">
            <v>1830</v>
          </cell>
          <cell r="H8" t="str">
            <v>1289375858</v>
          </cell>
          <cell r="M8" t="str">
            <v>128937585830</v>
          </cell>
          <cell r="Q8" t="str">
            <v>12893400007</v>
          </cell>
        </row>
        <row r="9">
          <cell r="C9" t="str">
            <v>400007</v>
          </cell>
          <cell r="G9">
            <v>3660</v>
          </cell>
          <cell r="H9" t="str">
            <v>1289375858</v>
          </cell>
          <cell r="M9" t="str">
            <v>128937585860</v>
          </cell>
          <cell r="Q9" t="str">
            <v>12893400007</v>
          </cell>
        </row>
        <row r="10">
          <cell r="C10" t="str">
            <v>400007</v>
          </cell>
          <cell r="G10">
            <v>1830</v>
          </cell>
          <cell r="H10" t="str">
            <v>1289375858</v>
          </cell>
          <cell r="M10" t="str">
            <v>128937585860</v>
          </cell>
          <cell r="Q10" t="str">
            <v>12893400007</v>
          </cell>
        </row>
        <row r="11">
          <cell r="C11" t="str">
            <v>400007</v>
          </cell>
          <cell r="G11">
            <v>23696</v>
          </cell>
          <cell r="H11" t="str">
            <v>1289366843</v>
          </cell>
          <cell r="M11" t="str">
            <v>128936684360</v>
          </cell>
          <cell r="Q11" t="str">
            <v>12893400007</v>
          </cell>
        </row>
        <row r="12">
          <cell r="C12" t="str">
            <v>400007</v>
          </cell>
          <cell r="G12">
            <v>7849.46</v>
          </cell>
          <cell r="H12" t="str">
            <v>128935260</v>
          </cell>
          <cell r="M12" t="str">
            <v>12893526060</v>
          </cell>
          <cell r="Q12" t="str">
            <v>12893400007</v>
          </cell>
        </row>
        <row r="13">
          <cell r="C13" t="str">
            <v>400007</v>
          </cell>
          <cell r="G13">
            <v>17659.2</v>
          </cell>
          <cell r="H13" t="str">
            <v>12893106011</v>
          </cell>
          <cell r="M13" t="str">
            <v>1289310601160</v>
          </cell>
          <cell r="Q13" t="str">
            <v>12893400007</v>
          </cell>
        </row>
        <row r="14">
          <cell r="C14" t="str">
            <v>400007</v>
          </cell>
          <cell r="G14">
            <v>3126.64</v>
          </cell>
          <cell r="H14" t="str">
            <v>1289318523</v>
          </cell>
          <cell r="M14" t="str">
            <v>12893185230</v>
          </cell>
          <cell r="Q14" t="str">
            <v>12893400007</v>
          </cell>
        </row>
        <row r="15">
          <cell r="C15" t="str">
            <v>400007</v>
          </cell>
          <cell r="G15">
            <v>23696</v>
          </cell>
          <cell r="H15" t="str">
            <v>1289366843</v>
          </cell>
          <cell r="M15" t="str">
            <v>128936684360</v>
          </cell>
          <cell r="Q15" t="str">
            <v>12893400007</v>
          </cell>
        </row>
        <row r="16">
          <cell r="C16" t="str">
            <v>400007</v>
          </cell>
          <cell r="G16">
            <v>10868.49</v>
          </cell>
          <cell r="H16" t="str">
            <v>128935260</v>
          </cell>
          <cell r="M16" t="str">
            <v>12893526060</v>
          </cell>
          <cell r="Q16" t="str">
            <v>12893400007</v>
          </cell>
        </row>
        <row r="17">
          <cell r="C17" t="str">
            <v>400007</v>
          </cell>
          <cell r="G17">
            <v>25159.200000000001</v>
          </cell>
          <cell r="H17" t="str">
            <v>12893106011</v>
          </cell>
          <cell r="M17" t="str">
            <v>1289310601160</v>
          </cell>
          <cell r="Q17" t="str">
            <v>12893400007</v>
          </cell>
        </row>
        <row r="18">
          <cell r="C18" t="str">
            <v>400007</v>
          </cell>
          <cell r="G18">
            <v>21350</v>
          </cell>
          <cell r="H18" t="str">
            <v>1289375858</v>
          </cell>
          <cell r="M18" t="str">
            <v>128937585860</v>
          </cell>
          <cell r="Q18" t="str">
            <v>12893400007</v>
          </cell>
        </row>
        <row r="19">
          <cell r="C19" t="str">
            <v>400007</v>
          </cell>
          <cell r="G19">
            <v>12200</v>
          </cell>
          <cell r="H19" t="str">
            <v>1289475858</v>
          </cell>
          <cell r="M19" t="str">
            <v>1289475858140</v>
          </cell>
          <cell r="Q19" t="str">
            <v>12894400007</v>
          </cell>
        </row>
        <row r="20">
          <cell r="C20" t="str">
            <v>400007</v>
          </cell>
          <cell r="G20">
            <v>6100</v>
          </cell>
          <cell r="H20" t="str">
            <v>1289475858</v>
          </cell>
          <cell r="M20" t="str">
            <v>1289475858140</v>
          </cell>
          <cell r="Q20" t="str">
            <v>12894400007</v>
          </cell>
        </row>
        <row r="21">
          <cell r="C21" t="str">
            <v>400007</v>
          </cell>
          <cell r="G21">
            <v>3660</v>
          </cell>
          <cell r="H21" t="str">
            <v>1289475858</v>
          </cell>
          <cell r="M21" t="str">
            <v>128947585862</v>
          </cell>
          <cell r="Q21" t="str">
            <v>12894400007</v>
          </cell>
        </row>
        <row r="22">
          <cell r="C22" t="str">
            <v>400007</v>
          </cell>
          <cell r="G22">
            <v>3050</v>
          </cell>
          <cell r="H22" t="str">
            <v>1289475858</v>
          </cell>
          <cell r="M22" t="str">
            <v>128947585840</v>
          </cell>
          <cell r="Q22" t="str">
            <v>12894400007</v>
          </cell>
        </row>
        <row r="23">
          <cell r="C23" t="str">
            <v>400007</v>
          </cell>
          <cell r="G23">
            <v>10980</v>
          </cell>
          <cell r="H23" t="str">
            <v>1289475858</v>
          </cell>
          <cell r="M23" t="str">
            <v>128947585862</v>
          </cell>
          <cell r="Q23" t="str">
            <v>12894400007</v>
          </cell>
        </row>
        <row r="24">
          <cell r="C24" t="str">
            <v>400007</v>
          </cell>
          <cell r="G24">
            <v>1220</v>
          </cell>
          <cell r="H24" t="str">
            <v>1289475858</v>
          </cell>
          <cell r="M24" t="str">
            <v>128947585840</v>
          </cell>
          <cell r="Q24" t="str">
            <v>12894400007</v>
          </cell>
        </row>
        <row r="25">
          <cell r="C25" t="str">
            <v>400007</v>
          </cell>
          <cell r="G25">
            <v>3348</v>
          </cell>
          <cell r="H25" t="str">
            <v>1289475859</v>
          </cell>
          <cell r="M25" t="str">
            <v>1289475859140</v>
          </cell>
          <cell r="Q25" t="str">
            <v>12894400007</v>
          </cell>
        </row>
        <row r="26">
          <cell r="C26" t="str">
            <v>400007</v>
          </cell>
          <cell r="G26">
            <v>9265.17</v>
          </cell>
          <cell r="H26" t="str">
            <v>1289475876</v>
          </cell>
          <cell r="M26" t="str">
            <v>1289475876140</v>
          </cell>
          <cell r="Q26" t="str">
            <v>12894400007</v>
          </cell>
        </row>
        <row r="27">
          <cell r="C27" t="str">
            <v>400007</v>
          </cell>
          <cell r="G27">
            <v>3864.35</v>
          </cell>
          <cell r="H27" t="str">
            <v>128945260</v>
          </cell>
          <cell r="M27" t="str">
            <v>128945260140</v>
          </cell>
          <cell r="Q27" t="str">
            <v>12894400007</v>
          </cell>
        </row>
        <row r="28">
          <cell r="C28" t="str">
            <v>400007</v>
          </cell>
          <cell r="G28">
            <v>15351.12</v>
          </cell>
          <cell r="H28" t="str">
            <v>1289475876</v>
          </cell>
          <cell r="M28" t="str">
            <v>128947587640</v>
          </cell>
          <cell r="Q28" t="str">
            <v>12894400007</v>
          </cell>
        </row>
        <row r="29">
          <cell r="C29" t="str">
            <v>400007</v>
          </cell>
          <cell r="G29">
            <v>6472.8</v>
          </cell>
          <cell r="H29" t="str">
            <v>1289475859</v>
          </cell>
          <cell r="M29" t="str">
            <v>128947585940</v>
          </cell>
          <cell r="Q29" t="str">
            <v>12894400007</v>
          </cell>
        </row>
        <row r="30">
          <cell r="C30" t="str">
            <v>400007</v>
          </cell>
          <cell r="G30">
            <v>3985.11</v>
          </cell>
          <cell r="H30" t="str">
            <v>128945260</v>
          </cell>
          <cell r="M30" t="str">
            <v>12894526040</v>
          </cell>
          <cell r="Q30" t="str">
            <v>12894400007</v>
          </cell>
        </row>
        <row r="31">
          <cell r="C31" t="str">
            <v>400007</v>
          </cell>
          <cell r="G31">
            <v>3660</v>
          </cell>
          <cell r="H31" t="str">
            <v>1289475858</v>
          </cell>
          <cell r="M31" t="str">
            <v>1289475858140</v>
          </cell>
          <cell r="Q31" t="str">
            <v>12894400007</v>
          </cell>
        </row>
        <row r="32">
          <cell r="C32" t="str">
            <v>400007</v>
          </cell>
          <cell r="G32">
            <v>5490</v>
          </cell>
          <cell r="H32" t="str">
            <v>1289475858</v>
          </cell>
          <cell r="M32" t="str">
            <v>1289475858140</v>
          </cell>
          <cell r="Q32" t="str">
            <v>12894400007</v>
          </cell>
        </row>
        <row r="33">
          <cell r="C33" t="str">
            <v>400007</v>
          </cell>
          <cell r="G33">
            <v>31720</v>
          </cell>
          <cell r="H33" t="str">
            <v>1289475858</v>
          </cell>
          <cell r="M33" t="str">
            <v>128947585840</v>
          </cell>
          <cell r="Q33" t="str">
            <v>12894400007</v>
          </cell>
        </row>
        <row r="34">
          <cell r="C34" t="str">
            <v>400007</v>
          </cell>
          <cell r="G34">
            <v>-4955.04</v>
          </cell>
          <cell r="H34" t="str">
            <v>1289575859</v>
          </cell>
          <cell r="M34" t="str">
            <v>128957585940</v>
          </cell>
          <cell r="Q34" t="str">
            <v>12895400007</v>
          </cell>
        </row>
        <row r="35">
          <cell r="C35" t="str">
            <v>400007</v>
          </cell>
          <cell r="G35">
            <v>2344.33</v>
          </cell>
          <cell r="H35" t="str">
            <v>1289518523</v>
          </cell>
          <cell r="M35" t="str">
            <v>12895185230</v>
          </cell>
          <cell r="Q35" t="str">
            <v>12895400007</v>
          </cell>
        </row>
        <row r="36">
          <cell r="C36" t="str">
            <v>400007</v>
          </cell>
          <cell r="G36">
            <v>1562.4</v>
          </cell>
          <cell r="H36" t="str">
            <v>1289575859</v>
          </cell>
          <cell r="M36" t="str">
            <v>128957585940</v>
          </cell>
          <cell r="Q36" t="str">
            <v>12895400007</v>
          </cell>
        </row>
        <row r="37">
          <cell r="C37" t="str">
            <v>400007</v>
          </cell>
          <cell r="G37">
            <v>4955.04</v>
          </cell>
          <cell r="H37" t="str">
            <v>1289575859</v>
          </cell>
          <cell r="M37" t="str">
            <v>128957585940</v>
          </cell>
          <cell r="Q37" t="str">
            <v>12895400007</v>
          </cell>
        </row>
        <row r="38">
          <cell r="C38" t="str">
            <v>400007</v>
          </cell>
          <cell r="G38">
            <v>4033.07</v>
          </cell>
          <cell r="H38" t="str">
            <v>1289575876</v>
          </cell>
          <cell r="M38" t="str">
            <v>128957587640</v>
          </cell>
          <cell r="Q38" t="str">
            <v>12895400007</v>
          </cell>
        </row>
        <row r="39">
          <cell r="C39" t="str">
            <v>400007</v>
          </cell>
          <cell r="G39">
            <v>4360.08</v>
          </cell>
          <cell r="H39" t="str">
            <v>1289575876</v>
          </cell>
          <cell r="M39" t="str">
            <v>128957587640</v>
          </cell>
          <cell r="Q39" t="str">
            <v>12895400007</v>
          </cell>
        </row>
        <row r="40">
          <cell r="C40" t="str">
            <v>400007</v>
          </cell>
          <cell r="G40">
            <v>3124.8</v>
          </cell>
          <cell r="H40" t="str">
            <v>1289575859</v>
          </cell>
          <cell r="M40" t="str">
            <v>128957585940</v>
          </cell>
          <cell r="Q40" t="str">
            <v>12895400007</v>
          </cell>
        </row>
        <row r="41">
          <cell r="C41" t="str">
            <v>400007</v>
          </cell>
          <cell r="G41">
            <v>241.52</v>
          </cell>
          <cell r="H41" t="str">
            <v>128955260</v>
          </cell>
          <cell r="M41" t="str">
            <v>12895526040</v>
          </cell>
          <cell r="Q41" t="str">
            <v>12895400007</v>
          </cell>
        </row>
        <row r="42">
          <cell r="C42" t="str">
            <v>400007</v>
          </cell>
          <cell r="G42">
            <v>-6100</v>
          </cell>
          <cell r="H42" t="str">
            <v>1289675858</v>
          </cell>
          <cell r="M42" t="str">
            <v>128967585860</v>
          </cell>
          <cell r="Q42" t="str">
            <v>12896400007</v>
          </cell>
        </row>
        <row r="43">
          <cell r="C43" t="str">
            <v>400007</v>
          </cell>
          <cell r="G43">
            <v>781.44</v>
          </cell>
          <cell r="H43" t="str">
            <v>1289618523</v>
          </cell>
          <cell r="M43" t="str">
            <v>12896185230</v>
          </cell>
          <cell r="Q43" t="str">
            <v>12896400007</v>
          </cell>
        </row>
        <row r="44">
          <cell r="C44" t="str">
            <v>400007</v>
          </cell>
          <cell r="G44">
            <v>10980</v>
          </cell>
          <cell r="H44" t="str">
            <v>1289675858</v>
          </cell>
          <cell r="M44" t="str">
            <v>1289675858140</v>
          </cell>
          <cell r="Q44" t="str">
            <v>12896400007</v>
          </cell>
        </row>
        <row r="45">
          <cell r="C45" t="str">
            <v>400007</v>
          </cell>
          <cell r="G45">
            <v>9760</v>
          </cell>
          <cell r="H45" t="str">
            <v>1289675858</v>
          </cell>
          <cell r="M45" t="str">
            <v>1289675858140</v>
          </cell>
          <cell r="Q45" t="str">
            <v>12896400007</v>
          </cell>
        </row>
        <row r="46">
          <cell r="C46" t="str">
            <v>400007</v>
          </cell>
          <cell r="G46">
            <v>3660</v>
          </cell>
          <cell r="H46" t="str">
            <v>1289675858</v>
          </cell>
          <cell r="M46" t="str">
            <v>128967585860</v>
          </cell>
          <cell r="Q46" t="str">
            <v>12896400007</v>
          </cell>
        </row>
        <row r="47">
          <cell r="C47" t="str">
            <v>400007</v>
          </cell>
          <cell r="G47">
            <v>6710</v>
          </cell>
          <cell r="H47" t="str">
            <v>1289675858</v>
          </cell>
          <cell r="M47" t="str">
            <v>1289675858140</v>
          </cell>
          <cell r="Q47" t="str">
            <v>12896400007</v>
          </cell>
        </row>
        <row r="48">
          <cell r="C48" t="str">
            <v>400007</v>
          </cell>
          <cell r="G48">
            <v>6641.86</v>
          </cell>
          <cell r="H48" t="str">
            <v>128965260</v>
          </cell>
          <cell r="M48" t="str">
            <v>128965260140</v>
          </cell>
          <cell r="Q48" t="str">
            <v>12896400007</v>
          </cell>
        </row>
        <row r="49">
          <cell r="C49" t="str">
            <v>400007</v>
          </cell>
          <cell r="G49">
            <v>8654.4</v>
          </cell>
          <cell r="H49" t="str">
            <v>12896106011</v>
          </cell>
          <cell r="M49" t="str">
            <v>12896106011140</v>
          </cell>
          <cell r="Q49" t="str">
            <v>12896400007</v>
          </cell>
        </row>
        <row r="50">
          <cell r="C50" t="str">
            <v>400007</v>
          </cell>
          <cell r="G50">
            <v>2344.33</v>
          </cell>
          <cell r="H50" t="str">
            <v>1289618523</v>
          </cell>
          <cell r="M50" t="str">
            <v>12896185230</v>
          </cell>
          <cell r="Q50" t="str">
            <v>12896400007</v>
          </cell>
        </row>
        <row r="51">
          <cell r="C51" t="str">
            <v>400007</v>
          </cell>
          <cell r="G51">
            <v>5059.78</v>
          </cell>
          <cell r="H51" t="str">
            <v>1289618523</v>
          </cell>
          <cell r="M51" t="str">
            <v>12896185230</v>
          </cell>
          <cell r="Q51" t="str">
            <v>12896400007</v>
          </cell>
        </row>
        <row r="52">
          <cell r="C52" t="str">
            <v>400007</v>
          </cell>
          <cell r="G52">
            <v>2344.98</v>
          </cell>
          <cell r="H52" t="str">
            <v>1289618523</v>
          </cell>
          <cell r="M52" t="str">
            <v>12896185230</v>
          </cell>
          <cell r="Q52" t="str">
            <v>12896400007</v>
          </cell>
        </row>
        <row r="53">
          <cell r="C53" t="str">
            <v>400007</v>
          </cell>
          <cell r="G53">
            <v>10148.43</v>
          </cell>
          <cell r="H53" t="str">
            <v>1289618523</v>
          </cell>
          <cell r="M53" t="str">
            <v>12896185230</v>
          </cell>
          <cell r="Q53" t="str">
            <v>12896400007</v>
          </cell>
        </row>
        <row r="54">
          <cell r="C54" t="str">
            <v>400007</v>
          </cell>
          <cell r="G54">
            <v>11848</v>
          </cell>
          <cell r="H54" t="str">
            <v>1289666843</v>
          </cell>
          <cell r="M54" t="str">
            <v>1289666843140</v>
          </cell>
          <cell r="Q54" t="str">
            <v>12896400007</v>
          </cell>
        </row>
        <row r="55">
          <cell r="C55" t="str">
            <v>400007</v>
          </cell>
          <cell r="G55">
            <v>11170.39</v>
          </cell>
          <cell r="H55" t="str">
            <v>128965260</v>
          </cell>
          <cell r="M55" t="str">
            <v>128965260140</v>
          </cell>
          <cell r="Q55" t="str">
            <v>12896400007</v>
          </cell>
        </row>
        <row r="56">
          <cell r="C56" t="str">
            <v>400007</v>
          </cell>
          <cell r="G56">
            <v>19814.400000000001</v>
          </cell>
          <cell r="H56" t="str">
            <v>12896106011</v>
          </cell>
          <cell r="M56" t="str">
            <v>12896106011140</v>
          </cell>
          <cell r="Q56" t="str">
            <v>12896400007</v>
          </cell>
        </row>
        <row r="57">
          <cell r="C57" t="str">
            <v>400007</v>
          </cell>
          <cell r="G57">
            <v>50020</v>
          </cell>
          <cell r="H57" t="str">
            <v>1289675858</v>
          </cell>
          <cell r="M57" t="str">
            <v>1289675858140</v>
          </cell>
          <cell r="Q57" t="str">
            <v>12896400007</v>
          </cell>
        </row>
        <row r="58">
          <cell r="C58" t="str">
            <v>400007</v>
          </cell>
          <cell r="G58">
            <v>-1220</v>
          </cell>
          <cell r="H58" t="str">
            <v>1289775858</v>
          </cell>
          <cell r="M58" t="str">
            <v>128977585840</v>
          </cell>
          <cell r="Q58" t="str">
            <v>12897400007</v>
          </cell>
        </row>
        <row r="59">
          <cell r="C59" t="str">
            <v>400007</v>
          </cell>
          <cell r="G59">
            <v>7320</v>
          </cell>
          <cell r="H59" t="str">
            <v>1289775858</v>
          </cell>
          <cell r="M59" t="str">
            <v>128977585840</v>
          </cell>
          <cell r="Q59" t="str">
            <v>12897400007</v>
          </cell>
        </row>
        <row r="60">
          <cell r="C60" t="str">
            <v>400007</v>
          </cell>
          <cell r="G60">
            <v>6100</v>
          </cell>
          <cell r="H60" t="str">
            <v>1289775858</v>
          </cell>
          <cell r="M60" t="str">
            <v>128977585840</v>
          </cell>
          <cell r="Q60" t="str">
            <v>12897400007</v>
          </cell>
        </row>
        <row r="61">
          <cell r="C61" t="str">
            <v>400007</v>
          </cell>
          <cell r="G61">
            <v>7320</v>
          </cell>
          <cell r="H61" t="str">
            <v>1289775858</v>
          </cell>
          <cell r="M61" t="str">
            <v>128977585840</v>
          </cell>
          <cell r="Q61" t="str">
            <v>12897400007</v>
          </cell>
        </row>
        <row r="62">
          <cell r="C62" t="str">
            <v>400007</v>
          </cell>
          <cell r="G62">
            <v>7930</v>
          </cell>
          <cell r="H62" t="str">
            <v>1289775858</v>
          </cell>
          <cell r="M62" t="str">
            <v>128977585840</v>
          </cell>
          <cell r="Q62" t="str">
            <v>12897400007</v>
          </cell>
        </row>
        <row r="63">
          <cell r="C63" t="str">
            <v>400007</v>
          </cell>
          <cell r="G63">
            <v>0</v>
          </cell>
          <cell r="H63" t="str">
            <v>1289718331</v>
          </cell>
          <cell r="M63" t="str">
            <v>12897183310</v>
          </cell>
          <cell r="Q63" t="str">
            <v>12897400007</v>
          </cell>
        </row>
        <row r="64">
          <cell r="C64" t="str">
            <v>400007</v>
          </cell>
          <cell r="G64">
            <v>5059.78</v>
          </cell>
          <cell r="H64" t="str">
            <v>1289718523</v>
          </cell>
          <cell r="M64" t="str">
            <v>12897185230</v>
          </cell>
          <cell r="Q64" t="str">
            <v>12897400007</v>
          </cell>
        </row>
        <row r="65">
          <cell r="C65" t="str">
            <v>400007</v>
          </cell>
          <cell r="G65">
            <v>11848</v>
          </cell>
          <cell r="H65" t="str">
            <v>1289766843</v>
          </cell>
          <cell r="M65" t="str">
            <v>128976684340</v>
          </cell>
          <cell r="Q65" t="str">
            <v>12897400007</v>
          </cell>
        </row>
        <row r="66">
          <cell r="C66" t="str">
            <v>400007</v>
          </cell>
          <cell r="G66">
            <v>17208.439999999999</v>
          </cell>
          <cell r="H66" t="str">
            <v>128975260</v>
          </cell>
          <cell r="M66" t="str">
            <v>12897526040</v>
          </cell>
          <cell r="Q66" t="str">
            <v>12897400007</v>
          </cell>
        </row>
        <row r="67">
          <cell r="C67" t="str">
            <v>400007</v>
          </cell>
          <cell r="G67">
            <v>9546.2199999999993</v>
          </cell>
          <cell r="H67" t="str">
            <v>1289764563</v>
          </cell>
          <cell r="M67" t="str">
            <v>1289764563140</v>
          </cell>
          <cell r="Q67" t="str">
            <v>12897400007</v>
          </cell>
        </row>
        <row r="68">
          <cell r="C68" t="str">
            <v>400007</v>
          </cell>
          <cell r="G68">
            <v>22224</v>
          </cell>
          <cell r="H68" t="str">
            <v>12897106011</v>
          </cell>
          <cell r="M68" t="str">
            <v>1289710601140</v>
          </cell>
          <cell r="Q68" t="str">
            <v>12897400007</v>
          </cell>
        </row>
        <row r="69">
          <cell r="C69" t="str">
            <v>400007</v>
          </cell>
          <cell r="G69">
            <v>2344.98</v>
          </cell>
          <cell r="H69" t="str">
            <v>1289718523</v>
          </cell>
          <cell r="M69" t="str">
            <v>12897185230</v>
          </cell>
          <cell r="Q69" t="str">
            <v>12897400007</v>
          </cell>
        </row>
        <row r="70">
          <cell r="C70" t="str">
            <v>400007</v>
          </cell>
          <cell r="G70">
            <v>29620</v>
          </cell>
          <cell r="H70" t="str">
            <v>1289766843</v>
          </cell>
          <cell r="M70" t="str">
            <v>128976684340</v>
          </cell>
          <cell r="Q70" t="str">
            <v>12897400007</v>
          </cell>
        </row>
        <row r="71">
          <cell r="C71" t="str">
            <v>400007</v>
          </cell>
          <cell r="G71">
            <v>21133.18</v>
          </cell>
          <cell r="H71" t="str">
            <v>128975260</v>
          </cell>
          <cell r="M71" t="str">
            <v>12897526040</v>
          </cell>
          <cell r="Q71" t="str">
            <v>12897400007</v>
          </cell>
        </row>
        <row r="72">
          <cell r="C72" t="str">
            <v>400007</v>
          </cell>
          <cell r="G72">
            <v>27398.400000000001</v>
          </cell>
          <cell r="H72" t="str">
            <v>12897106011</v>
          </cell>
          <cell r="M72" t="str">
            <v>1289710601140</v>
          </cell>
          <cell r="Q72" t="str">
            <v>12897400007</v>
          </cell>
        </row>
        <row r="73">
          <cell r="C73" t="str">
            <v>400007</v>
          </cell>
          <cell r="G73">
            <v>34160</v>
          </cell>
          <cell r="H73" t="str">
            <v>1289775858</v>
          </cell>
          <cell r="M73" t="str">
            <v>128977585840</v>
          </cell>
          <cell r="Q73" t="str">
            <v>12897400007</v>
          </cell>
        </row>
        <row r="74">
          <cell r="C74" t="str">
            <v>403203</v>
          </cell>
          <cell r="G74">
            <v>45.19</v>
          </cell>
          <cell r="H74" t="str">
            <v>1289285712</v>
          </cell>
          <cell r="M74" t="str">
            <v>128928571210</v>
          </cell>
          <cell r="Q74" t="str">
            <v>12892403203</v>
          </cell>
        </row>
        <row r="75">
          <cell r="C75" t="str">
            <v>403203</v>
          </cell>
          <cell r="G75">
            <v>85.56</v>
          </cell>
          <cell r="H75" t="str">
            <v>1289285711</v>
          </cell>
          <cell r="M75" t="str">
            <v>128928571110</v>
          </cell>
          <cell r="Q75" t="str">
            <v>12892403203</v>
          </cell>
        </row>
        <row r="76">
          <cell r="C76" t="str">
            <v>403203</v>
          </cell>
          <cell r="G76">
            <v>41.96</v>
          </cell>
          <cell r="H76" t="str">
            <v>1289285023</v>
          </cell>
          <cell r="M76" t="str">
            <v>128928502310</v>
          </cell>
          <cell r="Q76" t="str">
            <v>12892403203</v>
          </cell>
        </row>
        <row r="77">
          <cell r="C77" t="str">
            <v>403203</v>
          </cell>
          <cell r="G77">
            <v>41.15</v>
          </cell>
          <cell r="H77" t="str">
            <v>1289285003</v>
          </cell>
          <cell r="M77" t="str">
            <v>128928500310</v>
          </cell>
          <cell r="Q77" t="str">
            <v>12892403203</v>
          </cell>
        </row>
        <row r="78">
          <cell r="C78" t="str">
            <v>405001</v>
          </cell>
          <cell r="G78">
            <v>190958.54</v>
          </cell>
          <cell r="H78" t="str">
            <v>12895136301</v>
          </cell>
          <cell r="M78" t="str">
            <v>1289513630160</v>
          </cell>
          <cell r="Q78" t="str">
            <v>12895405001</v>
          </cell>
        </row>
        <row r="79">
          <cell r="C79" t="str">
            <v>405001</v>
          </cell>
          <cell r="G79">
            <v>145492.22</v>
          </cell>
          <cell r="H79" t="str">
            <v>12895136299</v>
          </cell>
          <cell r="M79" t="str">
            <v>12895136299140</v>
          </cell>
          <cell r="Q79" t="str">
            <v>12895405001</v>
          </cell>
        </row>
        <row r="80">
          <cell r="C80" t="str">
            <v>405001</v>
          </cell>
          <cell r="G80">
            <v>189343.53</v>
          </cell>
          <cell r="H80" t="str">
            <v>12895137983</v>
          </cell>
          <cell r="M80" t="str">
            <v>1289513798330</v>
          </cell>
          <cell r="Q80" t="str">
            <v>12895405001</v>
          </cell>
        </row>
        <row r="81">
          <cell r="C81" t="str">
            <v>405001</v>
          </cell>
          <cell r="G81">
            <v>281487.86</v>
          </cell>
          <cell r="H81" t="str">
            <v>12895136306</v>
          </cell>
          <cell r="M81" t="str">
            <v>1289513630640</v>
          </cell>
          <cell r="Q81" t="str">
            <v>12895405001</v>
          </cell>
        </row>
        <row r="82">
          <cell r="C82" t="str">
            <v>405001</v>
          </cell>
          <cell r="G82">
            <v>95479.27</v>
          </cell>
          <cell r="H82" t="str">
            <v>12895136297</v>
          </cell>
          <cell r="M82" t="str">
            <v>1289513629740</v>
          </cell>
          <cell r="Q82" t="str">
            <v>12895405001</v>
          </cell>
        </row>
        <row r="83">
          <cell r="C83" t="str">
            <v>405001</v>
          </cell>
          <cell r="G83">
            <v>53960.6</v>
          </cell>
          <cell r="H83" t="str">
            <v>12895136308</v>
          </cell>
          <cell r="M83" t="str">
            <v>1289513630830</v>
          </cell>
          <cell r="Q83" t="str">
            <v>12895405001</v>
          </cell>
        </row>
        <row r="84">
          <cell r="C84" t="str">
            <v>405001</v>
          </cell>
          <cell r="G84">
            <v>72316.05</v>
          </cell>
          <cell r="H84" t="str">
            <v>12895136309</v>
          </cell>
          <cell r="M84" t="str">
            <v>1289513630960</v>
          </cell>
          <cell r="Q84" t="str">
            <v>12895405001</v>
          </cell>
        </row>
        <row r="85">
          <cell r="C85" t="str">
            <v>405001</v>
          </cell>
          <cell r="G85">
            <v>55066.35</v>
          </cell>
          <cell r="H85" t="str">
            <v>12895136310</v>
          </cell>
          <cell r="M85" t="str">
            <v>12895136310140</v>
          </cell>
          <cell r="Q85" t="str">
            <v>12895405001</v>
          </cell>
        </row>
        <row r="86">
          <cell r="C86" t="str">
            <v>405001</v>
          </cell>
          <cell r="G86">
            <v>82267.8</v>
          </cell>
          <cell r="H86" t="str">
            <v>12895136310</v>
          </cell>
          <cell r="M86" t="str">
            <v>1289513631040</v>
          </cell>
          <cell r="Q86" t="str">
            <v>12895405001</v>
          </cell>
        </row>
        <row r="87">
          <cell r="C87" t="str">
            <v>405001</v>
          </cell>
          <cell r="G87">
            <v>36047.449999999997</v>
          </cell>
          <cell r="H87" t="str">
            <v>12895136310</v>
          </cell>
          <cell r="M87" t="str">
            <v>1289513631040</v>
          </cell>
          <cell r="Q87" t="str">
            <v>12895405001</v>
          </cell>
        </row>
        <row r="88">
          <cell r="C88" t="str">
            <v>405001</v>
          </cell>
          <cell r="G88">
            <v>193851.71</v>
          </cell>
          <cell r="H88" t="str">
            <v>12895137983</v>
          </cell>
          <cell r="M88" t="str">
            <v>1289513798330</v>
          </cell>
          <cell r="Q88" t="str">
            <v>12895405001</v>
          </cell>
        </row>
        <row r="89">
          <cell r="C89" t="str">
            <v>405001</v>
          </cell>
          <cell r="G89">
            <v>55287.5</v>
          </cell>
          <cell r="H89" t="str">
            <v>12895136308</v>
          </cell>
          <cell r="M89" t="str">
            <v>1289513630830</v>
          </cell>
          <cell r="Q89" t="str">
            <v>12895405001</v>
          </cell>
        </row>
        <row r="90">
          <cell r="C90" t="str">
            <v>405001</v>
          </cell>
          <cell r="G90">
            <v>317350.24</v>
          </cell>
          <cell r="H90" t="str">
            <v>12895136310</v>
          </cell>
          <cell r="M90" t="str">
            <v>1289513631040</v>
          </cell>
          <cell r="Q90" t="str">
            <v>12895405001</v>
          </cell>
        </row>
        <row r="91">
          <cell r="C91" t="str">
            <v>405001</v>
          </cell>
          <cell r="G91">
            <v>1081968.98</v>
          </cell>
          <cell r="H91" t="str">
            <v>12895136306</v>
          </cell>
          <cell r="M91" t="str">
            <v>1289513630640</v>
          </cell>
          <cell r="Q91" t="str">
            <v>12895405001</v>
          </cell>
        </row>
        <row r="92">
          <cell r="C92" t="str">
            <v>405005</v>
          </cell>
          <cell r="G92">
            <v>-298256.64000000001</v>
          </cell>
          <cell r="H92" t="str">
            <v>1289461882</v>
          </cell>
          <cell r="M92" t="str">
            <v>128946188260</v>
          </cell>
          <cell r="Q92" t="str">
            <v>12894405005</v>
          </cell>
        </row>
        <row r="93">
          <cell r="C93" t="str">
            <v>405005</v>
          </cell>
          <cell r="G93">
            <v>-133006.34</v>
          </cell>
          <cell r="H93" t="str">
            <v>1289475804</v>
          </cell>
          <cell r="M93" t="str">
            <v>128947580440</v>
          </cell>
          <cell r="Q93" t="str">
            <v>12894405005</v>
          </cell>
        </row>
        <row r="94">
          <cell r="C94" t="str">
            <v>405005</v>
          </cell>
          <cell r="G94">
            <v>602908.15</v>
          </cell>
          <cell r="H94" t="str">
            <v>1289475805</v>
          </cell>
          <cell r="M94" t="str">
            <v>128947580562</v>
          </cell>
          <cell r="Q94" t="str">
            <v>12894405005</v>
          </cell>
        </row>
        <row r="95">
          <cell r="C95" t="str">
            <v>405005</v>
          </cell>
          <cell r="G95">
            <v>609410.9</v>
          </cell>
          <cell r="H95" t="str">
            <v>1289475804</v>
          </cell>
          <cell r="M95" t="str">
            <v>128947580440</v>
          </cell>
          <cell r="Q95" t="str">
            <v>12894405005</v>
          </cell>
        </row>
        <row r="96">
          <cell r="C96" t="str">
            <v>405005</v>
          </cell>
          <cell r="G96">
            <v>342166.53</v>
          </cell>
          <cell r="H96" t="str">
            <v>1289474434</v>
          </cell>
          <cell r="M96" t="str">
            <v>1289474434140</v>
          </cell>
          <cell r="Q96" t="str">
            <v>12894405005</v>
          </cell>
        </row>
        <row r="97">
          <cell r="C97" t="str">
            <v>405005</v>
          </cell>
          <cell r="G97">
            <v>250355.33</v>
          </cell>
          <cell r="H97" t="str">
            <v>1289474434</v>
          </cell>
          <cell r="M97" t="str">
            <v>1289474434140</v>
          </cell>
          <cell r="Q97" t="str">
            <v>12894405005</v>
          </cell>
        </row>
        <row r="98">
          <cell r="C98" t="str">
            <v>405005</v>
          </cell>
          <cell r="G98">
            <v>120914.86</v>
          </cell>
          <cell r="H98" t="str">
            <v>1289475804</v>
          </cell>
          <cell r="M98" t="str">
            <v>128947580440</v>
          </cell>
          <cell r="Q98" t="str">
            <v>12894405005</v>
          </cell>
        </row>
        <row r="99">
          <cell r="C99" t="str">
            <v>405005</v>
          </cell>
          <cell r="G99">
            <v>339666.56</v>
          </cell>
          <cell r="H99" t="str">
            <v>1289475805</v>
          </cell>
          <cell r="M99" t="str">
            <v>128947580562</v>
          </cell>
          <cell r="Q99" t="str">
            <v>12894405005</v>
          </cell>
        </row>
        <row r="100">
          <cell r="C100" t="str">
            <v>405005</v>
          </cell>
          <cell r="G100">
            <v>1412285.57</v>
          </cell>
          <cell r="H100" t="str">
            <v>1289475804</v>
          </cell>
          <cell r="M100" t="str">
            <v>128947580440</v>
          </cell>
          <cell r="Q100" t="str">
            <v>12894405005</v>
          </cell>
        </row>
        <row r="101">
          <cell r="C101" t="str">
            <v>405005</v>
          </cell>
          <cell r="G101">
            <v>995431.52</v>
          </cell>
          <cell r="H101" t="str">
            <v>1289461882</v>
          </cell>
          <cell r="M101" t="str">
            <v>128946188260</v>
          </cell>
          <cell r="Q101" t="str">
            <v>12894405005</v>
          </cell>
        </row>
        <row r="102">
          <cell r="C102" t="str">
            <v>405005</v>
          </cell>
          <cell r="G102">
            <v>845508.74</v>
          </cell>
          <cell r="H102" t="str">
            <v>1289474434</v>
          </cell>
          <cell r="M102" t="str">
            <v>1289474434140</v>
          </cell>
          <cell r="Q102" t="str">
            <v>12894405005</v>
          </cell>
        </row>
        <row r="103">
          <cell r="C103" t="str">
            <v>405006</v>
          </cell>
          <cell r="G103">
            <v>-19021.2</v>
          </cell>
          <cell r="H103" t="str">
            <v>1289375844</v>
          </cell>
          <cell r="M103" t="str">
            <v>128937584430</v>
          </cell>
          <cell r="Q103" t="str">
            <v>12893405006</v>
          </cell>
        </row>
        <row r="104">
          <cell r="C104" t="str">
            <v>405006</v>
          </cell>
          <cell r="G104">
            <v>-25387.8</v>
          </cell>
          <cell r="H104" t="str">
            <v>1289375844</v>
          </cell>
          <cell r="M104" t="str">
            <v>128937584430</v>
          </cell>
          <cell r="Q104" t="str">
            <v>12893405006</v>
          </cell>
        </row>
        <row r="105">
          <cell r="C105" t="str">
            <v>405006</v>
          </cell>
          <cell r="G105">
            <v>-46928.160000000003</v>
          </cell>
          <cell r="H105" t="str">
            <v>12893136980</v>
          </cell>
          <cell r="M105" t="str">
            <v>1289313698060</v>
          </cell>
          <cell r="Q105" t="str">
            <v>12893405006</v>
          </cell>
        </row>
        <row r="106">
          <cell r="C106" t="str">
            <v>405006</v>
          </cell>
          <cell r="G106">
            <v>-57.83</v>
          </cell>
          <cell r="H106" t="str">
            <v>12893136980</v>
          </cell>
          <cell r="M106" t="str">
            <v>1289313698060</v>
          </cell>
          <cell r="Q106" t="str">
            <v>12893405006</v>
          </cell>
        </row>
        <row r="107">
          <cell r="C107" t="str">
            <v>405006</v>
          </cell>
          <cell r="G107">
            <v>57928.2</v>
          </cell>
          <cell r="H107" t="str">
            <v>1289375844</v>
          </cell>
          <cell r="M107" t="str">
            <v>128937584430</v>
          </cell>
          <cell r="Q107" t="str">
            <v>12893405006</v>
          </cell>
        </row>
        <row r="108">
          <cell r="C108" t="str">
            <v>405006</v>
          </cell>
          <cell r="G108">
            <v>32263.11</v>
          </cell>
          <cell r="H108" t="str">
            <v>12893136980</v>
          </cell>
          <cell r="M108" t="str">
            <v>1289313698060</v>
          </cell>
          <cell r="Q108" t="str">
            <v>12893405006</v>
          </cell>
        </row>
        <row r="109">
          <cell r="C109" t="str">
            <v>405006</v>
          </cell>
          <cell r="G109">
            <v>24992.55</v>
          </cell>
          <cell r="H109" t="str">
            <v>12893136980</v>
          </cell>
          <cell r="M109" t="str">
            <v>1289313698060</v>
          </cell>
          <cell r="Q109" t="str">
            <v>12893405006</v>
          </cell>
        </row>
        <row r="110">
          <cell r="C110" t="str">
            <v>405006</v>
          </cell>
          <cell r="G110">
            <v>24992.55</v>
          </cell>
          <cell r="H110" t="str">
            <v>12893136980</v>
          </cell>
          <cell r="M110" t="str">
            <v>1289313698060</v>
          </cell>
          <cell r="Q110" t="str">
            <v>12893405006</v>
          </cell>
        </row>
        <row r="111">
          <cell r="C111" t="str">
            <v>405006</v>
          </cell>
          <cell r="G111">
            <v>25387.8</v>
          </cell>
          <cell r="H111" t="str">
            <v>1289375844</v>
          </cell>
          <cell r="M111" t="str">
            <v>128937584430</v>
          </cell>
          <cell r="Q111" t="str">
            <v>12893405006</v>
          </cell>
        </row>
        <row r="112">
          <cell r="C112" t="str">
            <v>405006</v>
          </cell>
          <cell r="G112">
            <v>15995.1</v>
          </cell>
          <cell r="H112" t="str">
            <v>12893136469</v>
          </cell>
          <cell r="M112" t="str">
            <v>1289313646910</v>
          </cell>
          <cell r="Q112" t="str">
            <v>12893405006</v>
          </cell>
        </row>
        <row r="113">
          <cell r="C113" t="str">
            <v>405006</v>
          </cell>
          <cell r="G113">
            <v>39771.599999999999</v>
          </cell>
          <cell r="H113" t="str">
            <v>1289375844</v>
          </cell>
          <cell r="M113" t="str">
            <v>128937584430</v>
          </cell>
          <cell r="Q113" t="str">
            <v>12893405006</v>
          </cell>
        </row>
        <row r="114">
          <cell r="C114" t="str">
            <v>405006</v>
          </cell>
          <cell r="G114">
            <v>74605.86</v>
          </cell>
          <cell r="H114" t="str">
            <v>12893136980</v>
          </cell>
          <cell r="M114" t="str">
            <v>1289313698060</v>
          </cell>
          <cell r="Q114" t="str">
            <v>12893405006</v>
          </cell>
        </row>
        <row r="115">
          <cell r="C115" t="str">
            <v>405006</v>
          </cell>
          <cell r="G115">
            <v>40003.199999999997</v>
          </cell>
          <cell r="H115" t="str">
            <v>12894137002</v>
          </cell>
          <cell r="M115" t="str">
            <v>1289413700260</v>
          </cell>
          <cell r="Q115" t="str">
            <v>12894405006</v>
          </cell>
        </row>
        <row r="116">
          <cell r="C116" t="str">
            <v>405006</v>
          </cell>
          <cell r="G116">
            <v>36864</v>
          </cell>
          <cell r="H116" t="str">
            <v>1289475851</v>
          </cell>
          <cell r="M116" t="str">
            <v>128947585140</v>
          </cell>
          <cell r="Q116" t="str">
            <v>12894405006</v>
          </cell>
        </row>
        <row r="117">
          <cell r="C117" t="str">
            <v>405006</v>
          </cell>
          <cell r="G117">
            <v>41942.400000000001</v>
          </cell>
          <cell r="H117" t="str">
            <v>1289475849</v>
          </cell>
          <cell r="M117" t="str">
            <v>128947584962</v>
          </cell>
          <cell r="Q117" t="str">
            <v>12894405006</v>
          </cell>
        </row>
        <row r="118">
          <cell r="C118" t="str">
            <v>405006</v>
          </cell>
          <cell r="G118">
            <v>36904.400000000001</v>
          </cell>
          <cell r="H118" t="str">
            <v>1289474436</v>
          </cell>
          <cell r="M118" t="str">
            <v>1289474436140</v>
          </cell>
          <cell r="Q118" t="str">
            <v>12894405006</v>
          </cell>
        </row>
        <row r="119">
          <cell r="C119" t="str">
            <v>405006</v>
          </cell>
          <cell r="G119">
            <v>5221.58</v>
          </cell>
          <cell r="H119" t="str">
            <v>1289474436</v>
          </cell>
          <cell r="M119" t="str">
            <v>1289474436140</v>
          </cell>
          <cell r="Q119" t="str">
            <v>12894405006</v>
          </cell>
        </row>
        <row r="120">
          <cell r="C120" t="str">
            <v>405006</v>
          </cell>
          <cell r="G120">
            <v>6917.22</v>
          </cell>
          <cell r="H120" t="str">
            <v>12894137002</v>
          </cell>
          <cell r="M120" t="str">
            <v>1289413700260</v>
          </cell>
          <cell r="Q120" t="str">
            <v>12894405006</v>
          </cell>
        </row>
        <row r="121">
          <cell r="C121" t="str">
            <v>405006</v>
          </cell>
          <cell r="G121">
            <v>8640</v>
          </cell>
          <cell r="H121" t="str">
            <v>1289475851</v>
          </cell>
          <cell r="M121" t="str">
            <v>128947585140</v>
          </cell>
          <cell r="Q121" t="str">
            <v>12894405006</v>
          </cell>
        </row>
        <row r="122">
          <cell r="C122" t="str">
            <v>405006</v>
          </cell>
          <cell r="G122">
            <v>24029.5</v>
          </cell>
          <cell r="H122" t="str">
            <v>1289475849</v>
          </cell>
          <cell r="M122" t="str">
            <v>128947584962</v>
          </cell>
          <cell r="Q122" t="str">
            <v>12894405006</v>
          </cell>
        </row>
        <row r="123">
          <cell r="C123" t="str">
            <v>405006</v>
          </cell>
          <cell r="G123">
            <v>-17721.990000000002</v>
          </cell>
          <cell r="H123" t="str">
            <v>12896136980</v>
          </cell>
          <cell r="M123" t="str">
            <v>1289613698060</v>
          </cell>
          <cell r="Q123" t="str">
            <v>12896405006</v>
          </cell>
        </row>
        <row r="124">
          <cell r="C124" t="str">
            <v>405006</v>
          </cell>
          <cell r="G124">
            <v>-16125</v>
          </cell>
          <cell r="H124" t="str">
            <v>1289674435</v>
          </cell>
          <cell r="M124" t="str">
            <v>1289674435140</v>
          </cell>
          <cell r="Q124" t="str">
            <v>12896405006</v>
          </cell>
        </row>
        <row r="125">
          <cell r="C125" t="str">
            <v>405006</v>
          </cell>
          <cell r="G125">
            <v>-1125</v>
          </cell>
          <cell r="H125" t="str">
            <v>1289674435</v>
          </cell>
          <cell r="M125" t="str">
            <v>1289674435140</v>
          </cell>
          <cell r="Q125" t="str">
            <v>12896405006</v>
          </cell>
        </row>
        <row r="126">
          <cell r="C126" t="str">
            <v>405006</v>
          </cell>
          <cell r="G126">
            <v>21375</v>
          </cell>
          <cell r="H126" t="str">
            <v>1289674435</v>
          </cell>
          <cell r="M126" t="str">
            <v>1289674435140</v>
          </cell>
          <cell r="Q126" t="str">
            <v>12896405006</v>
          </cell>
        </row>
        <row r="127">
          <cell r="C127" t="str">
            <v>405006</v>
          </cell>
          <cell r="G127">
            <v>34875</v>
          </cell>
          <cell r="H127" t="str">
            <v>1289674435</v>
          </cell>
          <cell r="M127" t="str">
            <v>1289674435140</v>
          </cell>
          <cell r="Q127" t="str">
            <v>12896405006</v>
          </cell>
        </row>
        <row r="128">
          <cell r="C128" t="str">
            <v>405006</v>
          </cell>
          <cell r="G128">
            <v>49985.1</v>
          </cell>
          <cell r="H128" t="str">
            <v>12896136980</v>
          </cell>
          <cell r="M128" t="str">
            <v>1289613698060</v>
          </cell>
          <cell r="Q128" t="str">
            <v>12896405006</v>
          </cell>
        </row>
        <row r="129">
          <cell r="C129" t="str">
            <v>405006</v>
          </cell>
          <cell r="G129">
            <v>55892.43</v>
          </cell>
          <cell r="H129" t="str">
            <v>12896136980</v>
          </cell>
          <cell r="M129" t="str">
            <v>1289613698060</v>
          </cell>
          <cell r="Q129" t="str">
            <v>12896405006</v>
          </cell>
        </row>
        <row r="130">
          <cell r="C130" t="str">
            <v>405006</v>
          </cell>
          <cell r="G130">
            <v>92250</v>
          </cell>
          <cell r="H130" t="str">
            <v>1289674435</v>
          </cell>
          <cell r="M130" t="str">
            <v>1289674435140</v>
          </cell>
          <cell r="Q130" t="str">
            <v>12896405006</v>
          </cell>
        </row>
        <row r="131">
          <cell r="C131" t="str">
            <v>405006</v>
          </cell>
          <cell r="G131">
            <v>-67590</v>
          </cell>
          <cell r="H131" t="str">
            <v>1289775842</v>
          </cell>
          <cell r="M131" t="str">
            <v>128977584240</v>
          </cell>
          <cell r="Q131" t="str">
            <v>12897405006</v>
          </cell>
        </row>
        <row r="132">
          <cell r="C132" t="str">
            <v>405006</v>
          </cell>
          <cell r="G132">
            <v>33795</v>
          </cell>
          <cell r="H132" t="str">
            <v>1289775842</v>
          </cell>
          <cell r="M132" t="str">
            <v>128977584240</v>
          </cell>
          <cell r="Q132" t="str">
            <v>12897405006</v>
          </cell>
        </row>
        <row r="133">
          <cell r="C133" t="str">
            <v>405006</v>
          </cell>
          <cell r="G133">
            <v>50692.5</v>
          </cell>
          <cell r="H133" t="str">
            <v>1289775842</v>
          </cell>
          <cell r="M133" t="str">
            <v>128977584240</v>
          </cell>
          <cell r="Q133" t="str">
            <v>12897405006</v>
          </cell>
        </row>
        <row r="134">
          <cell r="C134" t="str">
            <v>405006</v>
          </cell>
          <cell r="G134">
            <v>50692.5</v>
          </cell>
          <cell r="H134" t="str">
            <v>1289775842</v>
          </cell>
          <cell r="M134" t="str">
            <v>128977584240</v>
          </cell>
          <cell r="Q134" t="str">
            <v>12897405006</v>
          </cell>
        </row>
        <row r="135">
          <cell r="C135" t="str">
            <v>405006</v>
          </cell>
          <cell r="G135">
            <v>33795</v>
          </cell>
          <cell r="H135" t="str">
            <v>1289775842</v>
          </cell>
          <cell r="M135" t="str">
            <v>128977584240</v>
          </cell>
          <cell r="Q135" t="str">
            <v>12897405006</v>
          </cell>
        </row>
        <row r="136">
          <cell r="C136" t="str">
            <v>405006</v>
          </cell>
          <cell r="G136">
            <v>72847</v>
          </cell>
          <cell r="H136" t="str">
            <v>1289775842</v>
          </cell>
          <cell r="M136" t="str">
            <v>128977584240</v>
          </cell>
          <cell r="Q136" t="str">
            <v>12897405006</v>
          </cell>
        </row>
        <row r="137">
          <cell r="C137" t="str">
            <v>405006</v>
          </cell>
          <cell r="G137">
            <v>157710</v>
          </cell>
          <cell r="H137" t="str">
            <v>1289775842</v>
          </cell>
          <cell r="M137" t="str">
            <v>128977584240</v>
          </cell>
          <cell r="Q137" t="str">
            <v>12897405006</v>
          </cell>
        </row>
        <row r="138">
          <cell r="C138" t="str">
            <v>405006</v>
          </cell>
          <cell r="G138">
            <v>120873.06</v>
          </cell>
          <cell r="H138" t="str">
            <v>12897136980</v>
          </cell>
          <cell r="M138" t="str">
            <v>1289713698060</v>
          </cell>
          <cell r="Q138" t="str">
            <v>12897405006</v>
          </cell>
        </row>
        <row r="139">
          <cell r="C139" t="str">
            <v>405008</v>
          </cell>
          <cell r="G139">
            <v>-3430.9</v>
          </cell>
          <cell r="H139" t="str">
            <v>12893136461</v>
          </cell>
          <cell r="M139" t="str">
            <v>1289313646110</v>
          </cell>
          <cell r="Q139" t="str">
            <v>12893405008</v>
          </cell>
        </row>
        <row r="140">
          <cell r="C140" t="str">
            <v>405008</v>
          </cell>
          <cell r="G140">
            <v>-2376</v>
          </cell>
          <cell r="H140" t="str">
            <v>12893136462</v>
          </cell>
          <cell r="M140" t="str">
            <v>1289313646210</v>
          </cell>
          <cell r="Q140" t="str">
            <v>12893405008</v>
          </cell>
        </row>
        <row r="141">
          <cell r="C141" t="str">
            <v>405008</v>
          </cell>
          <cell r="G141">
            <v>-636.4</v>
          </cell>
          <cell r="H141" t="str">
            <v>12893136445</v>
          </cell>
          <cell r="M141" t="str">
            <v>1289313644560</v>
          </cell>
          <cell r="Q141" t="str">
            <v>12893405008</v>
          </cell>
        </row>
        <row r="142">
          <cell r="C142" t="str">
            <v>405008</v>
          </cell>
          <cell r="G142">
            <v>-620.49</v>
          </cell>
          <cell r="H142" t="str">
            <v>12893136445</v>
          </cell>
          <cell r="M142" t="str">
            <v>1289313644560</v>
          </cell>
          <cell r="Q142" t="str">
            <v>12893405008</v>
          </cell>
        </row>
        <row r="143">
          <cell r="C143" t="str">
            <v>405008</v>
          </cell>
          <cell r="G143">
            <v>-498.24</v>
          </cell>
          <cell r="H143" t="str">
            <v>1289376390</v>
          </cell>
          <cell r="M143" t="str">
            <v>128937639030</v>
          </cell>
          <cell r="Q143" t="str">
            <v>12893405008</v>
          </cell>
        </row>
        <row r="144">
          <cell r="C144" t="str">
            <v>405008</v>
          </cell>
          <cell r="G144">
            <v>-603.4</v>
          </cell>
          <cell r="H144" t="str">
            <v>1289376389</v>
          </cell>
          <cell r="M144" t="str">
            <v>128937638930</v>
          </cell>
          <cell r="Q144" t="str">
            <v>12893405008</v>
          </cell>
        </row>
        <row r="145">
          <cell r="C145" t="str">
            <v>405008</v>
          </cell>
          <cell r="G145">
            <v>-47788.800000000003</v>
          </cell>
          <cell r="H145" t="str">
            <v>12893136444</v>
          </cell>
          <cell r="M145" t="str">
            <v>1289313644460</v>
          </cell>
          <cell r="Q145" t="str">
            <v>12893405008</v>
          </cell>
        </row>
        <row r="146">
          <cell r="C146" t="str">
            <v>405008</v>
          </cell>
          <cell r="G146">
            <v>-30229</v>
          </cell>
          <cell r="H146" t="str">
            <v>12893136445</v>
          </cell>
          <cell r="M146" t="str">
            <v>1289313644560</v>
          </cell>
          <cell r="Q146" t="str">
            <v>12893405008</v>
          </cell>
        </row>
        <row r="147">
          <cell r="C147" t="str">
            <v>405008</v>
          </cell>
          <cell r="G147">
            <v>27098.720000000001</v>
          </cell>
          <cell r="H147" t="str">
            <v>1289376390</v>
          </cell>
          <cell r="M147" t="str">
            <v>128937639030</v>
          </cell>
          <cell r="Q147" t="str">
            <v>12893405008</v>
          </cell>
        </row>
        <row r="148">
          <cell r="C148" t="str">
            <v>405008</v>
          </cell>
          <cell r="G148">
            <v>16636.599999999999</v>
          </cell>
          <cell r="H148" t="str">
            <v>1289376389</v>
          </cell>
          <cell r="M148" t="str">
            <v>128937638930</v>
          </cell>
          <cell r="Q148" t="str">
            <v>12893405008</v>
          </cell>
        </row>
        <row r="149">
          <cell r="C149" t="str">
            <v>405008</v>
          </cell>
          <cell r="G149">
            <v>10312.32</v>
          </cell>
          <cell r="H149" t="str">
            <v>12893136444</v>
          </cell>
          <cell r="M149" t="str">
            <v>1289313644460</v>
          </cell>
          <cell r="Q149" t="str">
            <v>12893405008</v>
          </cell>
        </row>
        <row r="150">
          <cell r="C150" t="str">
            <v>405008</v>
          </cell>
          <cell r="G150">
            <v>5393.49</v>
          </cell>
          <cell r="H150" t="str">
            <v>12893136445</v>
          </cell>
          <cell r="M150" t="str">
            <v>1289313644560</v>
          </cell>
          <cell r="Q150" t="str">
            <v>12893405008</v>
          </cell>
        </row>
        <row r="151">
          <cell r="C151" t="str">
            <v>405008</v>
          </cell>
          <cell r="G151">
            <v>719.68</v>
          </cell>
          <cell r="H151" t="str">
            <v>1289376390</v>
          </cell>
          <cell r="M151" t="str">
            <v>128937639030</v>
          </cell>
          <cell r="Q151" t="str">
            <v>12893405008</v>
          </cell>
        </row>
        <row r="152">
          <cell r="C152" t="str">
            <v>405008</v>
          </cell>
          <cell r="G152">
            <v>258.60000000000002</v>
          </cell>
          <cell r="H152" t="str">
            <v>1289376389</v>
          </cell>
          <cell r="M152" t="str">
            <v>128937638930</v>
          </cell>
          <cell r="Q152" t="str">
            <v>12893405008</v>
          </cell>
        </row>
        <row r="153">
          <cell r="C153" t="str">
            <v>405008</v>
          </cell>
          <cell r="G153">
            <v>636.4</v>
          </cell>
          <cell r="H153" t="str">
            <v>12893136445</v>
          </cell>
          <cell r="M153" t="str">
            <v>1289313644560</v>
          </cell>
          <cell r="Q153" t="str">
            <v>12893405008</v>
          </cell>
        </row>
        <row r="154">
          <cell r="C154" t="str">
            <v>405008</v>
          </cell>
          <cell r="G154">
            <v>18864</v>
          </cell>
          <cell r="H154" t="str">
            <v>12893136444</v>
          </cell>
          <cell r="M154" t="str">
            <v>1289313644460</v>
          </cell>
          <cell r="Q154" t="str">
            <v>12893405008</v>
          </cell>
        </row>
        <row r="155">
          <cell r="C155" t="str">
            <v>405008</v>
          </cell>
          <cell r="G155">
            <v>9546</v>
          </cell>
          <cell r="H155" t="str">
            <v>12893136445</v>
          </cell>
          <cell r="M155" t="str">
            <v>1289313644560</v>
          </cell>
          <cell r="Q155" t="str">
            <v>12893405008</v>
          </cell>
        </row>
        <row r="156">
          <cell r="C156" t="str">
            <v>405008</v>
          </cell>
          <cell r="G156">
            <v>20121.599999999999</v>
          </cell>
          <cell r="H156" t="str">
            <v>12893136444</v>
          </cell>
          <cell r="M156" t="str">
            <v>1289313644460</v>
          </cell>
          <cell r="Q156" t="str">
            <v>12893405008</v>
          </cell>
        </row>
        <row r="157">
          <cell r="C157" t="str">
            <v>405008</v>
          </cell>
          <cell r="G157">
            <v>10818.8</v>
          </cell>
          <cell r="H157" t="str">
            <v>12893136445</v>
          </cell>
          <cell r="M157" t="str">
            <v>1289313644560</v>
          </cell>
          <cell r="Q157" t="str">
            <v>12893405008</v>
          </cell>
        </row>
        <row r="158">
          <cell r="C158" t="str">
            <v>405008</v>
          </cell>
          <cell r="G158">
            <v>1131.8399999999999</v>
          </cell>
          <cell r="H158" t="str">
            <v>12893136444</v>
          </cell>
          <cell r="M158" t="str">
            <v>1289313644460</v>
          </cell>
          <cell r="Q158" t="str">
            <v>12893405008</v>
          </cell>
        </row>
        <row r="159">
          <cell r="C159" t="str">
            <v>405008</v>
          </cell>
          <cell r="G159">
            <v>12382.43</v>
          </cell>
          <cell r="H159" t="str">
            <v>12893136461</v>
          </cell>
          <cell r="M159" t="str">
            <v>1289313646110</v>
          </cell>
          <cell r="Q159" t="str">
            <v>12893405008</v>
          </cell>
        </row>
        <row r="160">
          <cell r="C160" t="str">
            <v>405008</v>
          </cell>
          <cell r="G160">
            <v>8229.6</v>
          </cell>
          <cell r="H160" t="str">
            <v>12893136462</v>
          </cell>
          <cell r="M160" t="str">
            <v>1289313646210</v>
          </cell>
          <cell r="Q160" t="str">
            <v>12893405008</v>
          </cell>
        </row>
        <row r="161">
          <cell r="C161" t="str">
            <v>405008</v>
          </cell>
          <cell r="G161">
            <v>27901.439999999999</v>
          </cell>
          <cell r="H161" t="str">
            <v>1289376390</v>
          </cell>
          <cell r="M161" t="str">
            <v>128937639030</v>
          </cell>
          <cell r="Q161" t="str">
            <v>12893405008</v>
          </cell>
        </row>
        <row r="162">
          <cell r="C162" t="str">
            <v>405008</v>
          </cell>
          <cell r="G162">
            <v>17257.240000000002</v>
          </cell>
          <cell r="H162" t="str">
            <v>1289376389</v>
          </cell>
          <cell r="M162" t="str">
            <v>128937638930</v>
          </cell>
          <cell r="Q162" t="str">
            <v>12893405008</v>
          </cell>
        </row>
        <row r="163">
          <cell r="C163" t="str">
            <v>405008</v>
          </cell>
          <cell r="G163">
            <v>103563.36</v>
          </cell>
          <cell r="H163" t="str">
            <v>12893136444</v>
          </cell>
          <cell r="M163" t="str">
            <v>1289313644460</v>
          </cell>
          <cell r="Q163" t="str">
            <v>12893405008</v>
          </cell>
        </row>
        <row r="164">
          <cell r="C164" t="str">
            <v>405008</v>
          </cell>
          <cell r="G164">
            <v>51771.14</v>
          </cell>
          <cell r="H164" t="str">
            <v>12893136445</v>
          </cell>
          <cell r="M164" t="str">
            <v>1289313644560</v>
          </cell>
          <cell r="Q164" t="str">
            <v>12893405008</v>
          </cell>
        </row>
        <row r="165">
          <cell r="C165" t="str">
            <v>405008</v>
          </cell>
          <cell r="G165">
            <v>-1389.1</v>
          </cell>
          <cell r="H165" t="str">
            <v>12894133001</v>
          </cell>
          <cell r="M165" t="str">
            <v>1289413300162</v>
          </cell>
          <cell r="Q165" t="str">
            <v>12894405008</v>
          </cell>
        </row>
        <row r="166">
          <cell r="C166" t="str">
            <v>405008</v>
          </cell>
          <cell r="G166">
            <v>10422.02</v>
          </cell>
          <cell r="H166" t="str">
            <v>12894136419</v>
          </cell>
          <cell r="M166" t="str">
            <v>1289413641960</v>
          </cell>
          <cell r="Q166" t="str">
            <v>12894405008</v>
          </cell>
        </row>
        <row r="167">
          <cell r="C167" t="str">
            <v>405008</v>
          </cell>
          <cell r="G167">
            <v>10464.299999999999</v>
          </cell>
          <cell r="H167" t="str">
            <v>12894136420</v>
          </cell>
          <cell r="M167" t="str">
            <v>1289413642060</v>
          </cell>
          <cell r="Q167" t="str">
            <v>12894405008</v>
          </cell>
        </row>
        <row r="168">
          <cell r="C168" t="str">
            <v>405008</v>
          </cell>
          <cell r="G168">
            <v>59616</v>
          </cell>
          <cell r="H168" t="str">
            <v>12894133003</v>
          </cell>
          <cell r="M168" t="str">
            <v>1289413300362</v>
          </cell>
          <cell r="Q168" t="str">
            <v>12894405008</v>
          </cell>
        </row>
        <row r="169">
          <cell r="C169" t="str">
            <v>405008</v>
          </cell>
          <cell r="G169">
            <v>41622</v>
          </cell>
          <cell r="H169" t="str">
            <v>12894130678</v>
          </cell>
          <cell r="M169" t="str">
            <v>12894130678140</v>
          </cell>
          <cell r="Q169" t="str">
            <v>12894405008</v>
          </cell>
        </row>
        <row r="170">
          <cell r="C170" t="str">
            <v>405008</v>
          </cell>
          <cell r="G170">
            <v>64514.1</v>
          </cell>
          <cell r="H170" t="str">
            <v>12894130678</v>
          </cell>
          <cell r="M170" t="str">
            <v>12894130678140</v>
          </cell>
          <cell r="Q170" t="str">
            <v>12894405008</v>
          </cell>
        </row>
        <row r="171">
          <cell r="C171" t="str">
            <v>405008</v>
          </cell>
          <cell r="G171">
            <v>58200</v>
          </cell>
          <cell r="H171" t="str">
            <v>12894133003</v>
          </cell>
          <cell r="M171" t="str">
            <v>1289413300362</v>
          </cell>
          <cell r="Q171" t="str">
            <v>12894405008</v>
          </cell>
        </row>
        <row r="172">
          <cell r="C172" t="str">
            <v>405008</v>
          </cell>
          <cell r="G172">
            <v>17999.400000000001</v>
          </cell>
          <cell r="H172" t="str">
            <v>1289476337</v>
          </cell>
          <cell r="M172" t="str">
            <v>128947633740</v>
          </cell>
          <cell r="Q172" t="str">
            <v>12894405008</v>
          </cell>
        </row>
        <row r="173">
          <cell r="C173" t="str">
            <v>405008</v>
          </cell>
          <cell r="G173">
            <v>7308.49</v>
          </cell>
          <cell r="H173" t="str">
            <v>1289476359</v>
          </cell>
          <cell r="M173" t="str">
            <v>128947635940</v>
          </cell>
          <cell r="Q173" t="str">
            <v>12894405008</v>
          </cell>
        </row>
        <row r="174">
          <cell r="C174" t="str">
            <v>405008</v>
          </cell>
          <cell r="G174">
            <v>23836</v>
          </cell>
          <cell r="H174" t="str">
            <v>1289474387</v>
          </cell>
          <cell r="M174" t="str">
            <v>1289474387140</v>
          </cell>
          <cell r="Q174" t="str">
            <v>12894405008</v>
          </cell>
        </row>
        <row r="175">
          <cell r="C175" t="str">
            <v>405008</v>
          </cell>
          <cell r="G175">
            <v>11920.28</v>
          </cell>
          <cell r="H175" t="str">
            <v>1289474389</v>
          </cell>
          <cell r="M175" t="str">
            <v>1289474389140</v>
          </cell>
          <cell r="Q175" t="str">
            <v>12894405008</v>
          </cell>
        </row>
        <row r="176">
          <cell r="C176" t="str">
            <v>405008</v>
          </cell>
          <cell r="G176">
            <v>37019.040000000001</v>
          </cell>
          <cell r="H176" t="str">
            <v>12894133009</v>
          </cell>
          <cell r="M176" t="str">
            <v>1289413300962</v>
          </cell>
          <cell r="Q176" t="str">
            <v>12894405008</v>
          </cell>
        </row>
        <row r="177">
          <cell r="C177" t="str">
            <v>405008</v>
          </cell>
          <cell r="G177">
            <v>2778.2</v>
          </cell>
          <cell r="H177" t="str">
            <v>12894133001</v>
          </cell>
          <cell r="M177" t="str">
            <v>1289413300162</v>
          </cell>
          <cell r="Q177" t="str">
            <v>12894405008</v>
          </cell>
        </row>
        <row r="178">
          <cell r="C178" t="str">
            <v>405008</v>
          </cell>
          <cell r="G178">
            <v>33506.9</v>
          </cell>
          <cell r="H178" t="str">
            <v>12894136419</v>
          </cell>
          <cell r="M178" t="str">
            <v>1289413641960</v>
          </cell>
          <cell r="Q178" t="str">
            <v>12894405008</v>
          </cell>
        </row>
        <row r="179">
          <cell r="C179" t="str">
            <v>405008</v>
          </cell>
          <cell r="G179">
            <v>33549.18</v>
          </cell>
          <cell r="H179" t="str">
            <v>12894136420</v>
          </cell>
          <cell r="M179" t="str">
            <v>1289413642060</v>
          </cell>
          <cell r="Q179" t="str">
            <v>12894405008</v>
          </cell>
        </row>
        <row r="180">
          <cell r="C180" t="str">
            <v>405008</v>
          </cell>
          <cell r="G180">
            <v>20504</v>
          </cell>
          <cell r="H180" t="str">
            <v>12894133009</v>
          </cell>
          <cell r="M180" t="str">
            <v>1289413300962</v>
          </cell>
          <cell r="Q180" t="str">
            <v>12894405008</v>
          </cell>
        </row>
        <row r="181">
          <cell r="C181" t="str">
            <v>405008</v>
          </cell>
          <cell r="G181">
            <v>13172.5</v>
          </cell>
          <cell r="H181" t="str">
            <v>12894133001</v>
          </cell>
          <cell r="M181" t="str">
            <v>1289413300162</v>
          </cell>
          <cell r="Q181" t="str">
            <v>12894405008</v>
          </cell>
        </row>
        <row r="182">
          <cell r="C182" t="str">
            <v>405008</v>
          </cell>
          <cell r="G182">
            <v>33000</v>
          </cell>
          <cell r="H182" t="str">
            <v>12894133003</v>
          </cell>
          <cell r="M182" t="str">
            <v>1289413300362</v>
          </cell>
          <cell r="Q182" t="str">
            <v>12894405008</v>
          </cell>
        </row>
        <row r="183">
          <cell r="C183" t="str">
            <v>405008</v>
          </cell>
          <cell r="G183">
            <v>95383.75</v>
          </cell>
          <cell r="H183" t="str">
            <v>12894130678</v>
          </cell>
          <cell r="M183" t="str">
            <v>12894130678140</v>
          </cell>
          <cell r="Q183" t="str">
            <v>12894405008</v>
          </cell>
        </row>
        <row r="184">
          <cell r="C184" t="str">
            <v>405008</v>
          </cell>
          <cell r="G184">
            <v>44998.5</v>
          </cell>
          <cell r="H184" t="str">
            <v>1289476337</v>
          </cell>
          <cell r="M184" t="str">
            <v>128947633740</v>
          </cell>
          <cell r="Q184" t="str">
            <v>12894405008</v>
          </cell>
        </row>
        <row r="185">
          <cell r="C185" t="str">
            <v>405008</v>
          </cell>
          <cell r="G185">
            <v>18123.78</v>
          </cell>
          <cell r="H185" t="str">
            <v>1289476359</v>
          </cell>
          <cell r="M185" t="str">
            <v>128947635940</v>
          </cell>
          <cell r="Q185" t="str">
            <v>12894405008</v>
          </cell>
        </row>
        <row r="186">
          <cell r="C186" t="str">
            <v>405008</v>
          </cell>
          <cell r="G186">
            <v>34592.5</v>
          </cell>
          <cell r="H186" t="str">
            <v>1289474387</v>
          </cell>
          <cell r="M186" t="str">
            <v>1289474387140</v>
          </cell>
          <cell r="Q186" t="str">
            <v>12894405008</v>
          </cell>
        </row>
        <row r="187">
          <cell r="C187" t="str">
            <v>405008</v>
          </cell>
          <cell r="G187">
            <v>17675.78</v>
          </cell>
          <cell r="H187" t="str">
            <v>1289474389</v>
          </cell>
          <cell r="M187" t="str">
            <v>1289474389140</v>
          </cell>
          <cell r="Q187" t="str">
            <v>12894405008</v>
          </cell>
        </row>
        <row r="188">
          <cell r="C188" t="str">
            <v>405008</v>
          </cell>
          <cell r="G188">
            <v>260.2</v>
          </cell>
          <cell r="H188" t="str">
            <v>12895136328</v>
          </cell>
          <cell r="M188" t="str">
            <v>1289513632840</v>
          </cell>
          <cell r="Q188" t="str">
            <v>12895405008</v>
          </cell>
        </row>
        <row r="189">
          <cell r="C189" t="str">
            <v>405008</v>
          </cell>
          <cell r="G189">
            <v>780.6</v>
          </cell>
          <cell r="H189" t="str">
            <v>12895136323</v>
          </cell>
          <cell r="M189" t="str">
            <v>1289513632360</v>
          </cell>
          <cell r="Q189" t="str">
            <v>12895405008</v>
          </cell>
        </row>
        <row r="190">
          <cell r="C190" t="str">
            <v>405008</v>
          </cell>
          <cell r="G190">
            <v>1561.2</v>
          </cell>
          <cell r="H190" t="str">
            <v>12895136320</v>
          </cell>
          <cell r="M190" t="str">
            <v>1289513632040</v>
          </cell>
          <cell r="Q190" t="str">
            <v>12895405008</v>
          </cell>
        </row>
        <row r="191">
          <cell r="C191" t="str">
            <v>405008</v>
          </cell>
          <cell r="G191">
            <v>780.6</v>
          </cell>
          <cell r="H191" t="str">
            <v>12895136321</v>
          </cell>
          <cell r="M191" t="str">
            <v>12895136321140</v>
          </cell>
          <cell r="Q191" t="str">
            <v>12895405008</v>
          </cell>
        </row>
        <row r="192">
          <cell r="C192" t="str">
            <v>405008</v>
          </cell>
          <cell r="G192">
            <v>2602</v>
          </cell>
          <cell r="H192" t="str">
            <v>12895136328</v>
          </cell>
          <cell r="M192" t="str">
            <v>1289513632840</v>
          </cell>
          <cell r="Q192" t="str">
            <v>12895405008</v>
          </cell>
        </row>
        <row r="193">
          <cell r="C193" t="str">
            <v>405008</v>
          </cell>
          <cell r="G193">
            <v>1040.8</v>
          </cell>
          <cell r="H193" t="str">
            <v>12895136329</v>
          </cell>
          <cell r="M193" t="str">
            <v>1289513632930</v>
          </cell>
          <cell r="Q193" t="str">
            <v>12895405008</v>
          </cell>
        </row>
        <row r="194">
          <cell r="C194" t="str">
            <v>405008</v>
          </cell>
          <cell r="G194">
            <v>-41622</v>
          </cell>
          <cell r="H194" t="str">
            <v>12896130678</v>
          </cell>
          <cell r="M194" t="str">
            <v>12896130678140</v>
          </cell>
          <cell r="Q194" t="str">
            <v>12896405008</v>
          </cell>
        </row>
        <row r="195">
          <cell r="C195" t="str">
            <v>405008</v>
          </cell>
          <cell r="G195">
            <v>-636.4</v>
          </cell>
          <cell r="H195" t="str">
            <v>12896136445</v>
          </cell>
          <cell r="M195" t="str">
            <v>1289613644560</v>
          </cell>
          <cell r="Q195" t="str">
            <v>12896405008</v>
          </cell>
        </row>
        <row r="196">
          <cell r="C196" t="str">
            <v>405008</v>
          </cell>
          <cell r="G196">
            <v>-5719.14</v>
          </cell>
          <cell r="H196" t="str">
            <v>1289674390</v>
          </cell>
          <cell r="M196" t="str">
            <v>1289674390140</v>
          </cell>
          <cell r="Q196" t="str">
            <v>12896405008</v>
          </cell>
        </row>
        <row r="197">
          <cell r="C197" t="str">
            <v>405008</v>
          </cell>
          <cell r="G197">
            <v>-3336.6</v>
          </cell>
          <cell r="H197" t="str">
            <v>1289674432</v>
          </cell>
          <cell r="M197" t="str">
            <v>1289674432140</v>
          </cell>
          <cell r="Q197" t="str">
            <v>12896405008</v>
          </cell>
        </row>
        <row r="198">
          <cell r="C198" t="str">
            <v>405008</v>
          </cell>
          <cell r="G198">
            <v>-14838.24</v>
          </cell>
          <cell r="H198" t="str">
            <v>12896130678</v>
          </cell>
          <cell r="M198" t="str">
            <v>12896130678140</v>
          </cell>
          <cell r="Q198" t="str">
            <v>12896405008</v>
          </cell>
        </row>
        <row r="199">
          <cell r="C199" t="str">
            <v>405008</v>
          </cell>
          <cell r="G199">
            <v>-20.100000000000001</v>
          </cell>
          <cell r="H199" t="str">
            <v>1289674432</v>
          </cell>
          <cell r="M199" t="str">
            <v>1289674432140</v>
          </cell>
          <cell r="Q199" t="str">
            <v>12896405008</v>
          </cell>
        </row>
        <row r="200">
          <cell r="C200" t="str">
            <v>405008</v>
          </cell>
          <cell r="G200">
            <v>19438.650000000001</v>
          </cell>
          <cell r="H200" t="str">
            <v>1289674390</v>
          </cell>
          <cell r="M200" t="str">
            <v>1289674390140</v>
          </cell>
          <cell r="Q200" t="str">
            <v>12896405008</v>
          </cell>
        </row>
        <row r="201">
          <cell r="C201" t="str">
            <v>405008</v>
          </cell>
          <cell r="G201">
            <v>12060</v>
          </cell>
          <cell r="H201" t="str">
            <v>1289674432</v>
          </cell>
          <cell r="M201" t="str">
            <v>1289674432140</v>
          </cell>
          <cell r="Q201" t="str">
            <v>12896405008</v>
          </cell>
        </row>
        <row r="202">
          <cell r="C202" t="str">
            <v>405008</v>
          </cell>
          <cell r="G202">
            <v>46429.34</v>
          </cell>
          <cell r="H202" t="str">
            <v>12896130678</v>
          </cell>
          <cell r="M202" t="str">
            <v>12896130678140</v>
          </cell>
          <cell r="Q202" t="str">
            <v>12896405008</v>
          </cell>
        </row>
        <row r="203">
          <cell r="C203" t="str">
            <v>405008</v>
          </cell>
          <cell r="G203">
            <v>19920.599999999999</v>
          </cell>
          <cell r="H203" t="str">
            <v>1289674390</v>
          </cell>
          <cell r="M203" t="str">
            <v>1289674390140</v>
          </cell>
          <cell r="Q203" t="str">
            <v>12896405008</v>
          </cell>
        </row>
        <row r="204">
          <cell r="C204" t="str">
            <v>405008</v>
          </cell>
          <cell r="G204">
            <v>12060</v>
          </cell>
          <cell r="H204" t="str">
            <v>1289674432</v>
          </cell>
          <cell r="M204" t="str">
            <v>1289674432140</v>
          </cell>
          <cell r="Q204" t="str">
            <v>12896405008</v>
          </cell>
        </row>
        <row r="205">
          <cell r="C205" t="str">
            <v>405008</v>
          </cell>
          <cell r="G205">
            <v>40206.85</v>
          </cell>
          <cell r="H205" t="str">
            <v>12896130678</v>
          </cell>
          <cell r="M205" t="str">
            <v>12896130678140</v>
          </cell>
          <cell r="Q205" t="str">
            <v>12896405008</v>
          </cell>
        </row>
        <row r="206">
          <cell r="C206" t="str">
            <v>405008</v>
          </cell>
          <cell r="G206">
            <v>2043.6</v>
          </cell>
          <cell r="H206" t="str">
            <v>12896136444</v>
          </cell>
          <cell r="M206" t="str">
            <v>1289613644460</v>
          </cell>
          <cell r="Q206" t="str">
            <v>12896405008</v>
          </cell>
        </row>
        <row r="207">
          <cell r="C207" t="str">
            <v>405008</v>
          </cell>
          <cell r="G207">
            <v>1702.37</v>
          </cell>
          <cell r="H207" t="str">
            <v>12896136445</v>
          </cell>
          <cell r="M207" t="str">
            <v>1289613644560</v>
          </cell>
          <cell r="Q207" t="str">
            <v>12896405008</v>
          </cell>
        </row>
        <row r="208">
          <cell r="C208" t="str">
            <v>405008</v>
          </cell>
          <cell r="G208">
            <v>22636.799999999999</v>
          </cell>
          <cell r="H208" t="str">
            <v>12896136444</v>
          </cell>
          <cell r="M208" t="str">
            <v>1289613644460</v>
          </cell>
          <cell r="Q208" t="str">
            <v>12896405008</v>
          </cell>
        </row>
        <row r="209">
          <cell r="C209" t="str">
            <v>405008</v>
          </cell>
          <cell r="G209">
            <v>11455.2</v>
          </cell>
          <cell r="H209" t="str">
            <v>12896136445</v>
          </cell>
          <cell r="M209" t="str">
            <v>1289613644560</v>
          </cell>
          <cell r="Q209" t="str">
            <v>12896405008</v>
          </cell>
        </row>
        <row r="210">
          <cell r="C210" t="str">
            <v>405008</v>
          </cell>
          <cell r="G210">
            <v>41846.639999999999</v>
          </cell>
          <cell r="H210" t="str">
            <v>12896136444</v>
          </cell>
          <cell r="M210" t="str">
            <v>1289613644460</v>
          </cell>
          <cell r="Q210" t="str">
            <v>12896405008</v>
          </cell>
        </row>
        <row r="211">
          <cell r="C211" t="str">
            <v>405008</v>
          </cell>
          <cell r="G211">
            <v>21319.4</v>
          </cell>
          <cell r="H211" t="str">
            <v>12896136445</v>
          </cell>
          <cell r="M211" t="str">
            <v>1289613644560</v>
          </cell>
          <cell r="Q211" t="str">
            <v>12896405008</v>
          </cell>
        </row>
        <row r="212">
          <cell r="C212" t="str">
            <v>405008</v>
          </cell>
          <cell r="G212">
            <v>77593.95</v>
          </cell>
          <cell r="H212" t="str">
            <v>1289674390</v>
          </cell>
          <cell r="M212" t="str">
            <v>1289674390140</v>
          </cell>
          <cell r="Q212" t="str">
            <v>12896405008</v>
          </cell>
        </row>
        <row r="213">
          <cell r="C213" t="str">
            <v>405008</v>
          </cell>
          <cell r="G213">
            <v>48481.2</v>
          </cell>
          <cell r="H213" t="str">
            <v>1289674432</v>
          </cell>
          <cell r="M213" t="str">
            <v>1289674432140</v>
          </cell>
          <cell r="Q213" t="str">
            <v>12896405008</v>
          </cell>
        </row>
        <row r="214">
          <cell r="C214" t="str">
            <v>405008</v>
          </cell>
          <cell r="G214">
            <v>170209.01</v>
          </cell>
          <cell r="H214" t="str">
            <v>12896130678</v>
          </cell>
          <cell r="M214" t="str">
            <v>12896130678140</v>
          </cell>
          <cell r="Q214" t="str">
            <v>12896405008</v>
          </cell>
        </row>
        <row r="215">
          <cell r="C215" t="str">
            <v>405008</v>
          </cell>
          <cell r="G215">
            <v>-5926.1</v>
          </cell>
          <cell r="H215" t="str">
            <v>12897136461</v>
          </cell>
          <cell r="M215" t="str">
            <v>1289713646110</v>
          </cell>
          <cell r="Q215" t="str">
            <v>12897405008</v>
          </cell>
        </row>
        <row r="216">
          <cell r="C216" t="str">
            <v>405008</v>
          </cell>
          <cell r="G216">
            <v>-4104</v>
          </cell>
          <cell r="H216" t="str">
            <v>12897136462</v>
          </cell>
          <cell r="M216" t="str">
            <v>1289713646210</v>
          </cell>
          <cell r="Q216" t="str">
            <v>12897405008</v>
          </cell>
        </row>
        <row r="217">
          <cell r="C217" t="str">
            <v>405008</v>
          </cell>
          <cell r="G217">
            <v>-37520</v>
          </cell>
          <cell r="H217" t="str">
            <v>1289771395</v>
          </cell>
          <cell r="M217" t="str">
            <v>128977139540</v>
          </cell>
          <cell r="Q217" t="str">
            <v>12897405008</v>
          </cell>
        </row>
        <row r="218">
          <cell r="C218" t="str">
            <v>405008</v>
          </cell>
          <cell r="G218">
            <v>-7879.8</v>
          </cell>
          <cell r="H218" t="str">
            <v>1289773992</v>
          </cell>
          <cell r="M218" t="str">
            <v>128977399240</v>
          </cell>
          <cell r="Q218" t="str">
            <v>12897405008</v>
          </cell>
        </row>
        <row r="219">
          <cell r="C219" t="str">
            <v>405008</v>
          </cell>
          <cell r="G219">
            <v>21440</v>
          </cell>
          <cell r="H219" t="str">
            <v>1289771395</v>
          </cell>
          <cell r="M219" t="str">
            <v>128977139540</v>
          </cell>
          <cell r="Q219" t="str">
            <v>12897405008</v>
          </cell>
        </row>
        <row r="220">
          <cell r="C220" t="str">
            <v>405008</v>
          </cell>
          <cell r="G220">
            <v>24012.799999999999</v>
          </cell>
          <cell r="H220" t="str">
            <v>1289771395</v>
          </cell>
          <cell r="M220" t="str">
            <v>128977139540</v>
          </cell>
          <cell r="Q220" t="str">
            <v>12897405008</v>
          </cell>
        </row>
        <row r="221">
          <cell r="C221" t="str">
            <v>405008</v>
          </cell>
          <cell r="G221">
            <v>12790.4</v>
          </cell>
          <cell r="H221" t="str">
            <v>1289773992</v>
          </cell>
          <cell r="M221" t="str">
            <v>128977399240</v>
          </cell>
          <cell r="Q221" t="str">
            <v>12897405008</v>
          </cell>
        </row>
        <row r="222">
          <cell r="C222" t="str">
            <v>405008</v>
          </cell>
          <cell r="G222">
            <v>24012.799999999999</v>
          </cell>
          <cell r="H222" t="str">
            <v>1289771395</v>
          </cell>
          <cell r="M222" t="str">
            <v>128977139540</v>
          </cell>
          <cell r="Q222" t="str">
            <v>12897405008</v>
          </cell>
        </row>
        <row r="223">
          <cell r="C223" t="str">
            <v>405008</v>
          </cell>
          <cell r="G223">
            <v>12790.4</v>
          </cell>
          <cell r="H223" t="str">
            <v>1289773992</v>
          </cell>
          <cell r="M223" t="str">
            <v>128977399240</v>
          </cell>
          <cell r="Q223" t="str">
            <v>12897405008</v>
          </cell>
        </row>
        <row r="224">
          <cell r="C224" t="str">
            <v>405008</v>
          </cell>
          <cell r="G224">
            <v>30873.599999999999</v>
          </cell>
          <cell r="H224" t="str">
            <v>1289771395</v>
          </cell>
          <cell r="M224" t="str">
            <v>128977139540</v>
          </cell>
          <cell r="Q224" t="str">
            <v>12897405008</v>
          </cell>
        </row>
        <row r="225">
          <cell r="C225" t="str">
            <v>405008</v>
          </cell>
          <cell r="G225">
            <v>16444.8</v>
          </cell>
          <cell r="H225" t="str">
            <v>1289773992</v>
          </cell>
          <cell r="M225" t="str">
            <v>128977399240</v>
          </cell>
          <cell r="Q225" t="str">
            <v>12897405008</v>
          </cell>
        </row>
        <row r="226">
          <cell r="C226" t="str">
            <v>405008</v>
          </cell>
          <cell r="G226">
            <v>24012.799999999999</v>
          </cell>
          <cell r="H226" t="str">
            <v>1289771395</v>
          </cell>
          <cell r="M226" t="str">
            <v>128977139540</v>
          </cell>
          <cell r="Q226" t="str">
            <v>12897405008</v>
          </cell>
        </row>
        <row r="227">
          <cell r="C227" t="str">
            <v>405008</v>
          </cell>
          <cell r="G227">
            <v>12790.4</v>
          </cell>
          <cell r="H227" t="str">
            <v>1289773992</v>
          </cell>
          <cell r="M227" t="str">
            <v>128977399240</v>
          </cell>
          <cell r="Q227" t="str">
            <v>12897405008</v>
          </cell>
        </row>
        <row r="228">
          <cell r="C228" t="str">
            <v>405008</v>
          </cell>
          <cell r="G228">
            <v>11899.2</v>
          </cell>
          <cell r="H228" t="str">
            <v>1289771395</v>
          </cell>
          <cell r="M228" t="str">
            <v>128977139540</v>
          </cell>
          <cell r="Q228" t="str">
            <v>12897405008</v>
          </cell>
        </row>
        <row r="229">
          <cell r="C229" t="str">
            <v>405008</v>
          </cell>
          <cell r="G229">
            <v>6189.64</v>
          </cell>
          <cell r="H229" t="str">
            <v>1289773992</v>
          </cell>
          <cell r="M229" t="str">
            <v>128977399240</v>
          </cell>
          <cell r="Q229" t="str">
            <v>12897405008</v>
          </cell>
        </row>
        <row r="230">
          <cell r="C230" t="str">
            <v>405008</v>
          </cell>
          <cell r="G230">
            <v>91836.24</v>
          </cell>
          <cell r="H230" t="str">
            <v>12897136444</v>
          </cell>
          <cell r="M230" t="str">
            <v>1289713644460</v>
          </cell>
          <cell r="Q230" t="str">
            <v>12897405008</v>
          </cell>
        </row>
        <row r="231">
          <cell r="C231" t="str">
            <v>405008</v>
          </cell>
          <cell r="G231">
            <v>46266.28</v>
          </cell>
          <cell r="H231" t="str">
            <v>12897136445</v>
          </cell>
          <cell r="M231" t="str">
            <v>1289713644560</v>
          </cell>
          <cell r="Q231" t="str">
            <v>12897405008</v>
          </cell>
        </row>
        <row r="232">
          <cell r="C232" t="str">
            <v>405008</v>
          </cell>
          <cell r="G232">
            <v>109772.8</v>
          </cell>
          <cell r="H232" t="str">
            <v>1289771395</v>
          </cell>
          <cell r="M232" t="str">
            <v>128977139540</v>
          </cell>
          <cell r="Q232" t="str">
            <v>12897405008</v>
          </cell>
        </row>
        <row r="233">
          <cell r="C233" t="str">
            <v>405008</v>
          </cell>
          <cell r="G233">
            <v>47621.4</v>
          </cell>
          <cell r="H233" t="str">
            <v>1289773992</v>
          </cell>
          <cell r="M233" t="str">
            <v>128977399240</v>
          </cell>
          <cell r="Q233" t="str">
            <v>12897405008</v>
          </cell>
        </row>
        <row r="234">
          <cell r="C234" t="str">
            <v>405020</v>
          </cell>
          <cell r="G234">
            <v>-23340.2</v>
          </cell>
          <cell r="H234" t="str">
            <v>12894136470</v>
          </cell>
          <cell r="M234" t="str">
            <v>1289413647010</v>
          </cell>
          <cell r="Q234" t="str">
            <v>12894405020</v>
          </cell>
        </row>
        <row r="235">
          <cell r="C235" t="str">
            <v>405020</v>
          </cell>
          <cell r="G235">
            <v>45705.95</v>
          </cell>
          <cell r="H235" t="str">
            <v>12894132860</v>
          </cell>
          <cell r="M235" t="str">
            <v>1289413286062</v>
          </cell>
          <cell r="Q235" t="str">
            <v>12894405020</v>
          </cell>
        </row>
        <row r="236">
          <cell r="C236" t="str">
            <v>405020</v>
          </cell>
          <cell r="G236">
            <v>45511.9</v>
          </cell>
          <cell r="H236" t="str">
            <v>1289457620</v>
          </cell>
          <cell r="M236" t="str">
            <v>1289457620140</v>
          </cell>
          <cell r="Q236" t="str">
            <v>12894405020</v>
          </cell>
        </row>
        <row r="237">
          <cell r="C237" t="str">
            <v>405020</v>
          </cell>
          <cell r="G237">
            <v>42158.74</v>
          </cell>
          <cell r="H237" t="str">
            <v>1289418586</v>
          </cell>
          <cell r="M237" t="str">
            <v>128941858640</v>
          </cell>
          <cell r="Q237" t="str">
            <v>12894405020</v>
          </cell>
        </row>
        <row r="238">
          <cell r="C238" t="str">
            <v>405020</v>
          </cell>
          <cell r="G238">
            <v>115826.45</v>
          </cell>
          <cell r="H238" t="str">
            <v>1289418586</v>
          </cell>
          <cell r="M238" t="str">
            <v>128941858640</v>
          </cell>
          <cell r="Q238" t="str">
            <v>12894405020</v>
          </cell>
        </row>
        <row r="239">
          <cell r="C239" t="str">
            <v>405020</v>
          </cell>
          <cell r="G239">
            <v>86830.51</v>
          </cell>
          <cell r="H239" t="str">
            <v>12894136962</v>
          </cell>
          <cell r="M239" t="str">
            <v>1289413696260</v>
          </cell>
          <cell r="Q239" t="str">
            <v>12894405020</v>
          </cell>
        </row>
        <row r="240">
          <cell r="C240" t="str">
            <v>405020</v>
          </cell>
          <cell r="G240">
            <v>61768.46</v>
          </cell>
          <cell r="H240" t="str">
            <v>12894132860</v>
          </cell>
          <cell r="M240" t="str">
            <v>1289413286062</v>
          </cell>
          <cell r="Q240" t="str">
            <v>12894405020</v>
          </cell>
        </row>
        <row r="241">
          <cell r="C241" t="str">
            <v>405020</v>
          </cell>
          <cell r="G241">
            <v>27071.64</v>
          </cell>
          <cell r="H241" t="str">
            <v>12894132860</v>
          </cell>
          <cell r="M241" t="str">
            <v>1289413286062</v>
          </cell>
          <cell r="Q241" t="str">
            <v>12894405020</v>
          </cell>
        </row>
        <row r="242">
          <cell r="C242" t="str">
            <v>405020</v>
          </cell>
          <cell r="G242">
            <v>5151.3</v>
          </cell>
          <cell r="H242" t="str">
            <v>128955245</v>
          </cell>
          <cell r="M242" t="str">
            <v>12895524530</v>
          </cell>
          <cell r="Q242" t="str">
            <v>12895405020</v>
          </cell>
        </row>
        <row r="243">
          <cell r="C243" t="str">
            <v>405020</v>
          </cell>
          <cell r="G243">
            <v>7024.5</v>
          </cell>
          <cell r="H243" t="str">
            <v>128955245</v>
          </cell>
          <cell r="M243" t="str">
            <v>12895524540</v>
          </cell>
          <cell r="Q243" t="str">
            <v>12895405020</v>
          </cell>
        </row>
        <row r="244">
          <cell r="C244" t="str">
            <v>405020</v>
          </cell>
          <cell r="G244">
            <v>5931.8</v>
          </cell>
          <cell r="H244" t="str">
            <v>128955245</v>
          </cell>
          <cell r="M244" t="str">
            <v>12895524560</v>
          </cell>
          <cell r="Q244" t="str">
            <v>12895405020</v>
          </cell>
        </row>
        <row r="245">
          <cell r="C245" t="str">
            <v>405020</v>
          </cell>
          <cell r="G245">
            <v>2997.12</v>
          </cell>
          <cell r="H245" t="str">
            <v>128955245</v>
          </cell>
          <cell r="M245" t="str">
            <v>12895524540</v>
          </cell>
          <cell r="Q245" t="str">
            <v>12895405020</v>
          </cell>
        </row>
        <row r="246">
          <cell r="C246" t="str">
            <v>405020</v>
          </cell>
          <cell r="G246">
            <v>1561</v>
          </cell>
          <cell r="H246" t="str">
            <v>128955245</v>
          </cell>
          <cell r="M246" t="str">
            <v>128955245140</v>
          </cell>
          <cell r="Q246" t="str">
            <v>12895405020</v>
          </cell>
        </row>
        <row r="247">
          <cell r="C247" t="str">
            <v>405020</v>
          </cell>
          <cell r="G247">
            <v>7867.44</v>
          </cell>
          <cell r="H247" t="str">
            <v>128955245</v>
          </cell>
          <cell r="M247" t="str">
            <v>12895524530</v>
          </cell>
          <cell r="Q247" t="str">
            <v>12895405020</v>
          </cell>
        </row>
        <row r="248">
          <cell r="C248" t="str">
            <v>405020</v>
          </cell>
          <cell r="G248">
            <v>19356.400000000001</v>
          </cell>
          <cell r="H248" t="str">
            <v>128955245</v>
          </cell>
          <cell r="M248" t="str">
            <v>12895524540</v>
          </cell>
          <cell r="Q248" t="str">
            <v>12895405020</v>
          </cell>
        </row>
        <row r="249">
          <cell r="C249" t="str">
            <v>405023</v>
          </cell>
          <cell r="G249">
            <v>3477</v>
          </cell>
          <cell r="H249" t="str">
            <v>12894136958</v>
          </cell>
          <cell r="M249" t="str">
            <v>1289413695860</v>
          </cell>
          <cell r="Q249" t="str">
            <v>12894405023</v>
          </cell>
        </row>
        <row r="250">
          <cell r="C250" t="str">
            <v>405023</v>
          </cell>
          <cell r="G250">
            <v>45104.4</v>
          </cell>
          <cell r="H250" t="str">
            <v>12894133004</v>
          </cell>
          <cell r="M250" t="str">
            <v>1289413300462</v>
          </cell>
          <cell r="Q250" t="str">
            <v>12894405023</v>
          </cell>
        </row>
        <row r="251">
          <cell r="C251" t="str">
            <v>405023</v>
          </cell>
          <cell r="G251">
            <v>26158.53</v>
          </cell>
          <cell r="H251" t="str">
            <v>1289457623</v>
          </cell>
          <cell r="M251" t="str">
            <v>1289457623140</v>
          </cell>
          <cell r="Q251" t="str">
            <v>12894405023</v>
          </cell>
        </row>
        <row r="252">
          <cell r="C252" t="str">
            <v>405023</v>
          </cell>
          <cell r="G252">
            <v>27231.58</v>
          </cell>
          <cell r="H252" t="str">
            <v>1289477852</v>
          </cell>
          <cell r="M252" t="str">
            <v>128947785240</v>
          </cell>
          <cell r="Q252" t="str">
            <v>12894405023</v>
          </cell>
        </row>
        <row r="253">
          <cell r="C253" t="str">
            <v>405023</v>
          </cell>
          <cell r="G253">
            <v>60097.2</v>
          </cell>
          <cell r="H253" t="str">
            <v>12894136958</v>
          </cell>
          <cell r="M253" t="str">
            <v>1289413695860</v>
          </cell>
          <cell r="Q253" t="str">
            <v>12894405023</v>
          </cell>
        </row>
        <row r="254">
          <cell r="C254" t="str">
            <v>405023</v>
          </cell>
          <cell r="G254">
            <v>81028.52</v>
          </cell>
          <cell r="H254" t="str">
            <v>1289477852</v>
          </cell>
          <cell r="M254" t="str">
            <v>128947785240</v>
          </cell>
          <cell r="Q254" t="str">
            <v>12894405023</v>
          </cell>
        </row>
        <row r="255">
          <cell r="C255" t="str">
            <v>405023</v>
          </cell>
          <cell r="G255">
            <v>50525.37</v>
          </cell>
          <cell r="H255" t="str">
            <v>1289457623</v>
          </cell>
          <cell r="M255" t="str">
            <v>1289457623140</v>
          </cell>
          <cell r="Q255" t="str">
            <v>12894405023</v>
          </cell>
        </row>
        <row r="256">
          <cell r="C256" t="str">
            <v>405023</v>
          </cell>
          <cell r="G256">
            <v>25693.8</v>
          </cell>
          <cell r="H256" t="str">
            <v>12894133004</v>
          </cell>
          <cell r="M256" t="str">
            <v>1289413300462</v>
          </cell>
          <cell r="Q256" t="str">
            <v>12894405023</v>
          </cell>
        </row>
        <row r="257">
          <cell r="C257" t="str">
            <v>405023</v>
          </cell>
          <cell r="G257">
            <v>-5329.73</v>
          </cell>
          <cell r="H257" t="str">
            <v>12895136331</v>
          </cell>
          <cell r="M257" t="str">
            <v>1289513633140</v>
          </cell>
          <cell r="Q257" t="str">
            <v>12895405023</v>
          </cell>
        </row>
        <row r="258">
          <cell r="C258" t="str">
            <v>405023</v>
          </cell>
          <cell r="G258">
            <v>11363.89</v>
          </cell>
          <cell r="H258" t="str">
            <v>12895136334</v>
          </cell>
          <cell r="M258" t="str">
            <v>1289513633460</v>
          </cell>
          <cell r="Q258" t="str">
            <v>12895405023</v>
          </cell>
        </row>
        <row r="259">
          <cell r="C259" t="str">
            <v>405023</v>
          </cell>
          <cell r="G259">
            <v>2997.97</v>
          </cell>
          <cell r="H259" t="str">
            <v>12895136331</v>
          </cell>
          <cell r="M259" t="str">
            <v>1289513633140</v>
          </cell>
          <cell r="Q259" t="str">
            <v>12895405023</v>
          </cell>
        </row>
        <row r="260">
          <cell r="C260" t="str">
            <v>405023</v>
          </cell>
          <cell r="G260">
            <v>7787.81</v>
          </cell>
          <cell r="H260" t="str">
            <v>12895136332</v>
          </cell>
          <cell r="M260" t="str">
            <v>12895136332140</v>
          </cell>
          <cell r="Q260" t="str">
            <v>12895405023</v>
          </cell>
        </row>
        <row r="261">
          <cell r="C261" t="str">
            <v>405023</v>
          </cell>
          <cell r="G261">
            <v>8577.5300000000007</v>
          </cell>
          <cell r="H261" t="str">
            <v>12895136340</v>
          </cell>
          <cell r="M261" t="str">
            <v>1289513634030</v>
          </cell>
          <cell r="Q261" t="str">
            <v>12895405023</v>
          </cell>
        </row>
        <row r="262">
          <cell r="C262" t="str">
            <v>405023</v>
          </cell>
          <cell r="G262">
            <v>10326.35</v>
          </cell>
          <cell r="H262" t="str">
            <v>12895136339</v>
          </cell>
          <cell r="M262" t="str">
            <v>1289513633940</v>
          </cell>
          <cell r="Q262" t="str">
            <v>12895405023</v>
          </cell>
        </row>
        <row r="263">
          <cell r="C263" t="str">
            <v>405023</v>
          </cell>
          <cell r="G263">
            <v>48800.33</v>
          </cell>
          <cell r="H263" t="str">
            <v>12895136339</v>
          </cell>
          <cell r="M263" t="str">
            <v>1289513633940</v>
          </cell>
          <cell r="Q263" t="str">
            <v>12895405023</v>
          </cell>
        </row>
        <row r="264">
          <cell r="C264" t="str">
            <v>405023</v>
          </cell>
          <cell r="G264">
            <v>8744.09</v>
          </cell>
          <cell r="H264" t="str">
            <v>12895136340</v>
          </cell>
          <cell r="M264" t="str">
            <v>1289513634030</v>
          </cell>
          <cell r="Q264" t="str">
            <v>12895405023</v>
          </cell>
        </row>
        <row r="265">
          <cell r="H265">
            <v>0</v>
          </cell>
          <cell r="M265">
            <v>0</v>
          </cell>
          <cell r="Q265">
            <v>0</v>
          </cell>
        </row>
        <row r="266">
          <cell r="H266">
            <v>0</v>
          </cell>
          <cell r="M266">
            <v>0</v>
          </cell>
          <cell r="Q266">
            <v>0</v>
          </cell>
        </row>
        <row r="267">
          <cell r="C267">
            <v>405005</v>
          </cell>
          <cell r="G267">
            <v>298256.64000000001</v>
          </cell>
          <cell r="H267" t="str">
            <v>1289461882</v>
          </cell>
          <cell r="M267" t="str">
            <v>128946188260</v>
          </cell>
          <cell r="Q267" t="str">
            <v>12894405005</v>
          </cell>
        </row>
        <row r="268">
          <cell r="H268">
            <v>0</v>
          </cell>
          <cell r="M268">
            <v>0</v>
          </cell>
          <cell r="Q268">
            <v>0</v>
          </cell>
        </row>
        <row r="269">
          <cell r="H269">
            <v>0</v>
          </cell>
          <cell r="M269">
            <v>0</v>
          </cell>
          <cell r="Q269">
            <v>0</v>
          </cell>
        </row>
        <row r="270">
          <cell r="C270">
            <v>405008</v>
          </cell>
          <cell r="G270">
            <v>3430.9</v>
          </cell>
          <cell r="H270" t="str">
            <v>12893136461</v>
          </cell>
          <cell r="M270" t="str">
            <v>1289313646110</v>
          </cell>
          <cell r="Q270" t="str">
            <v>12893405008</v>
          </cell>
        </row>
        <row r="271">
          <cell r="C271">
            <v>405008</v>
          </cell>
          <cell r="G271">
            <v>2376</v>
          </cell>
          <cell r="H271" t="str">
            <v>12893136462</v>
          </cell>
          <cell r="M271" t="str">
            <v>1289313646210</v>
          </cell>
          <cell r="Q271" t="str">
            <v>12893405008</v>
          </cell>
        </row>
        <row r="272">
          <cell r="C272">
            <v>405008</v>
          </cell>
          <cell r="G272">
            <v>41622</v>
          </cell>
          <cell r="H272" t="str">
            <v>12896130678</v>
          </cell>
          <cell r="M272" t="str">
            <v>12896130678140</v>
          </cell>
          <cell r="Q272" t="str">
            <v>12896405008</v>
          </cell>
        </row>
        <row r="273">
          <cell r="C273">
            <v>405008</v>
          </cell>
          <cell r="G273">
            <v>-59616</v>
          </cell>
          <cell r="H273" t="str">
            <v>12894133003</v>
          </cell>
          <cell r="M273" t="str">
            <v>1289413300362</v>
          </cell>
          <cell r="Q273" t="str">
            <v>12894405008</v>
          </cell>
        </row>
        <row r="274">
          <cell r="C274">
            <v>405008</v>
          </cell>
          <cell r="G274">
            <v>-10422.02</v>
          </cell>
          <cell r="H274" t="str">
            <v>12894136419</v>
          </cell>
          <cell r="M274" t="str">
            <v>1289413641960</v>
          </cell>
          <cell r="Q274" t="str">
            <v>12894405008</v>
          </cell>
        </row>
        <row r="275">
          <cell r="C275">
            <v>405008</v>
          </cell>
          <cell r="G275">
            <v>-10464.299999999999</v>
          </cell>
          <cell r="H275" t="str">
            <v>12894136420</v>
          </cell>
          <cell r="M275" t="str">
            <v>1289413642060</v>
          </cell>
          <cell r="Q275" t="str">
            <v>12894405008</v>
          </cell>
        </row>
        <row r="276">
          <cell r="C276">
            <v>405020</v>
          </cell>
          <cell r="G276">
            <v>23340.2</v>
          </cell>
          <cell r="H276" t="str">
            <v>12894136470</v>
          </cell>
          <cell r="M276" t="str">
            <v>1289413647010</v>
          </cell>
          <cell r="Q276" t="str">
            <v>12894405020</v>
          </cell>
        </row>
        <row r="277">
          <cell r="C277">
            <v>405023</v>
          </cell>
          <cell r="G277">
            <v>-3477</v>
          </cell>
          <cell r="H277" t="str">
            <v>12894136958</v>
          </cell>
          <cell r="M277" t="str">
            <v>1289413695860</v>
          </cell>
          <cell r="Q277" t="str">
            <v>12894405023</v>
          </cell>
        </row>
        <row r="278">
          <cell r="C278">
            <v>405006</v>
          </cell>
          <cell r="G278">
            <v>-40003.199999999997</v>
          </cell>
          <cell r="H278" t="str">
            <v>12894137002</v>
          </cell>
          <cell r="M278" t="str">
            <v>1289413700260</v>
          </cell>
          <cell r="Q278" t="str">
            <v>12894405006</v>
          </cell>
        </row>
        <row r="279">
          <cell r="C279">
            <v>405023</v>
          </cell>
          <cell r="G279">
            <v>5329.73</v>
          </cell>
          <cell r="H279" t="str">
            <v>12895136331</v>
          </cell>
          <cell r="M279" t="str">
            <v>1289513633140</v>
          </cell>
          <cell r="Q279" t="str">
            <v>12895405023</v>
          </cell>
        </row>
        <row r="280">
          <cell r="C280">
            <v>405008</v>
          </cell>
          <cell r="G280">
            <v>-41622</v>
          </cell>
          <cell r="H280" t="str">
            <v>12894130678</v>
          </cell>
          <cell r="M280" t="str">
            <v>12894130678140</v>
          </cell>
          <cell r="Q280" t="str">
            <v>12894405008</v>
          </cell>
        </row>
        <row r="281">
          <cell r="C281">
            <v>405008</v>
          </cell>
          <cell r="G281">
            <v>-21440</v>
          </cell>
          <cell r="H281" t="str">
            <v>1289771395</v>
          </cell>
          <cell r="M281" t="str">
            <v>128977139540</v>
          </cell>
          <cell r="Q281" t="str">
            <v>12897405008</v>
          </cell>
        </row>
        <row r="282">
          <cell r="C282">
            <v>405008</v>
          </cell>
          <cell r="G282">
            <v>5926.1</v>
          </cell>
          <cell r="H282" t="str">
            <v>12897136461</v>
          </cell>
          <cell r="M282" t="str">
            <v>1289713646110</v>
          </cell>
          <cell r="Q282" t="str">
            <v>12897405008</v>
          </cell>
        </row>
        <row r="283">
          <cell r="C283">
            <v>405008</v>
          </cell>
          <cell r="G283">
            <v>4104</v>
          </cell>
          <cell r="H283" t="str">
            <v>12897136462</v>
          </cell>
          <cell r="M283" t="str">
            <v>1289713646210</v>
          </cell>
          <cell r="Q283" t="str">
            <v>12897405008</v>
          </cell>
        </row>
        <row r="284">
          <cell r="H284">
            <v>0</v>
          </cell>
          <cell r="M284">
            <v>0</v>
          </cell>
          <cell r="Q284">
            <v>0</v>
          </cell>
        </row>
        <row r="285">
          <cell r="C285">
            <v>405006</v>
          </cell>
          <cell r="G285">
            <v>87452.198724100715</v>
          </cell>
          <cell r="H285" t="str">
            <v>12893136980</v>
          </cell>
          <cell r="M285" t="str">
            <v>1289313698060</v>
          </cell>
          <cell r="Q285" t="str">
            <v>12893405006</v>
          </cell>
        </row>
        <row r="286">
          <cell r="C286">
            <v>405008</v>
          </cell>
          <cell r="G286">
            <v>47119.159999999916</v>
          </cell>
          <cell r="H286" t="str">
            <v>12893136444</v>
          </cell>
          <cell r="M286" t="str">
            <v>1289313644460</v>
          </cell>
          <cell r="Q286" t="str">
            <v>12893405008</v>
          </cell>
        </row>
        <row r="287">
          <cell r="C287">
            <v>405008</v>
          </cell>
          <cell r="G287">
            <v>30387.320849631273</v>
          </cell>
          <cell r="H287" t="str">
            <v>12893136445</v>
          </cell>
          <cell r="M287" t="str">
            <v>1289313644560</v>
          </cell>
          <cell r="Q287" t="str">
            <v>12893405008</v>
          </cell>
        </row>
        <row r="288">
          <cell r="H288">
            <v>0</v>
          </cell>
          <cell r="M288">
            <v>0</v>
          </cell>
          <cell r="Q288">
            <v>0</v>
          </cell>
        </row>
        <row r="289">
          <cell r="H289">
            <v>0</v>
          </cell>
          <cell r="M289">
            <v>0</v>
          </cell>
          <cell r="Q289">
            <v>0</v>
          </cell>
        </row>
        <row r="290">
          <cell r="H290">
            <v>0</v>
          </cell>
          <cell r="M290">
            <v>0</v>
          </cell>
          <cell r="Q290">
            <v>0</v>
          </cell>
        </row>
        <row r="291">
          <cell r="G291">
            <v>0</v>
          </cell>
          <cell r="H291" t="str">
            <v>12893137801</v>
          </cell>
          <cell r="M291" t="str">
            <v>1289313780140</v>
          </cell>
          <cell r="Q291" t="str">
            <v>12893</v>
          </cell>
        </row>
        <row r="292">
          <cell r="G292">
            <v>1443.61</v>
          </cell>
          <cell r="H292" t="str">
            <v>12893136461</v>
          </cell>
          <cell r="M292" t="str">
            <v>1289313646110</v>
          </cell>
          <cell r="Q292" t="str">
            <v>12893</v>
          </cell>
        </row>
        <row r="293">
          <cell r="G293">
            <v>3962.02</v>
          </cell>
          <cell r="H293" t="str">
            <v>12893136462</v>
          </cell>
          <cell r="M293" t="str">
            <v>1289313646210</v>
          </cell>
          <cell r="Q293" t="str">
            <v>12893</v>
          </cell>
        </row>
        <row r="294">
          <cell r="G294">
            <v>0</v>
          </cell>
          <cell r="H294" t="str">
            <v>12893137842</v>
          </cell>
          <cell r="M294" t="str">
            <v>1289313784240</v>
          </cell>
          <cell r="Q294" t="str">
            <v>12893</v>
          </cell>
        </row>
        <row r="295">
          <cell r="G295">
            <v>-5345.7961946260184</v>
          </cell>
          <cell r="H295" t="str">
            <v>12893136980</v>
          </cell>
          <cell r="M295" t="str">
            <v>1289313698060</v>
          </cell>
          <cell r="Q295" t="str">
            <v>12893</v>
          </cell>
        </row>
        <row r="296">
          <cell r="G296">
            <v>-30807.360000000001</v>
          </cell>
          <cell r="H296" t="str">
            <v>12893136444</v>
          </cell>
          <cell r="M296" t="str">
            <v>1289313644460</v>
          </cell>
          <cell r="Q296" t="str">
            <v>12893</v>
          </cell>
        </row>
        <row r="297">
          <cell r="G297">
            <v>-12088.08</v>
          </cell>
          <cell r="H297" t="str">
            <v>12893136445</v>
          </cell>
          <cell r="M297" t="str">
            <v>1289313644560</v>
          </cell>
          <cell r="Q297" t="str">
            <v>12893</v>
          </cell>
        </row>
        <row r="298">
          <cell r="G298">
            <v>0</v>
          </cell>
          <cell r="H298" t="str">
            <v>12896137801</v>
          </cell>
          <cell r="M298" t="str">
            <v>1289613780140</v>
          </cell>
          <cell r="Q298" t="str">
            <v>12896</v>
          </cell>
        </row>
        <row r="299">
          <cell r="G299">
            <v>0</v>
          </cell>
          <cell r="H299" t="str">
            <v>12896136461</v>
          </cell>
          <cell r="M299" t="str">
            <v>1289613646110</v>
          </cell>
          <cell r="Q299" t="str">
            <v>12896</v>
          </cell>
        </row>
        <row r="300">
          <cell r="G300">
            <v>0</v>
          </cell>
          <cell r="H300" t="str">
            <v>12896136462</v>
          </cell>
          <cell r="M300" t="str">
            <v>1289613646210</v>
          </cell>
          <cell r="Q300" t="str">
            <v>12896</v>
          </cell>
        </row>
        <row r="301">
          <cell r="G301">
            <v>0</v>
          </cell>
          <cell r="H301" t="str">
            <v>12896137842</v>
          </cell>
          <cell r="M301" t="str">
            <v>1289613784240</v>
          </cell>
          <cell r="Q301" t="str">
            <v>12896</v>
          </cell>
        </row>
        <row r="302">
          <cell r="G302">
            <v>-4289.3400000000111</v>
          </cell>
          <cell r="H302" t="str">
            <v>12896136980</v>
          </cell>
          <cell r="M302" t="str">
            <v>1289613698060</v>
          </cell>
          <cell r="Q302" t="str">
            <v>12896</v>
          </cell>
        </row>
        <row r="303">
          <cell r="G303">
            <v>-19297.919999999998</v>
          </cell>
          <cell r="H303" t="str">
            <v>12896136444</v>
          </cell>
          <cell r="M303" t="str">
            <v>1289613644460</v>
          </cell>
          <cell r="Q303" t="str">
            <v>12896</v>
          </cell>
        </row>
        <row r="304">
          <cell r="G304">
            <v>-8763.24</v>
          </cell>
          <cell r="H304" t="str">
            <v>12896136445</v>
          </cell>
          <cell r="M304" t="str">
            <v>1289613644560</v>
          </cell>
          <cell r="Q304" t="str">
            <v>12896</v>
          </cell>
        </row>
        <row r="305">
          <cell r="G305">
            <v>0</v>
          </cell>
          <cell r="H305" t="str">
            <v>12897137801</v>
          </cell>
          <cell r="M305" t="str">
            <v>1289713780140</v>
          </cell>
          <cell r="Q305" t="str">
            <v>12897</v>
          </cell>
        </row>
        <row r="306">
          <cell r="G306">
            <v>-955.7</v>
          </cell>
          <cell r="H306" t="str">
            <v>12897136461</v>
          </cell>
          <cell r="M306" t="str">
            <v>1289713646110</v>
          </cell>
          <cell r="Q306" t="str">
            <v>12897</v>
          </cell>
        </row>
        <row r="307">
          <cell r="G307">
            <v>-2777.8</v>
          </cell>
          <cell r="H307" t="str">
            <v>12897136462</v>
          </cell>
          <cell r="M307" t="str">
            <v>1289713646210</v>
          </cell>
          <cell r="Q307" t="str">
            <v>12897</v>
          </cell>
        </row>
        <row r="308">
          <cell r="G308">
            <v>0</v>
          </cell>
          <cell r="H308" t="str">
            <v>12897137842</v>
          </cell>
          <cell r="M308" t="str">
            <v>1289713784240</v>
          </cell>
          <cell r="Q308" t="str">
            <v>12897</v>
          </cell>
        </row>
        <row r="309">
          <cell r="G309">
            <v>-5881.2600000000093</v>
          </cell>
          <cell r="H309" t="str">
            <v>12897136980</v>
          </cell>
          <cell r="M309" t="str">
            <v>1289713698060</v>
          </cell>
          <cell r="Q309" t="str">
            <v>12897</v>
          </cell>
        </row>
        <row r="310">
          <cell r="G310">
            <v>-26639.52</v>
          </cell>
          <cell r="H310" t="str">
            <v>12897136444</v>
          </cell>
          <cell r="M310" t="str">
            <v>1289713644460</v>
          </cell>
          <cell r="Q310" t="str">
            <v>12897</v>
          </cell>
        </row>
        <row r="311">
          <cell r="G311">
            <v>-11980.96</v>
          </cell>
          <cell r="H311" t="str">
            <v>12897136445</v>
          </cell>
          <cell r="M311" t="str">
            <v>1289713644560</v>
          </cell>
          <cell r="Q311" t="str">
            <v>12897</v>
          </cell>
        </row>
        <row r="312">
          <cell r="G312">
            <v>0</v>
          </cell>
          <cell r="H312" t="str">
            <v>12894137842</v>
          </cell>
          <cell r="M312" t="str">
            <v>1289413784240</v>
          </cell>
          <cell r="Q312" t="str">
            <v>12894</v>
          </cell>
        </row>
        <row r="313">
          <cell r="G313">
            <v>-2657.3599999999933</v>
          </cell>
          <cell r="H313" t="str">
            <v>12894137002</v>
          </cell>
          <cell r="M313" t="str">
            <v>1289413700260</v>
          </cell>
          <cell r="Q313" t="str">
            <v>12894</v>
          </cell>
        </row>
        <row r="314">
          <cell r="G314">
            <v>14836.92</v>
          </cell>
          <cell r="H314" t="str">
            <v>12894136419</v>
          </cell>
          <cell r="M314" t="str">
            <v>1289413641960</v>
          </cell>
          <cell r="Q314" t="str">
            <v>12894</v>
          </cell>
        </row>
        <row r="315">
          <cell r="G315">
            <v>-20944.919999999998</v>
          </cell>
          <cell r="H315" t="str">
            <v>12894136420</v>
          </cell>
          <cell r="M315" t="str">
            <v>1289413642060</v>
          </cell>
          <cell r="Q315" t="str">
            <v>12894</v>
          </cell>
        </row>
        <row r="316">
          <cell r="H316">
            <v>0</v>
          </cell>
          <cell r="M316">
            <v>0</v>
          </cell>
          <cell r="Q316">
            <v>0</v>
          </cell>
        </row>
        <row r="317">
          <cell r="H317">
            <v>0</v>
          </cell>
          <cell r="M317">
            <v>0</v>
          </cell>
          <cell r="Q317">
            <v>0</v>
          </cell>
        </row>
        <row r="318">
          <cell r="H318">
            <v>0</v>
          </cell>
          <cell r="M318">
            <v>0</v>
          </cell>
          <cell r="Q318">
            <v>0</v>
          </cell>
        </row>
        <row r="319">
          <cell r="H319">
            <v>0</v>
          </cell>
          <cell r="M319">
            <v>0</v>
          </cell>
          <cell r="Q319">
            <v>0</v>
          </cell>
        </row>
        <row r="320">
          <cell r="H320">
            <v>0</v>
          </cell>
          <cell r="M320">
            <v>0</v>
          </cell>
          <cell r="Q320">
            <v>0</v>
          </cell>
        </row>
        <row r="321">
          <cell r="H321">
            <v>0</v>
          </cell>
          <cell r="M321">
            <v>0</v>
          </cell>
          <cell r="Q321">
            <v>0</v>
          </cell>
        </row>
        <row r="322">
          <cell r="H322">
            <v>0</v>
          </cell>
          <cell r="M322">
            <v>0</v>
          </cell>
          <cell r="Q322">
            <v>0</v>
          </cell>
        </row>
        <row r="323">
          <cell r="H323">
            <v>0</v>
          </cell>
          <cell r="M323">
            <v>0</v>
          </cell>
          <cell r="Q323">
            <v>0</v>
          </cell>
        </row>
        <row r="324">
          <cell r="H324">
            <v>0</v>
          </cell>
          <cell r="M324">
            <v>0</v>
          </cell>
          <cell r="Q324">
            <v>0</v>
          </cell>
        </row>
        <row r="325">
          <cell r="H325">
            <v>0</v>
          </cell>
          <cell r="M325">
            <v>0</v>
          </cell>
          <cell r="Q325">
            <v>0</v>
          </cell>
        </row>
        <row r="326">
          <cell r="H326">
            <v>0</v>
          </cell>
          <cell r="M326">
            <v>0</v>
          </cell>
          <cell r="Q326">
            <v>0</v>
          </cell>
        </row>
        <row r="327">
          <cell r="H327">
            <v>0</v>
          </cell>
          <cell r="M327">
            <v>0</v>
          </cell>
          <cell r="Q327">
            <v>0</v>
          </cell>
        </row>
        <row r="328">
          <cell r="H328">
            <v>0</v>
          </cell>
          <cell r="M328">
            <v>0</v>
          </cell>
          <cell r="Q328">
            <v>0</v>
          </cell>
        </row>
        <row r="329">
          <cell r="H329">
            <v>0</v>
          </cell>
          <cell r="M329">
            <v>0</v>
          </cell>
          <cell r="Q329">
            <v>0</v>
          </cell>
        </row>
        <row r="330">
          <cell r="H330">
            <v>0</v>
          </cell>
          <cell r="M330">
            <v>0</v>
          </cell>
          <cell r="Q330">
            <v>0</v>
          </cell>
        </row>
        <row r="331">
          <cell r="H331">
            <v>0</v>
          </cell>
          <cell r="M331">
            <v>0</v>
          </cell>
          <cell r="Q331">
            <v>0</v>
          </cell>
        </row>
        <row r="332">
          <cell r="H332">
            <v>0</v>
          </cell>
          <cell r="M332">
            <v>0</v>
          </cell>
          <cell r="Q332">
            <v>0</v>
          </cell>
        </row>
        <row r="333">
          <cell r="H333">
            <v>0</v>
          </cell>
          <cell r="M333">
            <v>0</v>
          </cell>
          <cell r="Q333">
            <v>0</v>
          </cell>
        </row>
        <row r="334">
          <cell r="H334">
            <v>0</v>
          </cell>
          <cell r="M334">
            <v>0</v>
          </cell>
          <cell r="Q334">
            <v>0</v>
          </cell>
        </row>
        <row r="335">
          <cell r="H335">
            <v>0</v>
          </cell>
          <cell r="M335">
            <v>0</v>
          </cell>
          <cell r="Q335">
            <v>0</v>
          </cell>
        </row>
        <row r="336">
          <cell r="H336">
            <v>0</v>
          </cell>
          <cell r="M336">
            <v>0</v>
          </cell>
          <cell r="Q336">
            <v>0</v>
          </cell>
        </row>
        <row r="337">
          <cell r="H337">
            <v>0</v>
          </cell>
          <cell r="M337">
            <v>0</v>
          </cell>
          <cell r="Q337">
            <v>0</v>
          </cell>
        </row>
        <row r="338">
          <cell r="H338">
            <v>0</v>
          </cell>
          <cell r="M338">
            <v>0</v>
          </cell>
          <cell r="Q338">
            <v>0</v>
          </cell>
        </row>
        <row r="339">
          <cell r="H339">
            <v>0</v>
          </cell>
          <cell r="M339">
            <v>0</v>
          </cell>
          <cell r="Q339">
            <v>0</v>
          </cell>
        </row>
        <row r="340">
          <cell r="H340">
            <v>0</v>
          </cell>
          <cell r="M340">
            <v>0</v>
          </cell>
          <cell r="Q340">
            <v>0</v>
          </cell>
        </row>
        <row r="341">
          <cell r="H341">
            <v>0</v>
          </cell>
          <cell r="M341">
            <v>0</v>
          </cell>
          <cell r="Q341">
            <v>0</v>
          </cell>
        </row>
        <row r="342">
          <cell r="H342">
            <v>0</v>
          </cell>
          <cell r="M342">
            <v>0</v>
          </cell>
          <cell r="Q342">
            <v>0</v>
          </cell>
        </row>
        <row r="343">
          <cell r="H343">
            <v>0</v>
          </cell>
          <cell r="M343">
            <v>0</v>
          </cell>
          <cell r="Q343">
            <v>0</v>
          </cell>
        </row>
        <row r="344">
          <cell r="H344">
            <v>0</v>
          </cell>
          <cell r="M344">
            <v>0</v>
          </cell>
          <cell r="Q344">
            <v>0</v>
          </cell>
        </row>
        <row r="345">
          <cell r="H345">
            <v>0</v>
          </cell>
          <cell r="M345">
            <v>0</v>
          </cell>
          <cell r="Q345">
            <v>0</v>
          </cell>
        </row>
        <row r="346">
          <cell r="H346">
            <v>0</v>
          </cell>
          <cell r="M346">
            <v>0</v>
          </cell>
          <cell r="Q346">
            <v>0</v>
          </cell>
        </row>
        <row r="347">
          <cell r="H347">
            <v>0</v>
          </cell>
          <cell r="M347">
            <v>0</v>
          </cell>
          <cell r="Q347">
            <v>0</v>
          </cell>
        </row>
        <row r="348">
          <cell r="H348">
            <v>0</v>
          </cell>
          <cell r="M348">
            <v>0</v>
          </cell>
          <cell r="Q348">
            <v>0</v>
          </cell>
        </row>
        <row r="349">
          <cell r="H349">
            <v>0</v>
          </cell>
          <cell r="M349">
            <v>0</v>
          </cell>
          <cell r="Q349">
            <v>0</v>
          </cell>
        </row>
        <row r="350">
          <cell r="H350">
            <v>0</v>
          </cell>
          <cell r="M350">
            <v>0</v>
          </cell>
          <cell r="Q350">
            <v>0</v>
          </cell>
        </row>
        <row r="351">
          <cell r="H351">
            <v>0</v>
          </cell>
          <cell r="M351">
            <v>0</v>
          </cell>
          <cell r="Q351">
            <v>0</v>
          </cell>
        </row>
        <row r="352">
          <cell r="H352">
            <v>0</v>
          </cell>
          <cell r="M352">
            <v>0</v>
          </cell>
          <cell r="Q352">
            <v>0</v>
          </cell>
        </row>
        <row r="353">
          <cell r="H353">
            <v>0</v>
          </cell>
          <cell r="M353">
            <v>0</v>
          </cell>
          <cell r="Q353">
            <v>0</v>
          </cell>
        </row>
        <row r="354">
          <cell r="H354">
            <v>0</v>
          </cell>
          <cell r="M354">
            <v>0</v>
          </cell>
          <cell r="Q354">
            <v>0</v>
          </cell>
        </row>
        <row r="355">
          <cell r="H355">
            <v>0</v>
          </cell>
          <cell r="M355">
            <v>0</v>
          </cell>
          <cell r="Q355">
            <v>0</v>
          </cell>
        </row>
        <row r="356">
          <cell r="H356">
            <v>0</v>
          </cell>
          <cell r="M356">
            <v>0</v>
          </cell>
          <cell r="Q356">
            <v>0</v>
          </cell>
        </row>
        <row r="357">
          <cell r="H357">
            <v>0</v>
          </cell>
          <cell r="M357">
            <v>0</v>
          </cell>
          <cell r="Q357">
            <v>0</v>
          </cell>
        </row>
        <row r="358">
          <cell r="H358">
            <v>0</v>
          </cell>
          <cell r="M358">
            <v>0</v>
          </cell>
          <cell r="Q358">
            <v>0</v>
          </cell>
        </row>
        <row r="359">
          <cell r="H359">
            <v>0</v>
          </cell>
          <cell r="M359">
            <v>0</v>
          </cell>
          <cell r="Q359">
            <v>0</v>
          </cell>
        </row>
        <row r="360">
          <cell r="H360">
            <v>0</v>
          </cell>
          <cell r="M360">
            <v>0</v>
          </cell>
          <cell r="Q360">
            <v>0</v>
          </cell>
        </row>
        <row r="361">
          <cell r="H361">
            <v>0</v>
          </cell>
          <cell r="M361">
            <v>0</v>
          </cell>
          <cell r="Q361">
            <v>0</v>
          </cell>
        </row>
        <row r="362">
          <cell r="H362">
            <v>0</v>
          </cell>
          <cell r="M362">
            <v>0</v>
          </cell>
          <cell r="Q362">
            <v>0</v>
          </cell>
        </row>
        <row r="363">
          <cell r="H363">
            <v>0</v>
          </cell>
          <cell r="M363">
            <v>0</v>
          </cell>
          <cell r="Q363">
            <v>0</v>
          </cell>
        </row>
        <row r="364">
          <cell r="H364">
            <v>0</v>
          </cell>
          <cell r="M364">
            <v>0</v>
          </cell>
          <cell r="Q364">
            <v>0</v>
          </cell>
        </row>
        <row r="365">
          <cell r="H365">
            <v>0</v>
          </cell>
          <cell r="M365">
            <v>0</v>
          </cell>
          <cell r="Q365">
            <v>0</v>
          </cell>
        </row>
        <row r="366">
          <cell r="H366">
            <v>0</v>
          </cell>
          <cell r="M366">
            <v>0</v>
          </cell>
          <cell r="Q366">
            <v>0</v>
          </cell>
        </row>
        <row r="367">
          <cell r="H367">
            <v>0</v>
          </cell>
          <cell r="M367">
            <v>0</v>
          </cell>
          <cell r="Q367">
            <v>0</v>
          </cell>
        </row>
        <row r="368">
          <cell r="H368">
            <v>0</v>
          </cell>
          <cell r="M368">
            <v>0</v>
          </cell>
          <cell r="Q368">
            <v>0</v>
          </cell>
        </row>
        <row r="369">
          <cell r="H369">
            <v>0</v>
          </cell>
          <cell r="M369">
            <v>0</v>
          </cell>
          <cell r="Q369">
            <v>0</v>
          </cell>
        </row>
        <row r="370">
          <cell r="H370">
            <v>0</v>
          </cell>
          <cell r="M370">
            <v>0</v>
          </cell>
          <cell r="Q370">
            <v>0</v>
          </cell>
        </row>
        <row r="371">
          <cell r="H371">
            <v>0</v>
          </cell>
          <cell r="M371">
            <v>0</v>
          </cell>
          <cell r="Q371">
            <v>0</v>
          </cell>
        </row>
        <row r="372">
          <cell r="H372">
            <v>0</v>
          </cell>
          <cell r="M372">
            <v>0</v>
          </cell>
          <cell r="Q372">
            <v>0</v>
          </cell>
        </row>
        <row r="373">
          <cell r="H373">
            <v>0</v>
          </cell>
          <cell r="M373">
            <v>0</v>
          </cell>
          <cell r="Q373">
            <v>0</v>
          </cell>
        </row>
        <row r="374">
          <cell r="H374">
            <v>0</v>
          </cell>
          <cell r="M374">
            <v>0</v>
          </cell>
          <cell r="Q374">
            <v>0</v>
          </cell>
        </row>
        <row r="375">
          <cell r="H375">
            <v>0</v>
          </cell>
          <cell r="M375">
            <v>0</v>
          </cell>
          <cell r="Q375">
            <v>0</v>
          </cell>
        </row>
        <row r="376">
          <cell r="H376">
            <v>0</v>
          </cell>
          <cell r="M376">
            <v>0</v>
          </cell>
          <cell r="Q376">
            <v>0</v>
          </cell>
        </row>
        <row r="377">
          <cell r="H377">
            <v>0</v>
          </cell>
          <cell r="M377">
            <v>0</v>
          </cell>
          <cell r="Q377">
            <v>0</v>
          </cell>
        </row>
        <row r="378">
          <cell r="H378">
            <v>0</v>
          </cell>
          <cell r="M378">
            <v>0</v>
          </cell>
          <cell r="Q378">
            <v>0</v>
          </cell>
        </row>
        <row r="379">
          <cell r="H379">
            <v>0</v>
          </cell>
          <cell r="M379">
            <v>0</v>
          </cell>
          <cell r="Q379">
            <v>0</v>
          </cell>
        </row>
        <row r="380">
          <cell r="H380">
            <v>0</v>
          </cell>
          <cell r="M380">
            <v>0</v>
          </cell>
          <cell r="Q380">
            <v>0</v>
          </cell>
        </row>
        <row r="381">
          <cell r="H381">
            <v>0</v>
          </cell>
          <cell r="M381">
            <v>0</v>
          </cell>
          <cell r="Q381">
            <v>0</v>
          </cell>
        </row>
        <row r="382">
          <cell r="H382">
            <v>0</v>
          </cell>
          <cell r="M382">
            <v>0</v>
          </cell>
          <cell r="Q382">
            <v>0</v>
          </cell>
        </row>
        <row r="383">
          <cell r="H383">
            <v>0</v>
          </cell>
          <cell r="M383">
            <v>0</v>
          </cell>
          <cell r="Q383">
            <v>0</v>
          </cell>
        </row>
        <row r="384">
          <cell r="H384">
            <v>0</v>
          </cell>
          <cell r="M384">
            <v>0</v>
          </cell>
          <cell r="Q384">
            <v>0</v>
          </cell>
        </row>
        <row r="385">
          <cell r="H385">
            <v>0</v>
          </cell>
          <cell r="M385">
            <v>0</v>
          </cell>
          <cell r="Q385">
            <v>0</v>
          </cell>
        </row>
        <row r="386">
          <cell r="H386">
            <v>0</v>
          </cell>
          <cell r="M386">
            <v>0</v>
          </cell>
          <cell r="Q386">
            <v>0</v>
          </cell>
        </row>
        <row r="387">
          <cell r="H387">
            <v>0</v>
          </cell>
          <cell r="M387">
            <v>0</v>
          </cell>
          <cell r="Q387">
            <v>0</v>
          </cell>
        </row>
        <row r="388">
          <cell r="H388">
            <v>0</v>
          </cell>
          <cell r="M388">
            <v>0</v>
          </cell>
          <cell r="Q388">
            <v>0</v>
          </cell>
        </row>
        <row r="389">
          <cell r="H389">
            <v>0</v>
          </cell>
          <cell r="M389">
            <v>0</v>
          </cell>
          <cell r="Q389">
            <v>0</v>
          </cell>
        </row>
        <row r="390">
          <cell r="H390">
            <v>0</v>
          </cell>
          <cell r="M390">
            <v>0</v>
          </cell>
          <cell r="Q390">
            <v>0</v>
          </cell>
        </row>
        <row r="391">
          <cell r="H391">
            <v>0</v>
          </cell>
          <cell r="M391">
            <v>0</v>
          </cell>
          <cell r="Q391">
            <v>0</v>
          </cell>
        </row>
        <row r="392">
          <cell r="H392">
            <v>0</v>
          </cell>
          <cell r="M392">
            <v>0</v>
          </cell>
          <cell r="Q392">
            <v>0</v>
          </cell>
        </row>
        <row r="393">
          <cell r="H393">
            <v>0</v>
          </cell>
          <cell r="M393">
            <v>0</v>
          </cell>
          <cell r="Q393">
            <v>0</v>
          </cell>
        </row>
        <row r="394">
          <cell r="H394">
            <v>0</v>
          </cell>
          <cell r="M394">
            <v>0</v>
          </cell>
          <cell r="Q394">
            <v>0</v>
          </cell>
        </row>
        <row r="395">
          <cell r="H395">
            <v>0</v>
          </cell>
          <cell r="M395">
            <v>0</v>
          </cell>
          <cell r="Q395">
            <v>0</v>
          </cell>
        </row>
        <row r="396">
          <cell r="H396">
            <v>0</v>
          </cell>
          <cell r="M396">
            <v>0</v>
          </cell>
          <cell r="Q396">
            <v>0</v>
          </cell>
        </row>
        <row r="397">
          <cell r="H397">
            <v>0</v>
          </cell>
          <cell r="M397">
            <v>0</v>
          </cell>
          <cell r="Q397">
            <v>0</v>
          </cell>
        </row>
        <row r="398">
          <cell r="H398">
            <v>0</v>
          </cell>
          <cell r="M398">
            <v>0</v>
          </cell>
          <cell r="Q398">
            <v>0</v>
          </cell>
        </row>
        <row r="399">
          <cell r="H399">
            <v>0</v>
          </cell>
          <cell r="M399">
            <v>0</v>
          </cell>
          <cell r="Q399">
            <v>0</v>
          </cell>
        </row>
        <row r="400">
          <cell r="H400">
            <v>0</v>
          </cell>
          <cell r="M400">
            <v>0</v>
          </cell>
          <cell r="Q400">
            <v>0</v>
          </cell>
        </row>
        <row r="401">
          <cell r="H401">
            <v>0</v>
          </cell>
          <cell r="M401">
            <v>0</v>
          </cell>
          <cell r="Q401">
            <v>0</v>
          </cell>
        </row>
        <row r="402">
          <cell r="H402">
            <v>0</v>
          </cell>
          <cell r="M402">
            <v>0</v>
          </cell>
          <cell r="Q402">
            <v>0</v>
          </cell>
        </row>
        <row r="403">
          <cell r="H403">
            <v>0</v>
          </cell>
          <cell r="M403">
            <v>0</v>
          </cell>
          <cell r="Q403">
            <v>0</v>
          </cell>
        </row>
        <row r="404">
          <cell r="H404">
            <v>0</v>
          </cell>
          <cell r="M404">
            <v>0</v>
          </cell>
          <cell r="Q404">
            <v>0</v>
          </cell>
        </row>
        <row r="405">
          <cell r="H405">
            <v>0</v>
          </cell>
          <cell r="M405">
            <v>0</v>
          </cell>
          <cell r="Q405">
            <v>0</v>
          </cell>
        </row>
        <row r="406">
          <cell r="H406">
            <v>0</v>
          </cell>
          <cell r="M406">
            <v>0</v>
          </cell>
          <cell r="Q406">
            <v>0</v>
          </cell>
        </row>
        <row r="407">
          <cell r="H407">
            <v>0</v>
          </cell>
          <cell r="M407">
            <v>0</v>
          </cell>
          <cell r="Q407">
            <v>0</v>
          </cell>
        </row>
        <row r="408">
          <cell r="H408">
            <v>0</v>
          </cell>
          <cell r="M408">
            <v>0</v>
          </cell>
          <cell r="Q408">
            <v>0</v>
          </cell>
        </row>
        <row r="409">
          <cell r="H409">
            <v>0</v>
          </cell>
          <cell r="M409">
            <v>0</v>
          </cell>
          <cell r="Q409">
            <v>0</v>
          </cell>
        </row>
        <row r="410">
          <cell r="H410">
            <v>0</v>
          </cell>
          <cell r="M410">
            <v>0</v>
          </cell>
          <cell r="Q410">
            <v>0</v>
          </cell>
        </row>
        <row r="411">
          <cell r="H411">
            <v>0</v>
          </cell>
          <cell r="M411">
            <v>0</v>
          </cell>
          <cell r="Q411">
            <v>0</v>
          </cell>
        </row>
        <row r="412">
          <cell r="H412">
            <v>0</v>
          </cell>
          <cell r="M412">
            <v>0</v>
          </cell>
          <cell r="Q412">
            <v>0</v>
          </cell>
        </row>
        <row r="413">
          <cell r="H413">
            <v>0</v>
          </cell>
          <cell r="M413">
            <v>0</v>
          </cell>
          <cell r="Q413">
            <v>0</v>
          </cell>
        </row>
        <row r="414">
          <cell r="H414">
            <v>0</v>
          </cell>
          <cell r="M414">
            <v>0</v>
          </cell>
          <cell r="Q414">
            <v>0</v>
          </cell>
        </row>
        <row r="415">
          <cell r="H415">
            <v>0</v>
          </cell>
          <cell r="M415">
            <v>0</v>
          </cell>
          <cell r="Q415">
            <v>0</v>
          </cell>
        </row>
        <row r="416">
          <cell r="H416">
            <v>0</v>
          </cell>
          <cell r="M416">
            <v>0</v>
          </cell>
          <cell r="Q416">
            <v>0</v>
          </cell>
        </row>
        <row r="417">
          <cell r="H417">
            <v>0</v>
          </cell>
          <cell r="M417">
            <v>0</v>
          </cell>
          <cell r="Q417">
            <v>0</v>
          </cell>
        </row>
        <row r="418">
          <cell r="H418">
            <v>0</v>
          </cell>
          <cell r="M418">
            <v>0</v>
          </cell>
          <cell r="Q418">
            <v>0</v>
          </cell>
        </row>
        <row r="419">
          <cell r="H419">
            <v>0</v>
          </cell>
          <cell r="M419">
            <v>0</v>
          </cell>
          <cell r="Q419">
            <v>0</v>
          </cell>
        </row>
        <row r="420">
          <cell r="H420">
            <v>0</v>
          </cell>
          <cell r="M420">
            <v>0</v>
          </cell>
          <cell r="Q420">
            <v>0</v>
          </cell>
        </row>
        <row r="421">
          <cell r="H421">
            <v>0</v>
          </cell>
          <cell r="M421">
            <v>0</v>
          </cell>
          <cell r="Q421">
            <v>0</v>
          </cell>
        </row>
        <row r="422">
          <cell r="H422">
            <v>0</v>
          </cell>
          <cell r="M422">
            <v>0</v>
          </cell>
          <cell r="Q422">
            <v>0</v>
          </cell>
        </row>
        <row r="423">
          <cell r="H423">
            <v>0</v>
          </cell>
          <cell r="M423">
            <v>0</v>
          </cell>
          <cell r="Q423">
            <v>0</v>
          </cell>
        </row>
        <row r="424">
          <cell r="H424">
            <v>0</v>
          </cell>
          <cell r="M424">
            <v>0</v>
          </cell>
          <cell r="Q424">
            <v>0</v>
          </cell>
        </row>
        <row r="425">
          <cell r="H425">
            <v>0</v>
          </cell>
          <cell r="M425">
            <v>0</v>
          </cell>
          <cell r="Q425">
            <v>0</v>
          </cell>
        </row>
        <row r="426">
          <cell r="H426">
            <v>0</v>
          </cell>
          <cell r="M426">
            <v>0</v>
          </cell>
          <cell r="Q426">
            <v>0</v>
          </cell>
        </row>
        <row r="427">
          <cell r="H427">
            <v>0</v>
          </cell>
          <cell r="M427">
            <v>0</v>
          </cell>
          <cell r="Q427">
            <v>0</v>
          </cell>
        </row>
        <row r="428">
          <cell r="H428">
            <v>0</v>
          </cell>
          <cell r="M428">
            <v>0</v>
          </cell>
          <cell r="Q428">
            <v>0</v>
          </cell>
        </row>
        <row r="429">
          <cell r="H429">
            <v>0</v>
          </cell>
          <cell r="M429">
            <v>0</v>
          </cell>
          <cell r="Q429">
            <v>0</v>
          </cell>
        </row>
        <row r="430">
          <cell r="H430">
            <v>0</v>
          </cell>
          <cell r="M430">
            <v>0</v>
          </cell>
          <cell r="Q430">
            <v>0</v>
          </cell>
        </row>
        <row r="431">
          <cell r="H431">
            <v>0</v>
          </cell>
          <cell r="M431">
            <v>0</v>
          </cell>
          <cell r="Q431">
            <v>0</v>
          </cell>
        </row>
        <row r="432">
          <cell r="H432">
            <v>0</v>
          </cell>
          <cell r="M432">
            <v>0</v>
          </cell>
          <cell r="Q432">
            <v>0</v>
          </cell>
        </row>
        <row r="433">
          <cell r="H433">
            <v>0</v>
          </cell>
          <cell r="M433">
            <v>0</v>
          </cell>
          <cell r="Q433">
            <v>0</v>
          </cell>
        </row>
        <row r="434">
          <cell r="H434">
            <v>0</v>
          </cell>
          <cell r="M434">
            <v>0</v>
          </cell>
          <cell r="Q434">
            <v>0</v>
          </cell>
        </row>
        <row r="435">
          <cell r="H435">
            <v>0</v>
          </cell>
          <cell r="M435">
            <v>0</v>
          </cell>
          <cell r="Q435">
            <v>0</v>
          </cell>
        </row>
        <row r="436">
          <cell r="H436">
            <v>0</v>
          </cell>
          <cell r="M436">
            <v>0</v>
          </cell>
          <cell r="Q436">
            <v>0</v>
          </cell>
        </row>
        <row r="437">
          <cell r="H437">
            <v>0</v>
          </cell>
          <cell r="M437">
            <v>0</v>
          </cell>
          <cell r="Q437">
            <v>0</v>
          </cell>
        </row>
        <row r="438">
          <cell r="H438">
            <v>0</v>
          </cell>
          <cell r="M438">
            <v>0</v>
          </cell>
          <cell r="Q438">
            <v>0</v>
          </cell>
        </row>
        <row r="439">
          <cell r="H439">
            <v>0</v>
          </cell>
          <cell r="M439">
            <v>0</v>
          </cell>
          <cell r="Q439">
            <v>0</v>
          </cell>
        </row>
        <row r="440">
          <cell r="H440">
            <v>0</v>
          </cell>
          <cell r="M440">
            <v>0</v>
          </cell>
          <cell r="Q440">
            <v>0</v>
          </cell>
        </row>
        <row r="441">
          <cell r="H441">
            <v>0</v>
          </cell>
          <cell r="M441">
            <v>0</v>
          </cell>
          <cell r="Q441">
            <v>0</v>
          </cell>
        </row>
        <row r="442">
          <cell r="H442">
            <v>0</v>
          </cell>
          <cell r="M442">
            <v>0</v>
          </cell>
          <cell r="Q442">
            <v>0</v>
          </cell>
        </row>
        <row r="443">
          <cell r="H443">
            <v>0</v>
          </cell>
          <cell r="M443">
            <v>0</v>
          </cell>
          <cell r="Q443">
            <v>0</v>
          </cell>
        </row>
        <row r="444">
          <cell r="H444">
            <v>0</v>
          </cell>
          <cell r="M444">
            <v>0</v>
          </cell>
          <cell r="Q444">
            <v>0</v>
          </cell>
        </row>
        <row r="445">
          <cell r="H445">
            <v>0</v>
          </cell>
          <cell r="M445">
            <v>0</v>
          </cell>
          <cell r="Q445">
            <v>0</v>
          </cell>
        </row>
        <row r="446">
          <cell r="H446">
            <v>0</v>
          </cell>
          <cell r="M446">
            <v>0</v>
          </cell>
          <cell r="Q446">
            <v>0</v>
          </cell>
        </row>
        <row r="447">
          <cell r="H447">
            <v>0</v>
          </cell>
          <cell r="M447">
            <v>0</v>
          </cell>
          <cell r="Q447">
            <v>0</v>
          </cell>
        </row>
        <row r="448">
          <cell r="H448">
            <v>0</v>
          </cell>
          <cell r="M448">
            <v>0</v>
          </cell>
          <cell r="Q448">
            <v>0</v>
          </cell>
        </row>
        <row r="449">
          <cell r="H449">
            <v>0</v>
          </cell>
          <cell r="M449">
            <v>0</v>
          </cell>
          <cell r="Q449">
            <v>0</v>
          </cell>
        </row>
        <row r="450">
          <cell r="H450">
            <v>0</v>
          </cell>
          <cell r="M450">
            <v>0</v>
          </cell>
          <cell r="Q450">
            <v>0</v>
          </cell>
        </row>
        <row r="451">
          <cell r="H451">
            <v>0</v>
          </cell>
          <cell r="M451">
            <v>0</v>
          </cell>
          <cell r="Q451">
            <v>0</v>
          </cell>
        </row>
        <row r="452">
          <cell r="H452">
            <v>0</v>
          </cell>
          <cell r="M452">
            <v>0</v>
          </cell>
          <cell r="Q452">
            <v>0</v>
          </cell>
        </row>
        <row r="453">
          <cell r="H453">
            <v>0</v>
          </cell>
          <cell r="M453">
            <v>0</v>
          </cell>
          <cell r="Q453">
            <v>0</v>
          </cell>
        </row>
        <row r="454">
          <cell r="H454">
            <v>0</v>
          </cell>
          <cell r="M454">
            <v>0</v>
          </cell>
          <cell r="Q454">
            <v>0</v>
          </cell>
        </row>
        <row r="455">
          <cell r="H455">
            <v>0</v>
          </cell>
          <cell r="M455">
            <v>0</v>
          </cell>
          <cell r="Q455">
            <v>0</v>
          </cell>
        </row>
        <row r="456">
          <cell r="H456">
            <v>0</v>
          </cell>
          <cell r="M456">
            <v>0</v>
          </cell>
          <cell r="Q456">
            <v>0</v>
          </cell>
        </row>
        <row r="457">
          <cell r="H457">
            <v>0</v>
          </cell>
          <cell r="M457">
            <v>0</v>
          </cell>
          <cell r="Q457">
            <v>0</v>
          </cell>
        </row>
        <row r="458">
          <cell r="H458">
            <v>0</v>
          </cell>
          <cell r="M458">
            <v>0</v>
          </cell>
          <cell r="Q458">
            <v>0</v>
          </cell>
        </row>
        <row r="459">
          <cell r="H459">
            <v>0</v>
          </cell>
          <cell r="M459">
            <v>0</v>
          </cell>
          <cell r="Q459">
            <v>0</v>
          </cell>
        </row>
        <row r="460">
          <cell r="H460">
            <v>0</v>
          </cell>
          <cell r="M460">
            <v>0</v>
          </cell>
          <cell r="Q460">
            <v>0</v>
          </cell>
        </row>
        <row r="461">
          <cell r="H461">
            <v>0</v>
          </cell>
          <cell r="M461">
            <v>0</v>
          </cell>
          <cell r="Q461">
            <v>0</v>
          </cell>
        </row>
        <row r="462">
          <cell r="H462">
            <v>0</v>
          </cell>
          <cell r="M462">
            <v>0</v>
          </cell>
          <cell r="Q462">
            <v>0</v>
          </cell>
        </row>
        <row r="463">
          <cell r="H463">
            <v>0</v>
          </cell>
          <cell r="M463">
            <v>0</v>
          </cell>
          <cell r="Q463">
            <v>0</v>
          </cell>
        </row>
        <row r="464">
          <cell r="H464">
            <v>0</v>
          </cell>
          <cell r="M464">
            <v>0</v>
          </cell>
          <cell r="Q464">
            <v>0</v>
          </cell>
        </row>
        <row r="465">
          <cell r="H465">
            <v>0</v>
          </cell>
          <cell r="M465">
            <v>0</v>
          </cell>
          <cell r="Q465">
            <v>0</v>
          </cell>
        </row>
        <row r="466">
          <cell r="H466">
            <v>0</v>
          </cell>
          <cell r="M466">
            <v>0</v>
          </cell>
          <cell r="Q466">
            <v>0</v>
          </cell>
        </row>
        <row r="467">
          <cell r="H467">
            <v>0</v>
          </cell>
          <cell r="M467">
            <v>0</v>
          </cell>
          <cell r="Q467">
            <v>0</v>
          </cell>
        </row>
        <row r="468">
          <cell r="H468">
            <v>0</v>
          </cell>
          <cell r="M468">
            <v>0</v>
          </cell>
          <cell r="Q468">
            <v>0</v>
          </cell>
        </row>
        <row r="469">
          <cell r="H469">
            <v>0</v>
          </cell>
          <cell r="M469">
            <v>0</v>
          </cell>
          <cell r="Q469">
            <v>0</v>
          </cell>
        </row>
        <row r="470">
          <cell r="H470">
            <v>0</v>
          </cell>
          <cell r="M470">
            <v>0</v>
          </cell>
          <cell r="Q470">
            <v>0</v>
          </cell>
        </row>
        <row r="471">
          <cell r="H471">
            <v>0</v>
          </cell>
          <cell r="M471">
            <v>0</v>
          </cell>
          <cell r="Q471">
            <v>0</v>
          </cell>
        </row>
        <row r="472">
          <cell r="H472">
            <v>0</v>
          </cell>
          <cell r="M472">
            <v>0</v>
          </cell>
          <cell r="Q472">
            <v>0</v>
          </cell>
        </row>
        <row r="473">
          <cell r="H473">
            <v>0</v>
          </cell>
          <cell r="M473">
            <v>0</v>
          </cell>
          <cell r="Q473">
            <v>0</v>
          </cell>
        </row>
        <row r="474">
          <cell r="H474">
            <v>0</v>
          </cell>
          <cell r="M474">
            <v>0</v>
          </cell>
          <cell r="Q474">
            <v>0</v>
          </cell>
        </row>
        <row r="475">
          <cell r="H475">
            <v>0</v>
          </cell>
          <cell r="M475">
            <v>0</v>
          </cell>
          <cell r="Q475">
            <v>0</v>
          </cell>
        </row>
        <row r="476">
          <cell r="H476">
            <v>0</v>
          </cell>
          <cell r="M476">
            <v>0</v>
          </cell>
          <cell r="Q476">
            <v>0</v>
          </cell>
        </row>
        <row r="477">
          <cell r="H477">
            <v>0</v>
          </cell>
          <cell r="M477">
            <v>0</v>
          </cell>
          <cell r="Q477">
            <v>0</v>
          </cell>
        </row>
        <row r="478">
          <cell r="H478">
            <v>0</v>
          </cell>
          <cell r="M478">
            <v>0</v>
          </cell>
          <cell r="Q478">
            <v>0</v>
          </cell>
        </row>
        <row r="479">
          <cell r="H479">
            <v>0</v>
          </cell>
          <cell r="M479">
            <v>0</v>
          </cell>
          <cell r="Q479">
            <v>0</v>
          </cell>
        </row>
        <row r="480">
          <cell r="H480">
            <v>0</v>
          </cell>
          <cell r="M480">
            <v>0</v>
          </cell>
          <cell r="Q480">
            <v>0</v>
          </cell>
        </row>
        <row r="481">
          <cell r="H481">
            <v>0</v>
          </cell>
          <cell r="M481">
            <v>0</v>
          </cell>
          <cell r="Q481">
            <v>0</v>
          </cell>
        </row>
        <row r="482">
          <cell r="H482">
            <v>0</v>
          </cell>
          <cell r="M482">
            <v>0</v>
          </cell>
          <cell r="Q482">
            <v>0</v>
          </cell>
        </row>
        <row r="483">
          <cell r="H483">
            <v>0</v>
          </cell>
          <cell r="M483">
            <v>0</v>
          </cell>
          <cell r="Q483">
            <v>0</v>
          </cell>
        </row>
        <row r="484">
          <cell r="H484">
            <v>0</v>
          </cell>
          <cell r="M484">
            <v>0</v>
          </cell>
          <cell r="Q484">
            <v>0</v>
          </cell>
        </row>
        <row r="485">
          <cell r="H485">
            <v>0</v>
          </cell>
          <cell r="M485">
            <v>0</v>
          </cell>
          <cell r="Q485">
            <v>0</v>
          </cell>
        </row>
        <row r="486">
          <cell r="H486">
            <v>0</v>
          </cell>
          <cell r="M486">
            <v>0</v>
          </cell>
          <cell r="Q486">
            <v>0</v>
          </cell>
        </row>
        <row r="487">
          <cell r="H487">
            <v>0</v>
          </cell>
          <cell r="M487">
            <v>0</v>
          </cell>
          <cell r="Q487">
            <v>0</v>
          </cell>
        </row>
        <row r="488">
          <cell r="H488">
            <v>0</v>
          </cell>
          <cell r="M488">
            <v>0</v>
          </cell>
          <cell r="Q488">
            <v>0</v>
          </cell>
        </row>
        <row r="489">
          <cell r="H489">
            <v>0</v>
          </cell>
          <cell r="M489">
            <v>0</v>
          </cell>
          <cell r="Q489">
            <v>0</v>
          </cell>
        </row>
        <row r="490">
          <cell r="H490">
            <v>0</v>
          </cell>
          <cell r="M490">
            <v>0</v>
          </cell>
          <cell r="Q490">
            <v>0</v>
          </cell>
        </row>
        <row r="491">
          <cell r="H491">
            <v>0</v>
          </cell>
          <cell r="M491">
            <v>0</v>
          </cell>
          <cell r="Q491">
            <v>0</v>
          </cell>
        </row>
        <row r="492">
          <cell r="H492">
            <v>0</v>
          </cell>
          <cell r="M492">
            <v>0</v>
          </cell>
          <cell r="Q492">
            <v>0</v>
          </cell>
        </row>
        <row r="493">
          <cell r="H493">
            <v>0</v>
          </cell>
          <cell r="M493">
            <v>0</v>
          </cell>
          <cell r="Q493">
            <v>0</v>
          </cell>
        </row>
        <row r="494">
          <cell r="H494">
            <v>0</v>
          </cell>
          <cell r="M494">
            <v>0</v>
          </cell>
          <cell r="Q494">
            <v>0</v>
          </cell>
        </row>
        <row r="495">
          <cell r="H495">
            <v>0</v>
          </cell>
          <cell r="M495">
            <v>0</v>
          </cell>
          <cell r="Q495">
            <v>0</v>
          </cell>
        </row>
        <row r="496">
          <cell r="H496">
            <v>0</v>
          </cell>
          <cell r="M496">
            <v>0</v>
          </cell>
          <cell r="Q496">
            <v>0</v>
          </cell>
        </row>
        <row r="497">
          <cell r="H497">
            <v>0</v>
          </cell>
          <cell r="M497">
            <v>0</v>
          </cell>
          <cell r="Q497">
            <v>0</v>
          </cell>
        </row>
        <row r="498">
          <cell r="H498">
            <v>0</v>
          </cell>
          <cell r="M498">
            <v>0</v>
          </cell>
          <cell r="Q498">
            <v>0</v>
          </cell>
        </row>
        <row r="499">
          <cell r="H499">
            <v>0</v>
          </cell>
          <cell r="M499">
            <v>0</v>
          </cell>
          <cell r="Q499">
            <v>0</v>
          </cell>
        </row>
        <row r="500">
          <cell r="H500">
            <v>0</v>
          </cell>
          <cell r="M500">
            <v>0</v>
          </cell>
          <cell r="Q500">
            <v>0</v>
          </cell>
        </row>
        <row r="501">
          <cell r="H501">
            <v>0</v>
          </cell>
          <cell r="M501">
            <v>0</v>
          </cell>
          <cell r="Q501">
            <v>0</v>
          </cell>
        </row>
        <row r="502">
          <cell r="H502">
            <v>0</v>
          </cell>
          <cell r="M502">
            <v>0</v>
          </cell>
          <cell r="Q502">
            <v>0</v>
          </cell>
        </row>
        <row r="503">
          <cell r="H503">
            <v>0</v>
          </cell>
          <cell r="M503">
            <v>0</v>
          </cell>
          <cell r="Q503">
            <v>0</v>
          </cell>
        </row>
        <row r="504">
          <cell r="H504">
            <v>0</v>
          </cell>
          <cell r="M504">
            <v>0</v>
          </cell>
          <cell r="Q504">
            <v>0</v>
          </cell>
        </row>
        <row r="505">
          <cell r="H505">
            <v>0</v>
          </cell>
          <cell r="M505">
            <v>0</v>
          </cell>
          <cell r="Q505">
            <v>0</v>
          </cell>
        </row>
        <row r="506">
          <cell r="H506">
            <v>0</v>
          </cell>
          <cell r="M506">
            <v>0</v>
          </cell>
          <cell r="Q506">
            <v>0</v>
          </cell>
        </row>
        <row r="507">
          <cell r="H507">
            <v>0</v>
          </cell>
          <cell r="M507">
            <v>0</v>
          </cell>
          <cell r="Q507">
            <v>0</v>
          </cell>
        </row>
        <row r="508">
          <cell r="H508">
            <v>0</v>
          </cell>
          <cell r="M508">
            <v>0</v>
          </cell>
          <cell r="Q508">
            <v>0</v>
          </cell>
        </row>
        <row r="509">
          <cell r="H509">
            <v>0</v>
          </cell>
          <cell r="M509">
            <v>0</v>
          </cell>
          <cell r="Q509">
            <v>0</v>
          </cell>
        </row>
        <row r="510">
          <cell r="H510">
            <v>0</v>
          </cell>
          <cell r="M510">
            <v>0</v>
          </cell>
          <cell r="Q510">
            <v>0</v>
          </cell>
        </row>
        <row r="511">
          <cell r="H511">
            <v>0</v>
          </cell>
          <cell r="M511">
            <v>0</v>
          </cell>
          <cell r="Q511">
            <v>0</v>
          </cell>
        </row>
        <row r="512">
          <cell r="H512">
            <v>0</v>
          </cell>
          <cell r="M512">
            <v>0</v>
          </cell>
          <cell r="Q512">
            <v>0</v>
          </cell>
        </row>
        <row r="513">
          <cell r="H513">
            <v>0</v>
          </cell>
          <cell r="M513">
            <v>0</v>
          </cell>
          <cell r="Q513">
            <v>0</v>
          </cell>
        </row>
        <row r="514">
          <cell r="H514">
            <v>0</v>
          </cell>
          <cell r="M514">
            <v>0</v>
          </cell>
          <cell r="Q514">
            <v>0</v>
          </cell>
        </row>
        <row r="515">
          <cell r="H515">
            <v>0</v>
          </cell>
          <cell r="M515">
            <v>0</v>
          </cell>
          <cell r="Q515">
            <v>0</v>
          </cell>
        </row>
        <row r="516">
          <cell r="H516">
            <v>0</v>
          </cell>
          <cell r="M516">
            <v>0</v>
          </cell>
          <cell r="Q516">
            <v>0</v>
          </cell>
        </row>
        <row r="517">
          <cell r="H517">
            <v>0</v>
          </cell>
          <cell r="M517">
            <v>0</v>
          </cell>
          <cell r="Q517">
            <v>0</v>
          </cell>
        </row>
        <row r="518">
          <cell r="H518">
            <v>0</v>
          </cell>
          <cell r="M518">
            <v>0</v>
          </cell>
          <cell r="Q518">
            <v>0</v>
          </cell>
        </row>
        <row r="519">
          <cell r="H519">
            <v>0</v>
          </cell>
          <cell r="M519">
            <v>0</v>
          </cell>
          <cell r="Q519">
            <v>0</v>
          </cell>
        </row>
        <row r="520">
          <cell r="H520">
            <v>0</v>
          </cell>
          <cell r="M520">
            <v>0</v>
          </cell>
          <cell r="Q520">
            <v>0</v>
          </cell>
        </row>
        <row r="521">
          <cell r="H521">
            <v>0</v>
          </cell>
          <cell r="M521">
            <v>0</v>
          </cell>
          <cell r="Q521">
            <v>0</v>
          </cell>
        </row>
        <row r="522">
          <cell r="H522">
            <v>0</v>
          </cell>
          <cell r="M522">
            <v>0</v>
          </cell>
          <cell r="Q522">
            <v>0</v>
          </cell>
        </row>
        <row r="523">
          <cell r="H523">
            <v>0</v>
          </cell>
          <cell r="M523">
            <v>0</v>
          </cell>
          <cell r="Q523">
            <v>0</v>
          </cell>
        </row>
        <row r="524">
          <cell r="H524">
            <v>0</v>
          </cell>
          <cell r="M524">
            <v>0</v>
          </cell>
          <cell r="Q524">
            <v>0</v>
          </cell>
        </row>
        <row r="525">
          <cell r="H525">
            <v>0</v>
          </cell>
          <cell r="M525">
            <v>0</v>
          </cell>
          <cell r="Q525">
            <v>0</v>
          </cell>
        </row>
        <row r="526">
          <cell r="H526">
            <v>0</v>
          </cell>
          <cell r="M526">
            <v>0</v>
          </cell>
          <cell r="Q526">
            <v>0</v>
          </cell>
        </row>
        <row r="527">
          <cell r="H527">
            <v>0</v>
          </cell>
          <cell r="M527">
            <v>0</v>
          </cell>
          <cell r="Q527">
            <v>0</v>
          </cell>
        </row>
        <row r="528">
          <cell r="H528">
            <v>0</v>
          </cell>
          <cell r="M528">
            <v>0</v>
          </cell>
          <cell r="Q528">
            <v>0</v>
          </cell>
        </row>
        <row r="529">
          <cell r="H529">
            <v>0</v>
          </cell>
          <cell r="M529">
            <v>0</v>
          </cell>
          <cell r="Q529">
            <v>0</v>
          </cell>
        </row>
        <row r="530">
          <cell r="H530">
            <v>0</v>
          </cell>
          <cell r="M530">
            <v>0</v>
          </cell>
          <cell r="Q530">
            <v>0</v>
          </cell>
        </row>
        <row r="531">
          <cell r="H531">
            <v>0</v>
          </cell>
          <cell r="M531">
            <v>0</v>
          </cell>
          <cell r="Q531">
            <v>0</v>
          </cell>
        </row>
        <row r="532">
          <cell r="H532">
            <v>0</v>
          </cell>
          <cell r="M532">
            <v>0</v>
          </cell>
          <cell r="Q532">
            <v>0</v>
          </cell>
        </row>
        <row r="533">
          <cell r="H533">
            <v>0</v>
          </cell>
          <cell r="M533">
            <v>0</v>
          </cell>
          <cell r="Q533">
            <v>0</v>
          </cell>
        </row>
        <row r="534">
          <cell r="H534">
            <v>0</v>
          </cell>
          <cell r="M534">
            <v>0</v>
          </cell>
          <cell r="Q534">
            <v>0</v>
          </cell>
        </row>
        <row r="535">
          <cell r="H535">
            <v>0</v>
          </cell>
          <cell r="M535">
            <v>0</v>
          </cell>
          <cell r="Q535">
            <v>0</v>
          </cell>
        </row>
        <row r="536">
          <cell r="H536">
            <v>0</v>
          </cell>
          <cell r="M536">
            <v>0</v>
          </cell>
          <cell r="Q536">
            <v>0</v>
          </cell>
        </row>
        <row r="537">
          <cell r="H537">
            <v>0</v>
          </cell>
          <cell r="M537">
            <v>0</v>
          </cell>
          <cell r="Q537">
            <v>0</v>
          </cell>
        </row>
        <row r="538">
          <cell r="H538">
            <v>0</v>
          </cell>
          <cell r="M538">
            <v>0</v>
          </cell>
          <cell r="Q538">
            <v>0</v>
          </cell>
        </row>
        <row r="539">
          <cell r="H539">
            <v>0</v>
          </cell>
          <cell r="M539">
            <v>0</v>
          </cell>
          <cell r="Q539">
            <v>0</v>
          </cell>
        </row>
        <row r="540">
          <cell r="H540">
            <v>0</v>
          </cell>
          <cell r="M540">
            <v>0</v>
          </cell>
          <cell r="Q540">
            <v>0</v>
          </cell>
        </row>
        <row r="541">
          <cell r="H541">
            <v>0</v>
          </cell>
          <cell r="M541">
            <v>0</v>
          </cell>
          <cell r="Q541">
            <v>0</v>
          </cell>
        </row>
        <row r="542">
          <cell r="H542">
            <v>0</v>
          </cell>
          <cell r="M542">
            <v>0</v>
          </cell>
          <cell r="Q542">
            <v>0</v>
          </cell>
        </row>
        <row r="543">
          <cell r="H543">
            <v>0</v>
          </cell>
          <cell r="M543">
            <v>0</v>
          </cell>
          <cell r="Q543">
            <v>0</v>
          </cell>
        </row>
        <row r="544">
          <cell r="H544">
            <v>0</v>
          </cell>
          <cell r="M544">
            <v>0</v>
          </cell>
          <cell r="Q544">
            <v>0</v>
          </cell>
        </row>
        <row r="545">
          <cell r="H545">
            <v>0</v>
          </cell>
          <cell r="M545">
            <v>0</v>
          </cell>
          <cell r="Q545">
            <v>0</v>
          </cell>
        </row>
        <row r="546">
          <cell r="H546">
            <v>0</v>
          </cell>
          <cell r="M546">
            <v>0</v>
          </cell>
          <cell r="Q546">
            <v>0</v>
          </cell>
        </row>
        <row r="547">
          <cell r="H547">
            <v>0</v>
          </cell>
          <cell r="M547">
            <v>0</v>
          </cell>
          <cell r="Q547">
            <v>0</v>
          </cell>
        </row>
        <row r="548">
          <cell r="H548">
            <v>0</v>
          </cell>
          <cell r="M548">
            <v>0</v>
          </cell>
          <cell r="Q548">
            <v>0</v>
          </cell>
        </row>
        <row r="549">
          <cell r="H549">
            <v>0</v>
          </cell>
          <cell r="M549">
            <v>0</v>
          </cell>
          <cell r="Q549">
            <v>0</v>
          </cell>
        </row>
        <row r="550">
          <cell r="H550">
            <v>0</v>
          </cell>
          <cell r="M550">
            <v>0</v>
          </cell>
          <cell r="Q550">
            <v>0</v>
          </cell>
        </row>
        <row r="551">
          <cell r="H551">
            <v>0</v>
          </cell>
          <cell r="M551">
            <v>0</v>
          </cell>
          <cell r="Q551">
            <v>0</v>
          </cell>
        </row>
        <row r="552">
          <cell r="H552">
            <v>0</v>
          </cell>
          <cell r="M552">
            <v>0</v>
          </cell>
          <cell r="Q552">
            <v>0</v>
          </cell>
        </row>
        <row r="553">
          <cell r="H553">
            <v>0</v>
          </cell>
          <cell r="M553">
            <v>0</v>
          </cell>
          <cell r="Q553">
            <v>0</v>
          </cell>
        </row>
        <row r="554">
          <cell r="H554">
            <v>0</v>
          </cell>
          <cell r="M554">
            <v>0</v>
          </cell>
          <cell r="Q554">
            <v>0</v>
          </cell>
        </row>
        <row r="555">
          <cell r="H555">
            <v>0</v>
          </cell>
          <cell r="M555">
            <v>0</v>
          </cell>
          <cell r="Q555">
            <v>0</v>
          </cell>
        </row>
        <row r="556">
          <cell r="H556">
            <v>0</v>
          </cell>
          <cell r="M556">
            <v>0</v>
          </cell>
          <cell r="Q556">
            <v>0</v>
          </cell>
        </row>
        <row r="557">
          <cell r="H557">
            <v>0</v>
          </cell>
          <cell r="M557">
            <v>0</v>
          </cell>
          <cell r="Q557">
            <v>0</v>
          </cell>
        </row>
        <row r="558">
          <cell r="H558">
            <v>0</v>
          </cell>
          <cell r="M558">
            <v>0</v>
          </cell>
          <cell r="Q558">
            <v>0</v>
          </cell>
        </row>
        <row r="559">
          <cell r="H559">
            <v>0</v>
          </cell>
          <cell r="M559">
            <v>0</v>
          </cell>
          <cell r="Q559">
            <v>0</v>
          </cell>
        </row>
        <row r="560">
          <cell r="H560">
            <v>0</v>
          </cell>
          <cell r="M560">
            <v>0</v>
          </cell>
          <cell r="Q560">
            <v>0</v>
          </cell>
        </row>
        <row r="561">
          <cell r="H561">
            <v>0</v>
          </cell>
          <cell r="M561">
            <v>0</v>
          </cell>
          <cell r="Q561">
            <v>0</v>
          </cell>
        </row>
        <row r="562">
          <cell r="H562">
            <v>0</v>
          </cell>
          <cell r="M562">
            <v>0</v>
          </cell>
          <cell r="Q562">
            <v>0</v>
          </cell>
        </row>
        <row r="563">
          <cell r="H563">
            <v>0</v>
          </cell>
          <cell r="M563">
            <v>0</v>
          </cell>
          <cell r="Q563">
            <v>0</v>
          </cell>
        </row>
        <row r="564">
          <cell r="H564">
            <v>0</v>
          </cell>
          <cell r="M564">
            <v>0</v>
          </cell>
          <cell r="Q564">
            <v>0</v>
          </cell>
        </row>
        <row r="565">
          <cell r="H565">
            <v>0</v>
          </cell>
          <cell r="M565">
            <v>0</v>
          </cell>
          <cell r="Q565">
            <v>0</v>
          </cell>
        </row>
        <row r="566">
          <cell r="H566">
            <v>0</v>
          </cell>
          <cell r="M566">
            <v>0</v>
          </cell>
          <cell r="Q566">
            <v>0</v>
          </cell>
        </row>
        <row r="567">
          <cell r="H567">
            <v>0</v>
          </cell>
          <cell r="M567">
            <v>0</v>
          </cell>
          <cell r="Q567">
            <v>0</v>
          </cell>
        </row>
        <row r="568">
          <cell r="H568">
            <v>0</v>
          </cell>
          <cell r="M568">
            <v>0</v>
          </cell>
          <cell r="Q568">
            <v>0</v>
          </cell>
        </row>
        <row r="569">
          <cell r="H569">
            <v>0</v>
          </cell>
          <cell r="M569">
            <v>0</v>
          </cell>
          <cell r="Q569">
            <v>0</v>
          </cell>
        </row>
        <row r="570">
          <cell r="H570">
            <v>0</v>
          </cell>
          <cell r="M570">
            <v>0</v>
          </cell>
          <cell r="Q570">
            <v>0</v>
          </cell>
        </row>
        <row r="571">
          <cell r="H571">
            <v>0</v>
          </cell>
          <cell r="M571">
            <v>0</v>
          </cell>
          <cell r="Q571">
            <v>0</v>
          </cell>
        </row>
        <row r="572">
          <cell r="H572">
            <v>0</v>
          </cell>
          <cell r="M572">
            <v>0</v>
          </cell>
          <cell r="Q572">
            <v>0</v>
          </cell>
        </row>
        <row r="573">
          <cell r="H573">
            <v>0</v>
          </cell>
          <cell r="M573">
            <v>0</v>
          </cell>
          <cell r="Q573">
            <v>0</v>
          </cell>
        </row>
        <row r="574">
          <cell r="H574">
            <v>0</v>
          </cell>
          <cell r="M574">
            <v>0</v>
          </cell>
          <cell r="Q574">
            <v>0</v>
          </cell>
        </row>
        <row r="575">
          <cell r="H575">
            <v>0</v>
          </cell>
          <cell r="M575">
            <v>0</v>
          </cell>
          <cell r="Q575">
            <v>0</v>
          </cell>
        </row>
        <row r="576">
          <cell r="H576">
            <v>0</v>
          </cell>
          <cell r="M576">
            <v>0</v>
          </cell>
          <cell r="Q576">
            <v>0</v>
          </cell>
        </row>
        <row r="577">
          <cell r="H577">
            <v>0</v>
          </cell>
          <cell r="M577">
            <v>0</v>
          </cell>
          <cell r="Q577">
            <v>0</v>
          </cell>
        </row>
        <row r="578">
          <cell r="H578">
            <v>0</v>
          </cell>
          <cell r="M578">
            <v>0</v>
          </cell>
          <cell r="Q578">
            <v>0</v>
          </cell>
        </row>
        <row r="579">
          <cell r="H579">
            <v>0</v>
          </cell>
          <cell r="M579">
            <v>0</v>
          </cell>
          <cell r="Q579">
            <v>0</v>
          </cell>
        </row>
        <row r="580">
          <cell r="H580">
            <v>0</v>
          </cell>
          <cell r="M580">
            <v>0</v>
          </cell>
          <cell r="Q580">
            <v>0</v>
          </cell>
        </row>
        <row r="581">
          <cell r="H581">
            <v>0</v>
          </cell>
          <cell r="M581">
            <v>0</v>
          </cell>
          <cell r="Q581">
            <v>0</v>
          </cell>
        </row>
        <row r="582">
          <cell r="H582">
            <v>0</v>
          </cell>
          <cell r="M582">
            <v>0</v>
          </cell>
          <cell r="Q582">
            <v>0</v>
          </cell>
        </row>
        <row r="583">
          <cell r="H583">
            <v>0</v>
          </cell>
          <cell r="M583">
            <v>0</v>
          </cell>
          <cell r="Q583">
            <v>0</v>
          </cell>
        </row>
        <row r="584">
          <cell r="H584">
            <v>0</v>
          </cell>
          <cell r="M584">
            <v>0</v>
          </cell>
          <cell r="Q584">
            <v>0</v>
          </cell>
        </row>
        <row r="585">
          <cell r="H585">
            <v>0</v>
          </cell>
          <cell r="M585">
            <v>0</v>
          </cell>
          <cell r="Q585">
            <v>0</v>
          </cell>
        </row>
        <row r="586">
          <cell r="H586">
            <v>0</v>
          </cell>
          <cell r="M586">
            <v>0</v>
          </cell>
          <cell r="Q586">
            <v>0</v>
          </cell>
        </row>
        <row r="587">
          <cell r="H587">
            <v>0</v>
          </cell>
          <cell r="M587">
            <v>0</v>
          </cell>
          <cell r="Q587">
            <v>0</v>
          </cell>
        </row>
        <row r="588">
          <cell r="H588">
            <v>0</v>
          </cell>
          <cell r="M588">
            <v>0</v>
          </cell>
          <cell r="Q588">
            <v>0</v>
          </cell>
        </row>
        <row r="589">
          <cell r="H589">
            <v>0</v>
          </cell>
          <cell r="M589">
            <v>0</v>
          </cell>
          <cell r="Q589">
            <v>0</v>
          </cell>
        </row>
        <row r="590">
          <cell r="H590">
            <v>0</v>
          </cell>
          <cell r="M590">
            <v>0</v>
          </cell>
          <cell r="Q590">
            <v>0</v>
          </cell>
        </row>
        <row r="591">
          <cell r="H591">
            <v>0</v>
          </cell>
          <cell r="M591">
            <v>0</v>
          </cell>
          <cell r="Q591">
            <v>0</v>
          </cell>
        </row>
        <row r="592">
          <cell r="H592">
            <v>0</v>
          </cell>
          <cell r="M592">
            <v>0</v>
          </cell>
          <cell r="Q592">
            <v>0</v>
          </cell>
        </row>
        <row r="593">
          <cell r="H593">
            <v>0</v>
          </cell>
          <cell r="M593">
            <v>0</v>
          </cell>
          <cell r="Q593">
            <v>0</v>
          </cell>
        </row>
        <row r="594">
          <cell r="H594">
            <v>0</v>
          </cell>
          <cell r="M594">
            <v>0</v>
          </cell>
          <cell r="Q594">
            <v>0</v>
          </cell>
        </row>
        <row r="595">
          <cell r="H595">
            <v>0</v>
          </cell>
          <cell r="M595">
            <v>0</v>
          </cell>
          <cell r="Q595">
            <v>0</v>
          </cell>
        </row>
        <row r="596">
          <cell r="H596">
            <v>0</v>
          </cell>
          <cell r="M596">
            <v>0</v>
          </cell>
          <cell r="Q596">
            <v>0</v>
          </cell>
        </row>
        <row r="597">
          <cell r="H597">
            <v>0</v>
          </cell>
          <cell r="M597">
            <v>0</v>
          </cell>
          <cell r="Q597">
            <v>0</v>
          </cell>
        </row>
        <row r="598">
          <cell r="H598">
            <v>0</v>
          </cell>
          <cell r="M598">
            <v>0</v>
          </cell>
          <cell r="Q598">
            <v>0</v>
          </cell>
        </row>
        <row r="599">
          <cell r="H599">
            <v>0</v>
          </cell>
          <cell r="M599">
            <v>0</v>
          </cell>
          <cell r="Q599">
            <v>0</v>
          </cell>
        </row>
        <row r="600">
          <cell r="H600">
            <v>0</v>
          </cell>
          <cell r="M600">
            <v>0</v>
          </cell>
          <cell r="Q600">
            <v>0</v>
          </cell>
        </row>
        <row r="601">
          <cell r="H601">
            <v>0</v>
          </cell>
          <cell r="M601">
            <v>0</v>
          </cell>
          <cell r="Q601">
            <v>0</v>
          </cell>
        </row>
        <row r="602">
          <cell r="H602">
            <v>0</v>
          </cell>
          <cell r="M602">
            <v>0</v>
          </cell>
          <cell r="Q602">
            <v>0</v>
          </cell>
        </row>
        <row r="603">
          <cell r="H603">
            <v>0</v>
          </cell>
          <cell r="M603">
            <v>0</v>
          </cell>
          <cell r="Q603">
            <v>0</v>
          </cell>
        </row>
        <row r="604">
          <cell r="H604">
            <v>0</v>
          </cell>
          <cell r="M604">
            <v>0</v>
          </cell>
          <cell r="Q604">
            <v>0</v>
          </cell>
        </row>
        <row r="605">
          <cell r="H605">
            <v>0</v>
          </cell>
          <cell r="M605">
            <v>0</v>
          </cell>
          <cell r="Q605">
            <v>0</v>
          </cell>
        </row>
        <row r="606">
          <cell r="H606">
            <v>0</v>
          </cell>
          <cell r="M606">
            <v>0</v>
          </cell>
          <cell r="Q606">
            <v>0</v>
          </cell>
        </row>
        <row r="607">
          <cell r="H607">
            <v>0</v>
          </cell>
          <cell r="M607">
            <v>0</v>
          </cell>
          <cell r="Q607">
            <v>0</v>
          </cell>
        </row>
        <row r="608">
          <cell r="H608">
            <v>0</v>
          </cell>
          <cell r="M608">
            <v>0</v>
          </cell>
          <cell r="Q608">
            <v>0</v>
          </cell>
        </row>
        <row r="609">
          <cell r="H609">
            <v>0</v>
          </cell>
          <cell r="M609">
            <v>0</v>
          </cell>
          <cell r="Q609">
            <v>0</v>
          </cell>
        </row>
        <row r="610">
          <cell r="H610">
            <v>0</v>
          </cell>
          <cell r="M610">
            <v>0</v>
          </cell>
          <cell r="Q610">
            <v>0</v>
          </cell>
        </row>
        <row r="611">
          <cell r="H611">
            <v>0</v>
          </cell>
          <cell r="M611">
            <v>0</v>
          </cell>
          <cell r="Q611">
            <v>0</v>
          </cell>
        </row>
        <row r="612">
          <cell r="H612">
            <v>0</v>
          </cell>
          <cell r="M612">
            <v>0</v>
          </cell>
          <cell r="Q612">
            <v>0</v>
          </cell>
        </row>
        <row r="613">
          <cell r="H613">
            <v>0</v>
          </cell>
          <cell r="M613">
            <v>0</v>
          </cell>
          <cell r="Q613">
            <v>0</v>
          </cell>
        </row>
        <row r="614">
          <cell r="H614">
            <v>0</v>
          </cell>
          <cell r="M614">
            <v>0</v>
          </cell>
          <cell r="Q614">
            <v>0</v>
          </cell>
        </row>
        <row r="615">
          <cell r="H615">
            <v>0</v>
          </cell>
          <cell r="M615">
            <v>0</v>
          </cell>
          <cell r="Q615">
            <v>0</v>
          </cell>
        </row>
        <row r="616">
          <cell r="H616">
            <v>0</v>
          </cell>
          <cell r="M616">
            <v>0</v>
          </cell>
          <cell r="Q616">
            <v>0</v>
          </cell>
        </row>
        <row r="617">
          <cell r="H617">
            <v>0</v>
          </cell>
          <cell r="M617">
            <v>0</v>
          </cell>
          <cell r="Q617">
            <v>0</v>
          </cell>
        </row>
        <row r="618">
          <cell r="H618">
            <v>0</v>
          </cell>
          <cell r="M618">
            <v>0</v>
          </cell>
          <cell r="Q618">
            <v>0</v>
          </cell>
        </row>
        <row r="619">
          <cell r="H619">
            <v>0</v>
          </cell>
          <cell r="M619">
            <v>0</v>
          </cell>
          <cell r="Q619">
            <v>0</v>
          </cell>
        </row>
        <row r="620">
          <cell r="H620">
            <v>0</v>
          </cell>
          <cell r="M620">
            <v>0</v>
          </cell>
          <cell r="Q620">
            <v>0</v>
          </cell>
        </row>
        <row r="621">
          <cell r="H621">
            <v>0</v>
          </cell>
          <cell r="M621">
            <v>0</v>
          </cell>
          <cell r="Q621">
            <v>0</v>
          </cell>
        </row>
        <row r="622">
          <cell r="H622">
            <v>0</v>
          </cell>
          <cell r="M622">
            <v>0</v>
          </cell>
          <cell r="Q622">
            <v>0</v>
          </cell>
        </row>
        <row r="623">
          <cell r="H623">
            <v>0</v>
          </cell>
          <cell r="M623">
            <v>0</v>
          </cell>
          <cell r="Q623">
            <v>0</v>
          </cell>
        </row>
        <row r="624">
          <cell r="H624">
            <v>0</v>
          </cell>
          <cell r="M624">
            <v>0</v>
          </cell>
          <cell r="Q624">
            <v>0</v>
          </cell>
        </row>
        <row r="625">
          <cell r="H625">
            <v>0</v>
          </cell>
          <cell r="M625">
            <v>0</v>
          </cell>
          <cell r="Q625">
            <v>0</v>
          </cell>
        </row>
        <row r="626">
          <cell r="H626">
            <v>0</v>
          </cell>
          <cell r="M626">
            <v>0</v>
          </cell>
          <cell r="Q626">
            <v>0</v>
          </cell>
        </row>
        <row r="627">
          <cell r="H627">
            <v>0</v>
          </cell>
          <cell r="M627">
            <v>0</v>
          </cell>
          <cell r="Q627">
            <v>0</v>
          </cell>
        </row>
        <row r="628">
          <cell r="H628">
            <v>0</v>
          </cell>
          <cell r="M628">
            <v>0</v>
          </cell>
          <cell r="Q628">
            <v>0</v>
          </cell>
        </row>
        <row r="629">
          <cell r="H629">
            <v>0</v>
          </cell>
          <cell r="M629">
            <v>0</v>
          </cell>
          <cell r="Q629">
            <v>0</v>
          </cell>
        </row>
        <row r="630">
          <cell r="H630">
            <v>0</v>
          </cell>
          <cell r="M630">
            <v>0</v>
          </cell>
          <cell r="Q630">
            <v>0</v>
          </cell>
        </row>
        <row r="631">
          <cell r="H631">
            <v>0</v>
          </cell>
          <cell r="M631">
            <v>0</v>
          </cell>
          <cell r="Q631">
            <v>0</v>
          </cell>
        </row>
        <row r="632">
          <cell r="H632">
            <v>0</v>
          </cell>
          <cell r="M632">
            <v>0</v>
          </cell>
          <cell r="Q632">
            <v>0</v>
          </cell>
        </row>
        <row r="633">
          <cell r="H633">
            <v>0</v>
          </cell>
          <cell r="M633">
            <v>0</v>
          </cell>
          <cell r="Q633">
            <v>0</v>
          </cell>
        </row>
        <row r="634">
          <cell r="H634">
            <v>0</v>
          </cell>
          <cell r="M634">
            <v>0</v>
          </cell>
          <cell r="Q634">
            <v>0</v>
          </cell>
        </row>
        <row r="635">
          <cell r="H635">
            <v>0</v>
          </cell>
          <cell r="M635">
            <v>0</v>
          </cell>
          <cell r="Q635">
            <v>0</v>
          </cell>
        </row>
        <row r="636">
          <cell r="H636">
            <v>0</v>
          </cell>
          <cell r="M636">
            <v>0</v>
          </cell>
          <cell r="Q636">
            <v>0</v>
          </cell>
        </row>
        <row r="637">
          <cell r="H637">
            <v>0</v>
          </cell>
          <cell r="M637">
            <v>0</v>
          </cell>
          <cell r="Q637">
            <v>0</v>
          </cell>
        </row>
        <row r="638">
          <cell r="H638">
            <v>0</v>
          </cell>
          <cell r="M638">
            <v>0</v>
          </cell>
          <cell r="Q638">
            <v>0</v>
          </cell>
        </row>
        <row r="639">
          <cell r="H639">
            <v>0</v>
          </cell>
          <cell r="M639">
            <v>0</v>
          </cell>
          <cell r="Q639">
            <v>0</v>
          </cell>
        </row>
        <row r="640">
          <cell r="H640">
            <v>0</v>
          </cell>
          <cell r="M640">
            <v>0</v>
          </cell>
          <cell r="Q640">
            <v>0</v>
          </cell>
        </row>
        <row r="641">
          <cell r="H641">
            <v>0</v>
          </cell>
          <cell r="M641">
            <v>0</v>
          </cell>
          <cell r="Q641">
            <v>0</v>
          </cell>
        </row>
        <row r="642">
          <cell r="H642">
            <v>0</v>
          </cell>
          <cell r="M642">
            <v>0</v>
          </cell>
          <cell r="Q642">
            <v>0</v>
          </cell>
        </row>
        <row r="643">
          <cell r="H643">
            <v>0</v>
          </cell>
          <cell r="M643">
            <v>0</v>
          </cell>
          <cell r="Q643">
            <v>0</v>
          </cell>
        </row>
        <row r="644">
          <cell r="H644">
            <v>0</v>
          </cell>
          <cell r="M644">
            <v>0</v>
          </cell>
          <cell r="Q644">
            <v>0</v>
          </cell>
        </row>
        <row r="645">
          <cell r="H645">
            <v>0</v>
          </cell>
          <cell r="M645">
            <v>0</v>
          </cell>
          <cell r="Q645">
            <v>0</v>
          </cell>
        </row>
        <row r="646">
          <cell r="H646">
            <v>0</v>
          </cell>
          <cell r="M646">
            <v>0</v>
          </cell>
          <cell r="Q646">
            <v>0</v>
          </cell>
        </row>
        <row r="647">
          <cell r="H647">
            <v>0</v>
          </cell>
          <cell r="M647">
            <v>0</v>
          </cell>
          <cell r="Q647">
            <v>0</v>
          </cell>
        </row>
        <row r="648">
          <cell r="H648">
            <v>0</v>
          </cell>
          <cell r="M648">
            <v>0</v>
          </cell>
          <cell r="Q648">
            <v>0</v>
          </cell>
        </row>
        <row r="649">
          <cell r="H649">
            <v>0</v>
          </cell>
          <cell r="M649">
            <v>0</v>
          </cell>
          <cell r="Q649">
            <v>0</v>
          </cell>
        </row>
        <row r="650">
          <cell r="H650">
            <v>0</v>
          </cell>
          <cell r="M650">
            <v>0</v>
          </cell>
          <cell r="Q650">
            <v>0</v>
          </cell>
        </row>
        <row r="651">
          <cell r="H651">
            <v>0</v>
          </cell>
          <cell r="M651">
            <v>0</v>
          </cell>
          <cell r="Q651">
            <v>0</v>
          </cell>
        </row>
        <row r="652">
          <cell r="H652">
            <v>0</v>
          </cell>
          <cell r="M652">
            <v>0</v>
          </cell>
          <cell r="Q652">
            <v>0</v>
          </cell>
        </row>
        <row r="653">
          <cell r="H653">
            <v>0</v>
          </cell>
          <cell r="M653">
            <v>0</v>
          </cell>
          <cell r="Q653">
            <v>0</v>
          </cell>
        </row>
        <row r="654">
          <cell r="H654">
            <v>0</v>
          </cell>
          <cell r="M654">
            <v>0</v>
          </cell>
          <cell r="Q654">
            <v>0</v>
          </cell>
        </row>
        <row r="655">
          <cell r="H655">
            <v>0</v>
          </cell>
          <cell r="M655">
            <v>0</v>
          </cell>
          <cell r="Q655">
            <v>0</v>
          </cell>
        </row>
        <row r="656">
          <cell r="H656">
            <v>0</v>
          </cell>
          <cell r="M656">
            <v>0</v>
          </cell>
          <cell r="Q656">
            <v>0</v>
          </cell>
        </row>
        <row r="657">
          <cell r="H657">
            <v>0</v>
          </cell>
          <cell r="M657">
            <v>0</v>
          </cell>
          <cell r="Q657">
            <v>0</v>
          </cell>
        </row>
        <row r="658">
          <cell r="H658">
            <v>0</v>
          </cell>
          <cell r="M658">
            <v>0</v>
          </cell>
          <cell r="Q658">
            <v>0</v>
          </cell>
        </row>
        <row r="659">
          <cell r="H659">
            <v>0</v>
          </cell>
          <cell r="M659">
            <v>0</v>
          </cell>
          <cell r="Q659">
            <v>0</v>
          </cell>
        </row>
        <row r="660">
          <cell r="H660">
            <v>0</v>
          </cell>
          <cell r="M660">
            <v>0</v>
          </cell>
          <cell r="Q660">
            <v>0</v>
          </cell>
        </row>
        <row r="661">
          <cell r="H661">
            <v>0</v>
          </cell>
          <cell r="M661">
            <v>0</v>
          </cell>
          <cell r="Q661">
            <v>0</v>
          </cell>
        </row>
        <row r="662">
          <cell r="H662">
            <v>0</v>
          </cell>
          <cell r="M662">
            <v>0</v>
          </cell>
          <cell r="Q662">
            <v>0</v>
          </cell>
        </row>
        <row r="663">
          <cell r="H663">
            <v>0</v>
          </cell>
          <cell r="M663">
            <v>0</v>
          </cell>
          <cell r="Q663">
            <v>0</v>
          </cell>
        </row>
        <row r="664">
          <cell r="H664">
            <v>0</v>
          </cell>
          <cell r="M664">
            <v>0</v>
          </cell>
          <cell r="Q664">
            <v>0</v>
          </cell>
        </row>
        <row r="665">
          <cell r="H665">
            <v>0</v>
          </cell>
          <cell r="M665">
            <v>0</v>
          </cell>
          <cell r="Q665">
            <v>0</v>
          </cell>
        </row>
        <row r="666">
          <cell r="H666">
            <v>0</v>
          </cell>
          <cell r="M666">
            <v>0</v>
          </cell>
          <cell r="Q666">
            <v>0</v>
          </cell>
        </row>
        <row r="667">
          <cell r="H667">
            <v>0</v>
          </cell>
          <cell r="M667">
            <v>0</v>
          </cell>
          <cell r="Q667">
            <v>0</v>
          </cell>
        </row>
        <row r="668">
          <cell r="H668">
            <v>0</v>
          </cell>
          <cell r="M668">
            <v>0</v>
          </cell>
          <cell r="Q668">
            <v>0</v>
          </cell>
        </row>
        <row r="669">
          <cell r="H669">
            <v>0</v>
          </cell>
          <cell r="M669">
            <v>0</v>
          </cell>
          <cell r="Q669">
            <v>0</v>
          </cell>
        </row>
        <row r="670">
          <cell r="H670">
            <v>0</v>
          </cell>
          <cell r="M670">
            <v>0</v>
          </cell>
          <cell r="Q670">
            <v>0</v>
          </cell>
        </row>
        <row r="671">
          <cell r="H671">
            <v>0</v>
          </cell>
          <cell r="M671">
            <v>0</v>
          </cell>
          <cell r="Q671">
            <v>0</v>
          </cell>
        </row>
        <row r="672">
          <cell r="H672">
            <v>0</v>
          </cell>
          <cell r="M672">
            <v>0</v>
          </cell>
          <cell r="Q672">
            <v>0</v>
          </cell>
        </row>
        <row r="673">
          <cell r="H673">
            <v>0</v>
          </cell>
          <cell r="M673">
            <v>0</v>
          </cell>
          <cell r="Q673">
            <v>0</v>
          </cell>
        </row>
        <row r="674">
          <cell r="H674">
            <v>0</v>
          </cell>
          <cell r="M674">
            <v>0</v>
          </cell>
          <cell r="Q674">
            <v>0</v>
          </cell>
        </row>
        <row r="675">
          <cell r="H675">
            <v>0</v>
          </cell>
          <cell r="M675">
            <v>0</v>
          </cell>
          <cell r="Q675">
            <v>0</v>
          </cell>
        </row>
        <row r="676">
          <cell r="H676">
            <v>0</v>
          </cell>
          <cell r="M676">
            <v>0</v>
          </cell>
          <cell r="Q676">
            <v>0</v>
          </cell>
        </row>
        <row r="677">
          <cell r="H677">
            <v>0</v>
          </cell>
          <cell r="M677">
            <v>0</v>
          </cell>
          <cell r="Q677">
            <v>0</v>
          </cell>
        </row>
        <row r="678">
          <cell r="H678">
            <v>0</v>
          </cell>
          <cell r="M678">
            <v>0</v>
          </cell>
          <cell r="Q678">
            <v>0</v>
          </cell>
        </row>
        <row r="679">
          <cell r="H679">
            <v>0</v>
          </cell>
          <cell r="M679">
            <v>0</v>
          </cell>
          <cell r="Q679">
            <v>0</v>
          </cell>
        </row>
        <row r="680">
          <cell r="H680">
            <v>0</v>
          </cell>
          <cell r="M680">
            <v>0</v>
          </cell>
          <cell r="Q680">
            <v>0</v>
          </cell>
        </row>
        <row r="681">
          <cell r="H681">
            <v>0</v>
          </cell>
          <cell r="M681">
            <v>0</v>
          </cell>
          <cell r="Q681">
            <v>0</v>
          </cell>
        </row>
        <row r="682">
          <cell r="H682">
            <v>0</v>
          </cell>
          <cell r="M682">
            <v>0</v>
          </cell>
          <cell r="Q682">
            <v>0</v>
          </cell>
        </row>
        <row r="683">
          <cell r="H683">
            <v>0</v>
          </cell>
          <cell r="M683">
            <v>0</v>
          </cell>
          <cell r="Q683">
            <v>0</v>
          </cell>
        </row>
        <row r="684">
          <cell r="H684">
            <v>0</v>
          </cell>
          <cell r="M684">
            <v>0</v>
          </cell>
          <cell r="Q684">
            <v>0</v>
          </cell>
        </row>
        <row r="685">
          <cell r="H685">
            <v>0</v>
          </cell>
          <cell r="M685">
            <v>0</v>
          </cell>
          <cell r="Q685">
            <v>0</v>
          </cell>
        </row>
        <row r="686">
          <cell r="H686">
            <v>0</v>
          </cell>
          <cell r="M686">
            <v>0</v>
          </cell>
          <cell r="Q686">
            <v>0</v>
          </cell>
        </row>
        <row r="687">
          <cell r="H687">
            <v>0</v>
          </cell>
          <cell r="M687">
            <v>0</v>
          </cell>
          <cell r="Q687">
            <v>0</v>
          </cell>
        </row>
        <row r="688">
          <cell r="H688">
            <v>0</v>
          </cell>
          <cell r="M688">
            <v>0</v>
          </cell>
          <cell r="Q688">
            <v>0</v>
          </cell>
        </row>
        <row r="689">
          <cell r="H689">
            <v>0</v>
          </cell>
          <cell r="M689">
            <v>0</v>
          </cell>
          <cell r="Q689">
            <v>0</v>
          </cell>
        </row>
        <row r="690">
          <cell r="H690">
            <v>0</v>
          </cell>
          <cell r="M690">
            <v>0</v>
          </cell>
          <cell r="Q690">
            <v>0</v>
          </cell>
        </row>
        <row r="691">
          <cell r="H691">
            <v>0</v>
          </cell>
          <cell r="M691">
            <v>0</v>
          </cell>
          <cell r="Q691">
            <v>0</v>
          </cell>
        </row>
        <row r="692">
          <cell r="H692">
            <v>0</v>
          </cell>
          <cell r="M692">
            <v>0</v>
          </cell>
          <cell r="Q692">
            <v>0</v>
          </cell>
        </row>
        <row r="693">
          <cell r="H693">
            <v>0</v>
          </cell>
          <cell r="M693">
            <v>0</v>
          </cell>
          <cell r="Q693">
            <v>0</v>
          </cell>
        </row>
        <row r="694">
          <cell r="H694">
            <v>0</v>
          </cell>
          <cell r="M694">
            <v>0</v>
          </cell>
          <cell r="Q694">
            <v>0</v>
          </cell>
        </row>
        <row r="695">
          <cell r="H695">
            <v>0</v>
          </cell>
          <cell r="M695">
            <v>0</v>
          </cell>
          <cell r="Q695">
            <v>0</v>
          </cell>
        </row>
        <row r="696">
          <cell r="H696">
            <v>0</v>
          </cell>
          <cell r="M696">
            <v>0</v>
          </cell>
          <cell r="Q696">
            <v>0</v>
          </cell>
        </row>
        <row r="697">
          <cell r="H697">
            <v>0</v>
          </cell>
          <cell r="M697">
            <v>0</v>
          </cell>
          <cell r="Q697">
            <v>0</v>
          </cell>
        </row>
        <row r="698">
          <cell r="H698">
            <v>0</v>
          </cell>
          <cell r="M698">
            <v>0</v>
          </cell>
          <cell r="Q698">
            <v>0</v>
          </cell>
        </row>
        <row r="699">
          <cell r="H699">
            <v>0</v>
          </cell>
          <cell r="M699">
            <v>0</v>
          </cell>
          <cell r="Q699">
            <v>0</v>
          </cell>
        </row>
        <row r="700">
          <cell r="H700">
            <v>0</v>
          </cell>
          <cell r="M700">
            <v>0</v>
          </cell>
          <cell r="Q700">
            <v>0</v>
          </cell>
        </row>
        <row r="701">
          <cell r="H701">
            <v>0</v>
          </cell>
          <cell r="M701">
            <v>0</v>
          </cell>
          <cell r="Q701">
            <v>0</v>
          </cell>
        </row>
        <row r="702">
          <cell r="H702">
            <v>0</v>
          </cell>
          <cell r="M702">
            <v>0</v>
          </cell>
          <cell r="Q702">
            <v>0</v>
          </cell>
        </row>
        <row r="703">
          <cell r="H703">
            <v>0</v>
          </cell>
          <cell r="M703">
            <v>0</v>
          </cell>
          <cell r="Q703">
            <v>0</v>
          </cell>
        </row>
        <row r="704">
          <cell r="H704">
            <v>0</v>
          </cell>
          <cell r="M704">
            <v>0</v>
          </cell>
          <cell r="Q704">
            <v>0</v>
          </cell>
        </row>
        <row r="705">
          <cell r="H705">
            <v>0</v>
          </cell>
          <cell r="M705">
            <v>0</v>
          </cell>
          <cell r="Q705">
            <v>0</v>
          </cell>
        </row>
        <row r="706">
          <cell r="H706">
            <v>0</v>
          </cell>
          <cell r="M706">
            <v>0</v>
          </cell>
          <cell r="Q706">
            <v>0</v>
          </cell>
        </row>
        <row r="707">
          <cell r="H707">
            <v>0</v>
          </cell>
          <cell r="M707">
            <v>0</v>
          </cell>
          <cell r="Q707">
            <v>0</v>
          </cell>
        </row>
        <row r="708">
          <cell r="H708">
            <v>0</v>
          </cell>
          <cell r="M708">
            <v>0</v>
          </cell>
          <cell r="Q708">
            <v>0</v>
          </cell>
        </row>
        <row r="709">
          <cell r="H709">
            <v>0</v>
          </cell>
          <cell r="M709">
            <v>0</v>
          </cell>
          <cell r="Q709">
            <v>0</v>
          </cell>
        </row>
        <row r="710">
          <cell r="H710">
            <v>0</v>
          </cell>
          <cell r="M710">
            <v>0</v>
          </cell>
          <cell r="Q710">
            <v>0</v>
          </cell>
        </row>
        <row r="711">
          <cell r="H711">
            <v>0</v>
          </cell>
          <cell r="M711">
            <v>0</v>
          </cell>
          <cell r="Q711">
            <v>0</v>
          </cell>
        </row>
        <row r="712">
          <cell r="H712">
            <v>0</v>
          </cell>
          <cell r="M712">
            <v>0</v>
          </cell>
          <cell r="Q712">
            <v>0</v>
          </cell>
        </row>
        <row r="713">
          <cell r="H713">
            <v>0</v>
          </cell>
          <cell r="M713">
            <v>0</v>
          </cell>
          <cell r="Q713">
            <v>0</v>
          </cell>
        </row>
        <row r="714">
          <cell r="H714">
            <v>0</v>
          </cell>
          <cell r="M714">
            <v>0</v>
          </cell>
          <cell r="Q714">
            <v>0</v>
          </cell>
        </row>
        <row r="715">
          <cell r="H715">
            <v>0</v>
          </cell>
          <cell r="M715">
            <v>0</v>
          </cell>
          <cell r="Q715">
            <v>0</v>
          </cell>
        </row>
        <row r="716">
          <cell r="H716">
            <v>0</v>
          </cell>
          <cell r="M716">
            <v>0</v>
          </cell>
          <cell r="Q716">
            <v>0</v>
          </cell>
        </row>
        <row r="717">
          <cell r="H717">
            <v>0</v>
          </cell>
          <cell r="M717">
            <v>0</v>
          </cell>
          <cell r="Q717">
            <v>0</v>
          </cell>
        </row>
        <row r="718">
          <cell r="H718">
            <v>0</v>
          </cell>
          <cell r="M718">
            <v>0</v>
          </cell>
          <cell r="Q718">
            <v>0</v>
          </cell>
        </row>
        <row r="719">
          <cell r="H719">
            <v>0</v>
          </cell>
          <cell r="M719">
            <v>0</v>
          </cell>
          <cell r="Q719">
            <v>0</v>
          </cell>
        </row>
        <row r="720">
          <cell r="H720">
            <v>0</v>
          </cell>
          <cell r="M720">
            <v>0</v>
          </cell>
          <cell r="Q720">
            <v>0</v>
          </cell>
        </row>
        <row r="721">
          <cell r="H721">
            <v>0</v>
          </cell>
          <cell r="M721">
            <v>0</v>
          </cell>
          <cell r="Q721">
            <v>0</v>
          </cell>
        </row>
        <row r="722">
          <cell r="H722">
            <v>0</v>
          </cell>
          <cell r="M722">
            <v>0</v>
          </cell>
          <cell r="Q722">
            <v>0</v>
          </cell>
        </row>
        <row r="723">
          <cell r="H723">
            <v>0</v>
          </cell>
          <cell r="M723">
            <v>0</v>
          </cell>
          <cell r="Q723">
            <v>0</v>
          </cell>
        </row>
        <row r="724">
          <cell r="H724">
            <v>0</v>
          </cell>
          <cell r="M724">
            <v>0</v>
          </cell>
          <cell r="Q724">
            <v>0</v>
          </cell>
        </row>
        <row r="725">
          <cell r="H725">
            <v>0</v>
          </cell>
          <cell r="M725">
            <v>0</v>
          </cell>
          <cell r="Q725">
            <v>0</v>
          </cell>
        </row>
        <row r="726">
          <cell r="H726">
            <v>0</v>
          </cell>
          <cell r="M726">
            <v>0</v>
          </cell>
          <cell r="Q726">
            <v>0</v>
          </cell>
        </row>
        <row r="727">
          <cell r="H727">
            <v>0</v>
          </cell>
          <cell r="M727">
            <v>0</v>
          </cell>
          <cell r="Q727">
            <v>0</v>
          </cell>
        </row>
        <row r="728">
          <cell r="H728">
            <v>0</v>
          </cell>
          <cell r="M728">
            <v>0</v>
          </cell>
          <cell r="Q728">
            <v>0</v>
          </cell>
        </row>
        <row r="729">
          <cell r="H729">
            <v>0</v>
          </cell>
          <cell r="M729">
            <v>0</v>
          </cell>
          <cell r="Q729">
            <v>0</v>
          </cell>
        </row>
        <row r="730">
          <cell r="H730">
            <v>0</v>
          </cell>
          <cell r="M730">
            <v>0</v>
          </cell>
          <cell r="Q730">
            <v>0</v>
          </cell>
        </row>
        <row r="731">
          <cell r="H731">
            <v>0</v>
          </cell>
          <cell r="M731">
            <v>0</v>
          </cell>
          <cell r="Q731">
            <v>0</v>
          </cell>
        </row>
        <row r="732">
          <cell r="H732">
            <v>0</v>
          </cell>
          <cell r="M732">
            <v>0</v>
          </cell>
          <cell r="Q732">
            <v>0</v>
          </cell>
        </row>
        <row r="733">
          <cell r="H733">
            <v>0</v>
          </cell>
          <cell r="M733">
            <v>0</v>
          </cell>
          <cell r="Q733">
            <v>0</v>
          </cell>
        </row>
        <row r="734">
          <cell r="H734">
            <v>0</v>
          </cell>
          <cell r="M734">
            <v>0</v>
          </cell>
          <cell r="Q734">
            <v>0</v>
          </cell>
        </row>
        <row r="735">
          <cell r="H735">
            <v>0</v>
          </cell>
          <cell r="M735">
            <v>0</v>
          </cell>
          <cell r="Q735">
            <v>0</v>
          </cell>
        </row>
        <row r="736">
          <cell r="H736">
            <v>0</v>
          </cell>
          <cell r="M736">
            <v>0</v>
          </cell>
          <cell r="Q736">
            <v>0</v>
          </cell>
        </row>
        <row r="737">
          <cell r="H737">
            <v>0</v>
          </cell>
          <cell r="M737">
            <v>0</v>
          </cell>
          <cell r="Q737">
            <v>0</v>
          </cell>
        </row>
        <row r="738">
          <cell r="H738">
            <v>0</v>
          </cell>
          <cell r="M738">
            <v>0</v>
          </cell>
          <cell r="Q738">
            <v>0</v>
          </cell>
        </row>
        <row r="739">
          <cell r="H739">
            <v>0</v>
          </cell>
          <cell r="M739">
            <v>0</v>
          </cell>
          <cell r="Q739">
            <v>0</v>
          </cell>
        </row>
        <row r="740">
          <cell r="H740">
            <v>0</v>
          </cell>
          <cell r="M740">
            <v>0</v>
          </cell>
          <cell r="Q740">
            <v>0</v>
          </cell>
        </row>
        <row r="741">
          <cell r="H741">
            <v>0</v>
          </cell>
          <cell r="M741">
            <v>0</v>
          </cell>
          <cell r="Q741">
            <v>0</v>
          </cell>
        </row>
        <row r="742">
          <cell r="H742">
            <v>0</v>
          </cell>
          <cell r="M742">
            <v>0</v>
          </cell>
          <cell r="Q742">
            <v>0</v>
          </cell>
        </row>
        <row r="743">
          <cell r="H743">
            <v>0</v>
          </cell>
          <cell r="M743">
            <v>0</v>
          </cell>
          <cell r="Q743">
            <v>0</v>
          </cell>
        </row>
        <row r="744">
          <cell r="H744">
            <v>0</v>
          </cell>
          <cell r="M744">
            <v>0</v>
          </cell>
          <cell r="Q744">
            <v>0</v>
          </cell>
        </row>
        <row r="745">
          <cell r="H745">
            <v>0</v>
          </cell>
          <cell r="M745">
            <v>0</v>
          </cell>
          <cell r="Q745">
            <v>0</v>
          </cell>
        </row>
        <row r="746">
          <cell r="H746">
            <v>0</v>
          </cell>
          <cell r="M746">
            <v>0</v>
          </cell>
          <cell r="Q746">
            <v>0</v>
          </cell>
        </row>
        <row r="747">
          <cell r="H747">
            <v>0</v>
          </cell>
          <cell r="M747">
            <v>0</v>
          </cell>
          <cell r="Q747">
            <v>0</v>
          </cell>
        </row>
        <row r="748">
          <cell r="H748">
            <v>0</v>
          </cell>
          <cell r="M748">
            <v>0</v>
          </cell>
          <cell r="Q748">
            <v>0</v>
          </cell>
        </row>
        <row r="749">
          <cell r="H749">
            <v>0</v>
          </cell>
          <cell r="M749">
            <v>0</v>
          </cell>
          <cell r="Q749">
            <v>0</v>
          </cell>
        </row>
        <row r="750">
          <cell r="H750">
            <v>0</v>
          </cell>
          <cell r="M750">
            <v>0</v>
          </cell>
          <cell r="Q750">
            <v>0</v>
          </cell>
        </row>
        <row r="751">
          <cell r="H751">
            <v>0</v>
          </cell>
          <cell r="M751">
            <v>0</v>
          </cell>
          <cell r="Q751">
            <v>0</v>
          </cell>
        </row>
        <row r="752">
          <cell r="H752">
            <v>0</v>
          </cell>
          <cell r="M752">
            <v>0</v>
          </cell>
          <cell r="Q752">
            <v>0</v>
          </cell>
        </row>
        <row r="753">
          <cell r="H753">
            <v>0</v>
          </cell>
          <cell r="M753">
            <v>0</v>
          </cell>
          <cell r="Q753">
            <v>0</v>
          </cell>
        </row>
        <row r="754">
          <cell r="H754">
            <v>0</v>
          </cell>
          <cell r="M754">
            <v>0</v>
          </cell>
          <cell r="Q754">
            <v>0</v>
          </cell>
        </row>
        <row r="755">
          <cell r="H755">
            <v>0</v>
          </cell>
          <cell r="M755">
            <v>0</v>
          </cell>
          <cell r="Q755">
            <v>0</v>
          </cell>
        </row>
        <row r="756">
          <cell r="H756">
            <v>0</v>
          </cell>
          <cell r="M756">
            <v>0</v>
          </cell>
          <cell r="Q756">
            <v>0</v>
          </cell>
        </row>
        <row r="757">
          <cell r="H757">
            <v>0</v>
          </cell>
          <cell r="M757">
            <v>0</v>
          </cell>
          <cell r="Q757">
            <v>0</v>
          </cell>
        </row>
        <row r="758">
          <cell r="H758">
            <v>0</v>
          </cell>
          <cell r="M758">
            <v>0</v>
          </cell>
          <cell r="Q758">
            <v>0</v>
          </cell>
        </row>
        <row r="759">
          <cell r="H759">
            <v>0</v>
          </cell>
          <cell r="M759">
            <v>0</v>
          </cell>
          <cell r="Q759">
            <v>0</v>
          </cell>
        </row>
        <row r="760">
          <cell r="H760">
            <v>0</v>
          </cell>
          <cell r="M760">
            <v>0</v>
          </cell>
          <cell r="Q760">
            <v>0</v>
          </cell>
        </row>
        <row r="761">
          <cell r="H761">
            <v>0</v>
          </cell>
          <cell r="M761">
            <v>0</v>
          </cell>
          <cell r="Q761">
            <v>0</v>
          </cell>
        </row>
        <row r="762">
          <cell r="H762">
            <v>0</v>
          </cell>
          <cell r="M762">
            <v>0</v>
          </cell>
          <cell r="Q762">
            <v>0</v>
          </cell>
        </row>
        <row r="763">
          <cell r="H763">
            <v>0</v>
          </cell>
          <cell r="M763">
            <v>0</v>
          </cell>
          <cell r="Q763">
            <v>0</v>
          </cell>
        </row>
        <row r="764">
          <cell r="H764">
            <v>0</v>
          </cell>
          <cell r="M764">
            <v>0</v>
          </cell>
          <cell r="Q764">
            <v>0</v>
          </cell>
        </row>
        <row r="765">
          <cell r="H765">
            <v>0</v>
          </cell>
          <cell r="M765">
            <v>0</v>
          </cell>
          <cell r="Q765">
            <v>0</v>
          </cell>
        </row>
        <row r="766">
          <cell r="H766">
            <v>0</v>
          </cell>
          <cell r="M766">
            <v>0</v>
          </cell>
          <cell r="Q766">
            <v>0</v>
          </cell>
        </row>
        <row r="767">
          <cell r="H767">
            <v>0</v>
          </cell>
          <cell r="M767">
            <v>0</v>
          </cell>
          <cell r="Q767">
            <v>0</v>
          </cell>
        </row>
        <row r="768">
          <cell r="H768">
            <v>0</v>
          </cell>
          <cell r="M768">
            <v>0</v>
          </cell>
          <cell r="Q768">
            <v>0</v>
          </cell>
        </row>
        <row r="769">
          <cell r="H769">
            <v>0</v>
          </cell>
          <cell r="M769">
            <v>0</v>
          </cell>
          <cell r="Q769">
            <v>0</v>
          </cell>
        </row>
        <row r="770">
          <cell r="H770">
            <v>0</v>
          </cell>
          <cell r="M770">
            <v>0</v>
          </cell>
          <cell r="Q770">
            <v>0</v>
          </cell>
        </row>
        <row r="771">
          <cell r="H771">
            <v>0</v>
          </cell>
          <cell r="M771">
            <v>0</v>
          </cell>
          <cell r="Q771">
            <v>0</v>
          </cell>
        </row>
        <row r="772">
          <cell r="H772">
            <v>0</v>
          </cell>
          <cell r="M772">
            <v>0</v>
          </cell>
          <cell r="Q772">
            <v>0</v>
          </cell>
        </row>
        <row r="773">
          <cell r="H773">
            <v>0</v>
          </cell>
          <cell r="M773">
            <v>0</v>
          </cell>
          <cell r="Q773">
            <v>0</v>
          </cell>
        </row>
        <row r="774">
          <cell r="H774">
            <v>0</v>
          </cell>
          <cell r="M774">
            <v>0</v>
          </cell>
          <cell r="Q774">
            <v>0</v>
          </cell>
        </row>
        <row r="775">
          <cell r="H775">
            <v>0</v>
          </cell>
          <cell r="M775">
            <v>0</v>
          </cell>
          <cell r="Q775">
            <v>0</v>
          </cell>
        </row>
        <row r="776">
          <cell r="H776">
            <v>0</v>
          </cell>
          <cell r="M776">
            <v>0</v>
          </cell>
          <cell r="Q776">
            <v>0</v>
          </cell>
        </row>
        <row r="777">
          <cell r="H777">
            <v>0</v>
          </cell>
          <cell r="M777">
            <v>0</v>
          </cell>
          <cell r="Q777">
            <v>0</v>
          </cell>
        </row>
        <row r="778">
          <cell r="H778">
            <v>0</v>
          </cell>
          <cell r="M778">
            <v>0</v>
          </cell>
          <cell r="Q778">
            <v>0</v>
          </cell>
        </row>
        <row r="779">
          <cell r="H779">
            <v>0</v>
          </cell>
          <cell r="M779">
            <v>0</v>
          </cell>
          <cell r="Q779">
            <v>0</v>
          </cell>
        </row>
        <row r="780">
          <cell r="H780">
            <v>0</v>
          </cell>
          <cell r="M780">
            <v>0</v>
          </cell>
          <cell r="Q780">
            <v>0</v>
          </cell>
        </row>
        <row r="781">
          <cell r="H781">
            <v>0</v>
          </cell>
          <cell r="M781">
            <v>0</v>
          </cell>
          <cell r="Q781">
            <v>0</v>
          </cell>
        </row>
        <row r="782">
          <cell r="H782">
            <v>0</v>
          </cell>
          <cell r="M782">
            <v>0</v>
          </cell>
          <cell r="Q782">
            <v>0</v>
          </cell>
        </row>
        <row r="783">
          <cell r="H783">
            <v>0</v>
          </cell>
          <cell r="M783">
            <v>0</v>
          </cell>
          <cell r="Q783">
            <v>0</v>
          </cell>
        </row>
        <row r="784">
          <cell r="H784">
            <v>0</v>
          </cell>
          <cell r="M784">
            <v>0</v>
          </cell>
          <cell r="Q784">
            <v>0</v>
          </cell>
        </row>
        <row r="785">
          <cell r="H785">
            <v>0</v>
          </cell>
          <cell r="M785">
            <v>0</v>
          </cell>
          <cell r="Q785">
            <v>0</v>
          </cell>
        </row>
        <row r="786">
          <cell r="H786">
            <v>0</v>
          </cell>
          <cell r="M786">
            <v>0</v>
          </cell>
          <cell r="Q786">
            <v>0</v>
          </cell>
        </row>
        <row r="787">
          <cell r="H787">
            <v>0</v>
          </cell>
          <cell r="M787">
            <v>0</v>
          </cell>
          <cell r="Q787">
            <v>0</v>
          </cell>
        </row>
        <row r="788">
          <cell r="H788">
            <v>0</v>
          </cell>
          <cell r="M788">
            <v>0</v>
          </cell>
          <cell r="Q788">
            <v>0</v>
          </cell>
        </row>
        <row r="789">
          <cell r="H789">
            <v>0</v>
          </cell>
          <cell r="M789">
            <v>0</v>
          </cell>
          <cell r="Q789">
            <v>0</v>
          </cell>
        </row>
        <row r="790">
          <cell r="H790">
            <v>0</v>
          </cell>
          <cell r="M790">
            <v>0</v>
          </cell>
          <cell r="Q790">
            <v>0</v>
          </cell>
        </row>
        <row r="791">
          <cell r="H791">
            <v>0</v>
          </cell>
          <cell r="M791">
            <v>0</v>
          </cell>
          <cell r="Q791">
            <v>0</v>
          </cell>
        </row>
        <row r="792">
          <cell r="H792">
            <v>0</v>
          </cell>
          <cell r="M792">
            <v>0</v>
          </cell>
          <cell r="Q792">
            <v>0</v>
          </cell>
        </row>
        <row r="793">
          <cell r="H793">
            <v>0</v>
          </cell>
          <cell r="M793">
            <v>0</v>
          </cell>
          <cell r="Q793">
            <v>0</v>
          </cell>
        </row>
        <row r="794">
          <cell r="H794">
            <v>0</v>
          </cell>
          <cell r="M794">
            <v>0</v>
          </cell>
          <cell r="Q794">
            <v>0</v>
          </cell>
        </row>
        <row r="795">
          <cell r="H795">
            <v>0</v>
          </cell>
          <cell r="M795">
            <v>0</v>
          </cell>
          <cell r="Q795">
            <v>0</v>
          </cell>
        </row>
        <row r="796">
          <cell r="H796">
            <v>0</v>
          </cell>
          <cell r="M796">
            <v>0</v>
          </cell>
          <cell r="Q796">
            <v>0</v>
          </cell>
        </row>
        <row r="797">
          <cell r="H797">
            <v>0</v>
          </cell>
          <cell r="M797">
            <v>0</v>
          </cell>
          <cell r="Q797">
            <v>0</v>
          </cell>
        </row>
        <row r="798">
          <cell r="H798">
            <v>0</v>
          </cell>
          <cell r="M798">
            <v>0</v>
          </cell>
          <cell r="Q798">
            <v>0</v>
          </cell>
        </row>
        <row r="799">
          <cell r="H799">
            <v>0</v>
          </cell>
          <cell r="M799">
            <v>0</v>
          </cell>
          <cell r="Q799">
            <v>0</v>
          </cell>
        </row>
        <row r="800">
          <cell r="H800">
            <v>0</v>
          </cell>
          <cell r="M800">
            <v>0</v>
          </cell>
          <cell r="Q800">
            <v>0</v>
          </cell>
        </row>
        <row r="801">
          <cell r="H801">
            <v>0</v>
          </cell>
          <cell r="M801">
            <v>0</v>
          </cell>
          <cell r="Q801">
            <v>0</v>
          </cell>
        </row>
        <row r="802">
          <cell r="H802">
            <v>0</v>
          </cell>
          <cell r="M802">
            <v>0</v>
          </cell>
          <cell r="Q802">
            <v>0</v>
          </cell>
        </row>
        <row r="803">
          <cell r="H803">
            <v>0</v>
          </cell>
          <cell r="M803">
            <v>0</v>
          </cell>
          <cell r="Q803">
            <v>0</v>
          </cell>
        </row>
        <row r="804">
          <cell r="H804">
            <v>0</v>
          </cell>
          <cell r="M804">
            <v>0</v>
          </cell>
          <cell r="Q804">
            <v>0</v>
          </cell>
        </row>
        <row r="805">
          <cell r="H805">
            <v>0</v>
          </cell>
          <cell r="M805">
            <v>0</v>
          </cell>
          <cell r="Q805">
            <v>0</v>
          </cell>
        </row>
        <row r="806">
          <cell r="H806">
            <v>0</v>
          </cell>
          <cell r="M806">
            <v>0</v>
          </cell>
          <cell r="Q806">
            <v>0</v>
          </cell>
        </row>
        <row r="807">
          <cell r="H807">
            <v>0</v>
          </cell>
          <cell r="M807">
            <v>0</v>
          </cell>
          <cell r="Q807">
            <v>0</v>
          </cell>
        </row>
        <row r="808">
          <cell r="H808">
            <v>0</v>
          </cell>
          <cell r="M808">
            <v>0</v>
          </cell>
          <cell r="Q808">
            <v>0</v>
          </cell>
        </row>
        <row r="809">
          <cell r="H809">
            <v>0</v>
          </cell>
          <cell r="M809">
            <v>0</v>
          </cell>
          <cell r="Q809">
            <v>0</v>
          </cell>
        </row>
        <row r="810">
          <cell r="H810">
            <v>0</v>
          </cell>
          <cell r="M810">
            <v>0</v>
          </cell>
          <cell r="Q810">
            <v>0</v>
          </cell>
        </row>
        <row r="811">
          <cell r="H811">
            <v>0</v>
          </cell>
          <cell r="M811">
            <v>0</v>
          </cell>
          <cell r="Q811">
            <v>0</v>
          </cell>
        </row>
        <row r="812">
          <cell r="H812">
            <v>0</v>
          </cell>
          <cell r="M812">
            <v>0</v>
          </cell>
          <cell r="Q812">
            <v>0</v>
          </cell>
        </row>
        <row r="813">
          <cell r="H813">
            <v>0</v>
          </cell>
          <cell r="M813">
            <v>0</v>
          </cell>
          <cell r="Q813">
            <v>0</v>
          </cell>
        </row>
        <row r="814">
          <cell r="H814">
            <v>0</v>
          </cell>
          <cell r="M814">
            <v>0</v>
          </cell>
          <cell r="Q814">
            <v>0</v>
          </cell>
        </row>
        <row r="815">
          <cell r="H815">
            <v>0</v>
          </cell>
          <cell r="M815">
            <v>0</v>
          </cell>
          <cell r="Q815">
            <v>0</v>
          </cell>
        </row>
        <row r="816">
          <cell r="H816">
            <v>0</v>
          </cell>
          <cell r="M816">
            <v>0</v>
          </cell>
          <cell r="Q816">
            <v>0</v>
          </cell>
        </row>
        <row r="817">
          <cell r="H817">
            <v>0</v>
          </cell>
          <cell r="M817">
            <v>0</v>
          </cell>
          <cell r="Q817">
            <v>0</v>
          </cell>
        </row>
        <row r="818">
          <cell r="H818">
            <v>0</v>
          </cell>
          <cell r="M818">
            <v>0</v>
          </cell>
          <cell r="Q818">
            <v>0</v>
          </cell>
        </row>
        <row r="819">
          <cell r="H819">
            <v>0</v>
          </cell>
          <cell r="M819">
            <v>0</v>
          </cell>
          <cell r="Q819">
            <v>0</v>
          </cell>
        </row>
        <row r="820">
          <cell r="H820">
            <v>0</v>
          </cell>
          <cell r="M820">
            <v>0</v>
          </cell>
          <cell r="Q820">
            <v>0</v>
          </cell>
        </row>
        <row r="821">
          <cell r="H821">
            <v>0</v>
          </cell>
          <cell r="M821">
            <v>0</v>
          </cell>
          <cell r="Q821">
            <v>0</v>
          </cell>
        </row>
        <row r="822">
          <cell r="H822">
            <v>0</v>
          </cell>
          <cell r="M822">
            <v>0</v>
          </cell>
          <cell r="Q822">
            <v>0</v>
          </cell>
        </row>
        <row r="823">
          <cell r="H823">
            <v>0</v>
          </cell>
          <cell r="M823">
            <v>0</v>
          </cell>
          <cell r="Q823">
            <v>0</v>
          </cell>
        </row>
        <row r="824">
          <cell r="H824">
            <v>0</v>
          </cell>
          <cell r="M824">
            <v>0</v>
          </cell>
          <cell r="Q824">
            <v>0</v>
          </cell>
        </row>
        <row r="825">
          <cell r="H825">
            <v>0</v>
          </cell>
          <cell r="M825">
            <v>0</v>
          </cell>
          <cell r="Q825">
            <v>0</v>
          </cell>
        </row>
        <row r="826">
          <cell r="H826">
            <v>0</v>
          </cell>
          <cell r="M826">
            <v>0</v>
          </cell>
          <cell r="Q826">
            <v>0</v>
          </cell>
        </row>
        <row r="827">
          <cell r="H827">
            <v>0</v>
          </cell>
          <cell r="M827">
            <v>0</v>
          </cell>
          <cell r="Q827">
            <v>0</v>
          </cell>
        </row>
        <row r="828">
          <cell r="H828">
            <v>0</v>
          </cell>
          <cell r="M828">
            <v>0</v>
          </cell>
          <cell r="Q828">
            <v>0</v>
          </cell>
        </row>
        <row r="829">
          <cell r="H829">
            <v>0</v>
          </cell>
          <cell r="M829">
            <v>0</v>
          </cell>
          <cell r="Q829">
            <v>0</v>
          </cell>
        </row>
        <row r="830">
          <cell r="H830">
            <v>0</v>
          </cell>
          <cell r="M830">
            <v>0</v>
          </cell>
          <cell r="Q830">
            <v>0</v>
          </cell>
        </row>
        <row r="831">
          <cell r="H831">
            <v>0</v>
          </cell>
          <cell r="M831">
            <v>0</v>
          </cell>
          <cell r="Q831">
            <v>0</v>
          </cell>
        </row>
        <row r="832">
          <cell r="H832">
            <v>0</v>
          </cell>
          <cell r="M832">
            <v>0</v>
          </cell>
          <cell r="Q832">
            <v>0</v>
          </cell>
        </row>
        <row r="833">
          <cell r="H833">
            <v>0</v>
          </cell>
          <cell r="M833">
            <v>0</v>
          </cell>
          <cell r="Q833">
            <v>0</v>
          </cell>
        </row>
        <row r="834">
          <cell r="H834">
            <v>0</v>
          </cell>
          <cell r="M834">
            <v>0</v>
          </cell>
          <cell r="Q834">
            <v>0</v>
          </cell>
        </row>
        <row r="835">
          <cell r="H835">
            <v>0</v>
          </cell>
          <cell r="M835">
            <v>0</v>
          </cell>
          <cell r="Q835">
            <v>0</v>
          </cell>
        </row>
        <row r="836">
          <cell r="H836">
            <v>0</v>
          </cell>
          <cell r="M836">
            <v>0</v>
          </cell>
          <cell r="Q836">
            <v>0</v>
          </cell>
        </row>
        <row r="837">
          <cell r="H837">
            <v>0</v>
          </cell>
          <cell r="M837">
            <v>0</v>
          </cell>
          <cell r="Q837">
            <v>0</v>
          </cell>
        </row>
        <row r="838">
          <cell r="H838">
            <v>0</v>
          </cell>
          <cell r="M838">
            <v>0</v>
          </cell>
          <cell r="Q838">
            <v>0</v>
          </cell>
        </row>
        <row r="839">
          <cell r="H839">
            <v>0</v>
          </cell>
          <cell r="M839">
            <v>0</v>
          </cell>
          <cell r="Q839">
            <v>0</v>
          </cell>
        </row>
        <row r="840">
          <cell r="H840">
            <v>0</v>
          </cell>
          <cell r="M840">
            <v>0</v>
          </cell>
          <cell r="Q840">
            <v>0</v>
          </cell>
        </row>
        <row r="841">
          <cell r="H841">
            <v>0</v>
          </cell>
          <cell r="M841">
            <v>0</v>
          </cell>
          <cell r="Q841">
            <v>0</v>
          </cell>
        </row>
        <row r="842">
          <cell r="H842">
            <v>0</v>
          </cell>
          <cell r="M842">
            <v>0</v>
          </cell>
          <cell r="Q842">
            <v>0</v>
          </cell>
        </row>
        <row r="843">
          <cell r="H843">
            <v>0</v>
          </cell>
          <cell r="M843">
            <v>0</v>
          </cell>
          <cell r="Q843">
            <v>0</v>
          </cell>
        </row>
        <row r="844">
          <cell r="H844">
            <v>0</v>
          </cell>
          <cell r="M844">
            <v>0</v>
          </cell>
          <cell r="Q844">
            <v>0</v>
          </cell>
        </row>
        <row r="845">
          <cell r="H845">
            <v>0</v>
          </cell>
          <cell r="M845">
            <v>0</v>
          </cell>
          <cell r="Q845">
            <v>0</v>
          </cell>
        </row>
        <row r="846">
          <cell r="H846">
            <v>0</v>
          </cell>
          <cell r="M846">
            <v>0</v>
          </cell>
          <cell r="Q846">
            <v>0</v>
          </cell>
        </row>
        <row r="847">
          <cell r="H847">
            <v>0</v>
          </cell>
          <cell r="M847">
            <v>0</v>
          </cell>
          <cell r="Q847">
            <v>0</v>
          </cell>
        </row>
        <row r="848">
          <cell r="H848">
            <v>0</v>
          </cell>
          <cell r="M848">
            <v>0</v>
          </cell>
          <cell r="Q848">
            <v>0</v>
          </cell>
        </row>
        <row r="849">
          <cell r="H849">
            <v>0</v>
          </cell>
          <cell r="M849">
            <v>0</v>
          </cell>
          <cell r="Q849">
            <v>0</v>
          </cell>
        </row>
        <row r="850">
          <cell r="H850">
            <v>0</v>
          </cell>
          <cell r="M850">
            <v>0</v>
          </cell>
          <cell r="Q850">
            <v>0</v>
          </cell>
        </row>
        <row r="851">
          <cell r="H851">
            <v>0</v>
          </cell>
          <cell r="M851">
            <v>0</v>
          </cell>
          <cell r="Q851">
            <v>0</v>
          </cell>
        </row>
        <row r="852">
          <cell r="H852">
            <v>0</v>
          </cell>
          <cell r="M852">
            <v>0</v>
          </cell>
          <cell r="Q852">
            <v>0</v>
          </cell>
        </row>
        <row r="853">
          <cell r="H853">
            <v>0</v>
          </cell>
          <cell r="M853">
            <v>0</v>
          </cell>
          <cell r="Q853">
            <v>0</v>
          </cell>
        </row>
        <row r="854">
          <cell r="H854">
            <v>0</v>
          </cell>
          <cell r="M854">
            <v>0</v>
          </cell>
          <cell r="Q854">
            <v>0</v>
          </cell>
        </row>
        <row r="855">
          <cell r="H855">
            <v>0</v>
          </cell>
          <cell r="M855">
            <v>0</v>
          </cell>
          <cell r="Q855">
            <v>0</v>
          </cell>
        </row>
        <row r="856">
          <cell r="H856">
            <v>0</v>
          </cell>
          <cell r="M856">
            <v>0</v>
          </cell>
          <cell r="Q856">
            <v>0</v>
          </cell>
        </row>
        <row r="857">
          <cell r="H857">
            <v>0</v>
          </cell>
          <cell r="M857">
            <v>0</v>
          </cell>
          <cell r="Q857">
            <v>0</v>
          </cell>
        </row>
        <row r="858">
          <cell r="H858">
            <v>0</v>
          </cell>
          <cell r="M858">
            <v>0</v>
          </cell>
          <cell r="Q858">
            <v>0</v>
          </cell>
        </row>
        <row r="859">
          <cell r="H859">
            <v>0</v>
          </cell>
          <cell r="M859">
            <v>0</v>
          </cell>
          <cell r="Q859">
            <v>0</v>
          </cell>
        </row>
        <row r="860">
          <cell r="H860">
            <v>0</v>
          </cell>
          <cell r="M860">
            <v>0</v>
          </cell>
          <cell r="Q860">
            <v>0</v>
          </cell>
        </row>
        <row r="861">
          <cell r="H861">
            <v>0</v>
          </cell>
          <cell r="M861">
            <v>0</v>
          </cell>
          <cell r="Q861">
            <v>0</v>
          </cell>
        </row>
        <row r="862">
          <cell r="H862">
            <v>0</v>
          </cell>
          <cell r="M862">
            <v>0</v>
          </cell>
          <cell r="Q862">
            <v>0</v>
          </cell>
        </row>
        <row r="863">
          <cell r="H863">
            <v>0</v>
          </cell>
          <cell r="M863">
            <v>0</v>
          </cell>
          <cell r="Q863">
            <v>0</v>
          </cell>
        </row>
        <row r="864">
          <cell r="H864">
            <v>0</v>
          </cell>
          <cell r="M864">
            <v>0</v>
          </cell>
          <cell r="Q864">
            <v>0</v>
          </cell>
        </row>
        <row r="865">
          <cell r="H865">
            <v>0</v>
          </cell>
          <cell r="M865">
            <v>0</v>
          </cell>
          <cell r="Q865">
            <v>0</v>
          </cell>
        </row>
        <row r="866">
          <cell r="H866">
            <v>0</v>
          </cell>
          <cell r="M866">
            <v>0</v>
          </cell>
          <cell r="Q866">
            <v>0</v>
          </cell>
        </row>
        <row r="867">
          <cell r="H867">
            <v>0</v>
          </cell>
          <cell r="M867">
            <v>0</v>
          </cell>
          <cell r="Q867">
            <v>0</v>
          </cell>
        </row>
        <row r="868">
          <cell r="H868">
            <v>0</v>
          </cell>
          <cell r="M868">
            <v>0</v>
          </cell>
          <cell r="Q868">
            <v>0</v>
          </cell>
        </row>
        <row r="869">
          <cell r="H869">
            <v>0</v>
          </cell>
          <cell r="M869">
            <v>0</v>
          </cell>
          <cell r="Q869">
            <v>0</v>
          </cell>
        </row>
        <row r="870">
          <cell r="H870">
            <v>0</v>
          </cell>
          <cell r="M870">
            <v>0</v>
          </cell>
          <cell r="Q870">
            <v>0</v>
          </cell>
        </row>
        <row r="871">
          <cell r="H871">
            <v>0</v>
          </cell>
          <cell r="M871">
            <v>0</v>
          </cell>
          <cell r="Q871">
            <v>0</v>
          </cell>
        </row>
        <row r="872">
          <cell r="H872">
            <v>0</v>
          </cell>
          <cell r="M872">
            <v>0</v>
          </cell>
          <cell r="Q872">
            <v>0</v>
          </cell>
        </row>
        <row r="873">
          <cell r="H873">
            <v>0</v>
          </cell>
          <cell r="M873">
            <v>0</v>
          </cell>
          <cell r="Q873">
            <v>0</v>
          </cell>
        </row>
        <row r="874">
          <cell r="H874">
            <v>0</v>
          </cell>
          <cell r="M874">
            <v>0</v>
          </cell>
          <cell r="Q874">
            <v>0</v>
          </cell>
        </row>
        <row r="875">
          <cell r="H875">
            <v>0</v>
          </cell>
          <cell r="M875">
            <v>0</v>
          </cell>
          <cell r="Q875">
            <v>0</v>
          </cell>
        </row>
        <row r="876">
          <cell r="H876">
            <v>0</v>
          </cell>
          <cell r="M876">
            <v>0</v>
          </cell>
          <cell r="Q876">
            <v>0</v>
          </cell>
        </row>
        <row r="877">
          <cell r="H877">
            <v>0</v>
          </cell>
          <cell r="M877">
            <v>0</v>
          </cell>
          <cell r="Q877">
            <v>0</v>
          </cell>
        </row>
        <row r="878">
          <cell r="H878">
            <v>0</v>
          </cell>
          <cell r="M878">
            <v>0</v>
          </cell>
          <cell r="Q878">
            <v>0</v>
          </cell>
        </row>
        <row r="879">
          <cell r="H879">
            <v>0</v>
          </cell>
          <cell r="M879">
            <v>0</v>
          </cell>
          <cell r="Q879">
            <v>0</v>
          </cell>
        </row>
        <row r="880">
          <cell r="H880">
            <v>0</v>
          </cell>
          <cell r="M880">
            <v>0</v>
          </cell>
          <cell r="Q880">
            <v>0</v>
          </cell>
        </row>
        <row r="881">
          <cell r="H881">
            <v>0</v>
          </cell>
          <cell r="M881">
            <v>0</v>
          </cell>
          <cell r="Q881">
            <v>0</v>
          </cell>
        </row>
        <row r="882">
          <cell r="H882">
            <v>0</v>
          </cell>
          <cell r="M882">
            <v>0</v>
          </cell>
          <cell r="Q882">
            <v>0</v>
          </cell>
        </row>
        <row r="883">
          <cell r="H883">
            <v>0</v>
          </cell>
          <cell r="M883">
            <v>0</v>
          </cell>
          <cell r="Q883">
            <v>0</v>
          </cell>
        </row>
        <row r="884">
          <cell r="H884">
            <v>0</v>
          </cell>
          <cell r="M884">
            <v>0</v>
          </cell>
          <cell r="Q884">
            <v>0</v>
          </cell>
        </row>
        <row r="885">
          <cell r="H885">
            <v>0</v>
          </cell>
          <cell r="M885">
            <v>0</v>
          </cell>
          <cell r="Q885">
            <v>0</v>
          </cell>
        </row>
        <row r="886">
          <cell r="H886">
            <v>0</v>
          </cell>
          <cell r="M886">
            <v>0</v>
          </cell>
          <cell r="Q886">
            <v>0</v>
          </cell>
        </row>
        <row r="887">
          <cell r="H887">
            <v>0</v>
          </cell>
          <cell r="M887">
            <v>0</v>
          </cell>
          <cell r="Q887">
            <v>0</v>
          </cell>
        </row>
        <row r="888">
          <cell r="H888">
            <v>0</v>
          </cell>
          <cell r="M888">
            <v>0</v>
          </cell>
          <cell r="Q888">
            <v>0</v>
          </cell>
        </row>
        <row r="889">
          <cell r="H889">
            <v>0</v>
          </cell>
          <cell r="M889">
            <v>0</v>
          </cell>
          <cell r="Q889">
            <v>0</v>
          </cell>
        </row>
        <row r="890">
          <cell r="H890">
            <v>0</v>
          </cell>
          <cell r="M890">
            <v>0</v>
          </cell>
          <cell r="Q890">
            <v>0</v>
          </cell>
        </row>
        <row r="891">
          <cell r="H891">
            <v>0</v>
          </cell>
          <cell r="M891">
            <v>0</v>
          </cell>
          <cell r="Q891">
            <v>0</v>
          </cell>
        </row>
        <row r="892">
          <cell r="H892">
            <v>0</v>
          </cell>
          <cell r="M892">
            <v>0</v>
          </cell>
          <cell r="Q892">
            <v>0</v>
          </cell>
        </row>
        <row r="893">
          <cell r="H893">
            <v>0</v>
          </cell>
          <cell r="M893">
            <v>0</v>
          </cell>
          <cell r="Q893">
            <v>0</v>
          </cell>
        </row>
        <row r="894">
          <cell r="H894">
            <v>0</v>
          </cell>
          <cell r="M894">
            <v>0</v>
          </cell>
          <cell r="Q894">
            <v>0</v>
          </cell>
        </row>
        <row r="895">
          <cell r="H895">
            <v>0</v>
          </cell>
          <cell r="M895">
            <v>0</v>
          </cell>
          <cell r="Q895">
            <v>0</v>
          </cell>
        </row>
        <row r="896">
          <cell r="H896">
            <v>0</v>
          </cell>
          <cell r="M896">
            <v>0</v>
          </cell>
          <cell r="Q896">
            <v>0</v>
          </cell>
        </row>
        <row r="897">
          <cell r="H897">
            <v>0</v>
          </cell>
          <cell r="M897">
            <v>0</v>
          </cell>
          <cell r="Q897">
            <v>0</v>
          </cell>
        </row>
        <row r="898">
          <cell r="H898">
            <v>0</v>
          </cell>
          <cell r="M898">
            <v>0</v>
          </cell>
          <cell r="Q898">
            <v>0</v>
          </cell>
        </row>
        <row r="899">
          <cell r="H899">
            <v>0</v>
          </cell>
          <cell r="M899">
            <v>0</v>
          </cell>
          <cell r="Q899">
            <v>0</v>
          </cell>
        </row>
        <row r="900">
          <cell r="H900">
            <v>0</v>
          </cell>
          <cell r="M900">
            <v>0</v>
          </cell>
          <cell r="Q900">
            <v>0</v>
          </cell>
        </row>
        <row r="901">
          <cell r="H901">
            <v>0</v>
          </cell>
          <cell r="M901">
            <v>0</v>
          </cell>
          <cell r="Q901">
            <v>0</v>
          </cell>
        </row>
        <row r="902">
          <cell r="H902">
            <v>0</v>
          </cell>
          <cell r="M902">
            <v>0</v>
          </cell>
          <cell r="Q902">
            <v>0</v>
          </cell>
        </row>
        <row r="903">
          <cell r="H903">
            <v>0</v>
          </cell>
          <cell r="M903">
            <v>0</v>
          </cell>
          <cell r="Q903">
            <v>0</v>
          </cell>
        </row>
        <row r="904">
          <cell r="H904">
            <v>0</v>
          </cell>
          <cell r="M904">
            <v>0</v>
          </cell>
          <cell r="Q904">
            <v>0</v>
          </cell>
        </row>
        <row r="905">
          <cell r="H905">
            <v>0</v>
          </cell>
          <cell r="M905">
            <v>0</v>
          </cell>
          <cell r="Q905">
            <v>0</v>
          </cell>
        </row>
        <row r="906">
          <cell r="H906">
            <v>0</v>
          </cell>
          <cell r="M906">
            <v>0</v>
          </cell>
          <cell r="Q906">
            <v>0</v>
          </cell>
        </row>
        <row r="907">
          <cell r="H907">
            <v>0</v>
          </cell>
          <cell r="M907">
            <v>0</v>
          </cell>
          <cell r="Q907">
            <v>0</v>
          </cell>
        </row>
        <row r="908">
          <cell r="H908">
            <v>0</v>
          </cell>
          <cell r="M908">
            <v>0</v>
          </cell>
          <cell r="Q908">
            <v>0</v>
          </cell>
        </row>
        <row r="909">
          <cell r="H909">
            <v>0</v>
          </cell>
          <cell r="M909">
            <v>0</v>
          </cell>
          <cell r="Q909">
            <v>0</v>
          </cell>
        </row>
        <row r="910">
          <cell r="H910">
            <v>0</v>
          </cell>
          <cell r="M910">
            <v>0</v>
          </cell>
          <cell r="Q910">
            <v>0</v>
          </cell>
        </row>
        <row r="911">
          <cell r="H911">
            <v>0</v>
          </cell>
          <cell r="M911">
            <v>0</v>
          </cell>
          <cell r="Q911">
            <v>0</v>
          </cell>
        </row>
        <row r="912">
          <cell r="H912">
            <v>0</v>
          </cell>
          <cell r="M912">
            <v>0</v>
          </cell>
          <cell r="Q912">
            <v>0</v>
          </cell>
        </row>
        <row r="913">
          <cell r="H913">
            <v>0</v>
          </cell>
          <cell r="M913">
            <v>0</v>
          </cell>
          <cell r="Q913">
            <v>0</v>
          </cell>
        </row>
        <row r="914">
          <cell r="H914">
            <v>0</v>
          </cell>
          <cell r="M914">
            <v>0</v>
          </cell>
          <cell r="Q914">
            <v>0</v>
          </cell>
        </row>
        <row r="915">
          <cell r="H915">
            <v>0</v>
          </cell>
          <cell r="M915">
            <v>0</v>
          </cell>
          <cell r="Q915">
            <v>0</v>
          </cell>
        </row>
        <row r="916">
          <cell r="H916">
            <v>0</v>
          </cell>
          <cell r="M916">
            <v>0</v>
          </cell>
          <cell r="Q916">
            <v>0</v>
          </cell>
        </row>
        <row r="917">
          <cell r="H917">
            <v>0</v>
          </cell>
          <cell r="M917">
            <v>0</v>
          </cell>
          <cell r="Q917">
            <v>0</v>
          </cell>
        </row>
        <row r="918">
          <cell r="H918">
            <v>0</v>
          </cell>
          <cell r="M918">
            <v>0</v>
          </cell>
          <cell r="Q918">
            <v>0</v>
          </cell>
        </row>
        <row r="919">
          <cell r="H919">
            <v>0</v>
          </cell>
          <cell r="M919">
            <v>0</v>
          </cell>
          <cell r="Q919">
            <v>0</v>
          </cell>
        </row>
        <row r="920">
          <cell r="H920">
            <v>0</v>
          </cell>
          <cell r="M920">
            <v>0</v>
          </cell>
          <cell r="Q920">
            <v>0</v>
          </cell>
        </row>
        <row r="921">
          <cell r="H921">
            <v>0</v>
          </cell>
          <cell r="M921">
            <v>0</v>
          </cell>
          <cell r="Q921">
            <v>0</v>
          </cell>
        </row>
        <row r="922">
          <cell r="H922">
            <v>0</v>
          </cell>
          <cell r="M922">
            <v>0</v>
          </cell>
          <cell r="Q922">
            <v>0</v>
          </cell>
        </row>
        <row r="923">
          <cell r="H923">
            <v>0</v>
          </cell>
          <cell r="M923">
            <v>0</v>
          </cell>
          <cell r="Q923">
            <v>0</v>
          </cell>
        </row>
        <row r="924">
          <cell r="H924">
            <v>0</v>
          </cell>
          <cell r="M924">
            <v>0</v>
          </cell>
          <cell r="Q924">
            <v>0</v>
          </cell>
        </row>
        <row r="925">
          <cell r="H925">
            <v>0</v>
          </cell>
          <cell r="M925">
            <v>0</v>
          </cell>
          <cell r="Q925">
            <v>0</v>
          </cell>
        </row>
        <row r="926">
          <cell r="H926">
            <v>0</v>
          </cell>
          <cell r="M926">
            <v>0</v>
          </cell>
          <cell r="Q926">
            <v>0</v>
          </cell>
        </row>
        <row r="927">
          <cell r="H927">
            <v>0</v>
          </cell>
          <cell r="M927">
            <v>0</v>
          </cell>
          <cell r="Q927">
            <v>0</v>
          </cell>
        </row>
        <row r="928">
          <cell r="H928">
            <v>0</v>
          </cell>
          <cell r="M928">
            <v>0</v>
          </cell>
          <cell r="Q928">
            <v>0</v>
          </cell>
        </row>
        <row r="929">
          <cell r="H929">
            <v>0</v>
          </cell>
          <cell r="M929">
            <v>0</v>
          </cell>
          <cell r="Q929">
            <v>0</v>
          </cell>
        </row>
        <row r="930">
          <cell r="H930">
            <v>0</v>
          </cell>
          <cell r="M930">
            <v>0</v>
          </cell>
          <cell r="Q930">
            <v>0</v>
          </cell>
        </row>
        <row r="931">
          <cell r="H931">
            <v>0</v>
          </cell>
          <cell r="M931">
            <v>0</v>
          </cell>
          <cell r="Q931">
            <v>0</v>
          </cell>
        </row>
        <row r="932">
          <cell r="H932">
            <v>0</v>
          </cell>
          <cell r="M932">
            <v>0</v>
          </cell>
          <cell r="Q932">
            <v>0</v>
          </cell>
        </row>
        <row r="933">
          <cell r="H933">
            <v>0</v>
          </cell>
          <cell r="M933">
            <v>0</v>
          </cell>
          <cell r="Q933">
            <v>0</v>
          </cell>
        </row>
        <row r="934">
          <cell r="H934">
            <v>0</v>
          </cell>
          <cell r="M934">
            <v>0</v>
          </cell>
          <cell r="Q934">
            <v>0</v>
          </cell>
        </row>
        <row r="935">
          <cell r="H935">
            <v>0</v>
          </cell>
          <cell r="M935">
            <v>0</v>
          </cell>
          <cell r="Q935">
            <v>0</v>
          </cell>
        </row>
        <row r="936">
          <cell r="H936">
            <v>0</v>
          </cell>
          <cell r="M936">
            <v>0</v>
          </cell>
          <cell r="Q936">
            <v>0</v>
          </cell>
        </row>
        <row r="937">
          <cell r="H937">
            <v>0</v>
          </cell>
          <cell r="M937">
            <v>0</v>
          </cell>
          <cell r="Q937">
            <v>0</v>
          </cell>
        </row>
        <row r="938">
          <cell r="H938">
            <v>0</v>
          </cell>
          <cell r="M938">
            <v>0</v>
          </cell>
          <cell r="Q938">
            <v>0</v>
          </cell>
        </row>
        <row r="939">
          <cell r="H939">
            <v>0</v>
          </cell>
          <cell r="M939">
            <v>0</v>
          </cell>
          <cell r="Q939">
            <v>0</v>
          </cell>
        </row>
        <row r="940">
          <cell r="H940">
            <v>0</v>
          </cell>
          <cell r="M940">
            <v>0</v>
          </cell>
          <cell r="Q940">
            <v>0</v>
          </cell>
        </row>
        <row r="941">
          <cell r="H941">
            <v>0</v>
          </cell>
          <cell r="M941">
            <v>0</v>
          </cell>
          <cell r="Q941">
            <v>0</v>
          </cell>
        </row>
        <row r="942">
          <cell r="H942">
            <v>0</v>
          </cell>
          <cell r="M942">
            <v>0</v>
          </cell>
          <cell r="Q942">
            <v>0</v>
          </cell>
        </row>
        <row r="943">
          <cell r="H943">
            <v>0</v>
          </cell>
          <cell r="M943">
            <v>0</v>
          </cell>
          <cell r="Q943">
            <v>0</v>
          </cell>
        </row>
        <row r="944">
          <cell r="H944">
            <v>0</v>
          </cell>
          <cell r="M944">
            <v>0</v>
          </cell>
          <cell r="Q944">
            <v>0</v>
          </cell>
        </row>
        <row r="945">
          <cell r="H945">
            <v>0</v>
          </cell>
          <cell r="M945">
            <v>0</v>
          </cell>
          <cell r="Q945">
            <v>0</v>
          </cell>
        </row>
        <row r="946">
          <cell r="H946">
            <v>0</v>
          </cell>
          <cell r="M946">
            <v>0</v>
          </cell>
          <cell r="Q946">
            <v>0</v>
          </cell>
        </row>
        <row r="947">
          <cell r="H947">
            <v>0</v>
          </cell>
          <cell r="M947">
            <v>0</v>
          </cell>
          <cell r="Q947">
            <v>0</v>
          </cell>
        </row>
        <row r="948">
          <cell r="H948">
            <v>0</v>
          </cell>
          <cell r="M948">
            <v>0</v>
          </cell>
          <cell r="Q948">
            <v>0</v>
          </cell>
        </row>
        <row r="949">
          <cell r="H949">
            <v>0</v>
          </cell>
          <cell r="M949">
            <v>0</v>
          </cell>
          <cell r="Q949">
            <v>0</v>
          </cell>
        </row>
        <row r="950">
          <cell r="H950">
            <v>0</v>
          </cell>
          <cell r="M950">
            <v>0</v>
          </cell>
          <cell r="Q950">
            <v>0</v>
          </cell>
        </row>
        <row r="951">
          <cell r="H951">
            <v>0</v>
          </cell>
          <cell r="M951">
            <v>0</v>
          </cell>
          <cell r="Q951">
            <v>0</v>
          </cell>
        </row>
        <row r="952">
          <cell r="H952">
            <v>0</v>
          </cell>
          <cell r="M952">
            <v>0</v>
          </cell>
          <cell r="Q952">
            <v>0</v>
          </cell>
        </row>
        <row r="953">
          <cell r="H953">
            <v>0</v>
          </cell>
          <cell r="M953">
            <v>0</v>
          </cell>
          <cell r="Q953">
            <v>0</v>
          </cell>
        </row>
        <row r="954">
          <cell r="H954">
            <v>0</v>
          </cell>
          <cell r="M954">
            <v>0</v>
          </cell>
          <cell r="Q954">
            <v>0</v>
          </cell>
        </row>
        <row r="955">
          <cell r="H955">
            <v>0</v>
          </cell>
          <cell r="M955">
            <v>0</v>
          </cell>
          <cell r="Q955">
            <v>0</v>
          </cell>
        </row>
        <row r="956">
          <cell r="H956">
            <v>0</v>
          </cell>
          <cell r="M956">
            <v>0</v>
          </cell>
          <cell r="Q956">
            <v>0</v>
          </cell>
        </row>
        <row r="957">
          <cell r="H957">
            <v>0</v>
          </cell>
          <cell r="M957">
            <v>0</v>
          </cell>
          <cell r="Q957">
            <v>0</v>
          </cell>
        </row>
        <row r="958">
          <cell r="H958">
            <v>0</v>
          </cell>
          <cell r="M958">
            <v>0</v>
          </cell>
          <cell r="Q958">
            <v>0</v>
          </cell>
        </row>
        <row r="959">
          <cell r="H959">
            <v>0</v>
          </cell>
          <cell r="M959">
            <v>0</v>
          </cell>
          <cell r="Q959">
            <v>0</v>
          </cell>
        </row>
        <row r="960">
          <cell r="H960">
            <v>0</v>
          </cell>
          <cell r="M960">
            <v>0</v>
          </cell>
          <cell r="Q960">
            <v>0</v>
          </cell>
        </row>
        <row r="961">
          <cell r="H961">
            <v>0</v>
          </cell>
          <cell r="M961">
            <v>0</v>
          </cell>
          <cell r="Q961">
            <v>0</v>
          </cell>
        </row>
        <row r="962">
          <cell r="H962">
            <v>0</v>
          </cell>
          <cell r="M962">
            <v>0</v>
          </cell>
          <cell r="Q962">
            <v>0</v>
          </cell>
        </row>
        <row r="963">
          <cell r="H963">
            <v>0</v>
          </cell>
          <cell r="M963">
            <v>0</v>
          </cell>
          <cell r="Q963">
            <v>0</v>
          </cell>
        </row>
        <row r="964">
          <cell r="H964">
            <v>0</v>
          </cell>
          <cell r="M964">
            <v>0</v>
          </cell>
          <cell r="Q964">
            <v>0</v>
          </cell>
        </row>
        <row r="965">
          <cell r="H965">
            <v>0</v>
          </cell>
          <cell r="M965">
            <v>0</v>
          </cell>
          <cell r="Q965">
            <v>0</v>
          </cell>
        </row>
        <row r="966">
          <cell r="H966">
            <v>0</v>
          </cell>
          <cell r="M966">
            <v>0</v>
          </cell>
          <cell r="Q966">
            <v>0</v>
          </cell>
        </row>
        <row r="967">
          <cell r="H967">
            <v>0</v>
          </cell>
          <cell r="M967">
            <v>0</v>
          </cell>
          <cell r="Q967">
            <v>0</v>
          </cell>
        </row>
        <row r="968">
          <cell r="H968">
            <v>0</v>
          </cell>
          <cell r="M968">
            <v>0</v>
          </cell>
          <cell r="Q968">
            <v>0</v>
          </cell>
        </row>
        <row r="969">
          <cell r="H969">
            <v>0</v>
          </cell>
          <cell r="M969">
            <v>0</v>
          </cell>
          <cell r="Q969">
            <v>0</v>
          </cell>
        </row>
        <row r="970">
          <cell r="H970">
            <v>0</v>
          </cell>
          <cell r="M970">
            <v>0</v>
          </cell>
          <cell r="Q970">
            <v>0</v>
          </cell>
        </row>
        <row r="971">
          <cell r="H971">
            <v>0</v>
          </cell>
          <cell r="M971">
            <v>0</v>
          </cell>
          <cell r="Q971">
            <v>0</v>
          </cell>
        </row>
        <row r="972">
          <cell r="H972">
            <v>0</v>
          </cell>
          <cell r="M972">
            <v>0</v>
          </cell>
          <cell r="Q972">
            <v>0</v>
          </cell>
        </row>
        <row r="973">
          <cell r="H973">
            <v>0</v>
          </cell>
          <cell r="M973">
            <v>0</v>
          </cell>
          <cell r="Q973">
            <v>0</v>
          </cell>
        </row>
        <row r="974">
          <cell r="H974">
            <v>0</v>
          </cell>
          <cell r="M974">
            <v>0</v>
          </cell>
          <cell r="Q974">
            <v>0</v>
          </cell>
        </row>
        <row r="975">
          <cell r="H975">
            <v>0</v>
          </cell>
          <cell r="M975">
            <v>0</v>
          </cell>
          <cell r="Q975">
            <v>0</v>
          </cell>
        </row>
        <row r="976">
          <cell r="H976">
            <v>0</v>
          </cell>
          <cell r="M976">
            <v>0</v>
          </cell>
          <cell r="Q976">
            <v>0</v>
          </cell>
        </row>
        <row r="977">
          <cell r="H977">
            <v>0</v>
          </cell>
          <cell r="M977">
            <v>0</v>
          </cell>
          <cell r="Q977">
            <v>0</v>
          </cell>
        </row>
      </sheetData>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s (2)"/>
      <sheetName val="Graph's"/>
      <sheetName val="DATA"/>
      <sheetName val="Summary"/>
      <sheetName val="Line 1"/>
      <sheetName val="Line 2"/>
      <sheetName val="Line 3"/>
      <sheetName val="Line 4"/>
      <sheetName val="Line 5"/>
      <sheetName val="PACKENG&amp;OTHER"/>
      <sheetName val="Sheet1"/>
    </sheetNames>
    <sheetDataSet>
      <sheetData sheetId="0"/>
      <sheetData sheetId="1"/>
      <sheetData sheetId="2"/>
      <sheetData sheetId="3"/>
      <sheetData sheetId="4"/>
      <sheetData sheetId="5"/>
      <sheetData sheetId="6"/>
      <sheetData sheetId="7"/>
      <sheetData sheetId="8"/>
      <sheetData sheetId="9"/>
      <sheetData sheetId="10">
        <row r="35">
          <cell r="H35">
            <v>12200</v>
          </cell>
          <cell r="I35" t="str">
            <v>Depalletiser</v>
          </cell>
        </row>
        <row r="36">
          <cell r="H36">
            <v>12201</v>
          </cell>
          <cell r="I36" t="str">
            <v>Depalletiser</v>
          </cell>
        </row>
        <row r="37">
          <cell r="H37">
            <v>12202</v>
          </cell>
          <cell r="I37" t="str">
            <v>Combiner</v>
          </cell>
        </row>
        <row r="38">
          <cell r="H38">
            <v>12203</v>
          </cell>
          <cell r="I38" t="str">
            <v>Combiner</v>
          </cell>
        </row>
        <row r="39">
          <cell r="H39">
            <v>12204</v>
          </cell>
          <cell r="I39" t="str">
            <v>Divider</v>
          </cell>
        </row>
        <row r="40">
          <cell r="H40">
            <v>12205</v>
          </cell>
          <cell r="I40" t="str">
            <v>Divider</v>
          </cell>
        </row>
        <row r="41">
          <cell r="H41">
            <v>12206</v>
          </cell>
          <cell r="I41" t="str">
            <v>Palletiser</v>
          </cell>
        </row>
        <row r="42">
          <cell r="H42">
            <v>12207</v>
          </cell>
          <cell r="I42" t="str">
            <v>Palletiser</v>
          </cell>
        </row>
        <row r="43">
          <cell r="H43">
            <v>12208</v>
          </cell>
          <cell r="I43" t="str">
            <v>Crate Washer</v>
          </cell>
        </row>
        <row r="44">
          <cell r="H44">
            <v>12209</v>
          </cell>
          <cell r="I44" t="str">
            <v>Crate Washer</v>
          </cell>
        </row>
        <row r="45">
          <cell r="H45">
            <v>12210</v>
          </cell>
          <cell r="I45" t="str">
            <v>Acc Table's</v>
          </cell>
        </row>
        <row r="46">
          <cell r="H46">
            <v>12211</v>
          </cell>
          <cell r="I46" t="str">
            <v>Acc Table's</v>
          </cell>
        </row>
        <row r="47">
          <cell r="H47">
            <v>12212</v>
          </cell>
          <cell r="I47" t="str">
            <v>Decrowner</v>
          </cell>
        </row>
        <row r="48">
          <cell r="H48">
            <v>12213</v>
          </cell>
          <cell r="I48" t="str">
            <v>Decrowner</v>
          </cell>
        </row>
        <row r="49">
          <cell r="H49">
            <v>12214</v>
          </cell>
          <cell r="I49" t="str">
            <v>Uncaser</v>
          </cell>
        </row>
        <row r="50">
          <cell r="H50">
            <v>12215</v>
          </cell>
          <cell r="I50" t="str">
            <v>Uncaser</v>
          </cell>
        </row>
        <row r="51">
          <cell r="H51">
            <v>12216</v>
          </cell>
          <cell r="I51" t="str">
            <v>Washer</v>
          </cell>
        </row>
        <row r="52">
          <cell r="H52">
            <v>12217</v>
          </cell>
          <cell r="I52" t="str">
            <v>Washer</v>
          </cell>
        </row>
        <row r="53">
          <cell r="H53">
            <v>12218</v>
          </cell>
          <cell r="I53" t="str">
            <v>EBI</v>
          </cell>
        </row>
        <row r="54">
          <cell r="H54">
            <v>12219</v>
          </cell>
          <cell r="I54" t="str">
            <v>EBI</v>
          </cell>
        </row>
        <row r="55">
          <cell r="H55">
            <v>12220</v>
          </cell>
          <cell r="I55" t="str">
            <v>FBI</v>
          </cell>
        </row>
        <row r="56">
          <cell r="H56">
            <v>12221</v>
          </cell>
          <cell r="I56" t="str">
            <v>FBI</v>
          </cell>
        </row>
        <row r="57">
          <cell r="H57">
            <v>12222</v>
          </cell>
          <cell r="I57" t="str">
            <v>Filler</v>
          </cell>
        </row>
        <row r="58">
          <cell r="H58">
            <v>12223</v>
          </cell>
          <cell r="I58" t="str">
            <v>Filler</v>
          </cell>
        </row>
        <row r="59">
          <cell r="H59">
            <v>12224</v>
          </cell>
          <cell r="I59" t="str">
            <v>Crowner</v>
          </cell>
        </row>
        <row r="60">
          <cell r="H60">
            <v>12225</v>
          </cell>
          <cell r="I60" t="str">
            <v>Crowner</v>
          </cell>
        </row>
        <row r="61">
          <cell r="H61">
            <v>12226</v>
          </cell>
          <cell r="I61" t="str">
            <v>Pasteuriser</v>
          </cell>
        </row>
        <row r="62">
          <cell r="H62">
            <v>12227</v>
          </cell>
          <cell r="I62" t="str">
            <v>Pasteuriser</v>
          </cell>
        </row>
        <row r="63">
          <cell r="H63">
            <v>12228</v>
          </cell>
          <cell r="I63" t="str">
            <v>Labeller 1&amp;2</v>
          </cell>
        </row>
        <row r="64">
          <cell r="H64">
            <v>12229</v>
          </cell>
          <cell r="I64" t="str">
            <v>Labeller 1&amp;2</v>
          </cell>
        </row>
        <row r="65">
          <cell r="H65">
            <v>12230</v>
          </cell>
          <cell r="I65" t="str">
            <v>Recrater</v>
          </cell>
        </row>
        <row r="66">
          <cell r="H66">
            <v>12231</v>
          </cell>
          <cell r="I66" t="str">
            <v>Recrater</v>
          </cell>
        </row>
        <row r="67">
          <cell r="H67">
            <v>12232</v>
          </cell>
          <cell r="I67" t="str">
            <v>Pallet Inpector</v>
          </cell>
        </row>
        <row r="68">
          <cell r="H68">
            <v>12233</v>
          </cell>
          <cell r="I68" t="str">
            <v>Pallet Inpector</v>
          </cell>
        </row>
        <row r="69">
          <cell r="H69">
            <v>12234</v>
          </cell>
          <cell r="I69" t="str">
            <v>Pallet Conveyors</v>
          </cell>
        </row>
        <row r="70">
          <cell r="H70">
            <v>12235</v>
          </cell>
          <cell r="I70" t="str">
            <v>Pallet Conveyors</v>
          </cell>
        </row>
        <row r="71">
          <cell r="H71">
            <v>12236</v>
          </cell>
          <cell r="I71" t="str">
            <v>Bottle Conveyors</v>
          </cell>
        </row>
        <row r="72">
          <cell r="H72">
            <v>12237</v>
          </cell>
          <cell r="I72" t="str">
            <v>Bottle Conveyors</v>
          </cell>
        </row>
        <row r="73">
          <cell r="H73">
            <v>12238</v>
          </cell>
          <cell r="I73" t="str">
            <v xml:space="preserve">Crate Conveyors </v>
          </cell>
        </row>
        <row r="74">
          <cell r="H74">
            <v>12239</v>
          </cell>
          <cell r="I74" t="str">
            <v xml:space="preserve">Crate Conveyors </v>
          </cell>
        </row>
        <row r="75">
          <cell r="H75">
            <v>12240</v>
          </cell>
          <cell r="I75" t="str">
            <v>Video Jet</v>
          </cell>
        </row>
        <row r="76">
          <cell r="H76">
            <v>12241</v>
          </cell>
          <cell r="I76" t="str">
            <v>Video Jet</v>
          </cell>
        </row>
        <row r="77">
          <cell r="H77">
            <v>12242</v>
          </cell>
          <cell r="I77" t="str">
            <v>PLC</v>
          </cell>
        </row>
        <row r="78">
          <cell r="H78">
            <v>12243</v>
          </cell>
          <cell r="I78" t="str">
            <v>PLC</v>
          </cell>
        </row>
        <row r="79">
          <cell r="H79">
            <v>12244</v>
          </cell>
          <cell r="I79" t="str">
            <v>CIP Plant</v>
          </cell>
        </row>
        <row r="80">
          <cell r="H80">
            <v>12245</v>
          </cell>
          <cell r="I80" t="str">
            <v>CIP Plant</v>
          </cell>
        </row>
        <row r="81">
          <cell r="H81">
            <v>12246</v>
          </cell>
          <cell r="I81" t="str">
            <v>New Glass Depall</v>
          </cell>
        </row>
        <row r="82">
          <cell r="H82">
            <v>12247</v>
          </cell>
          <cell r="I82" t="str">
            <v>New Glass Depall</v>
          </cell>
        </row>
        <row r="83">
          <cell r="H83">
            <v>12400</v>
          </cell>
          <cell r="I83" t="str">
            <v>Depalletiser</v>
          </cell>
        </row>
        <row r="84">
          <cell r="H84">
            <v>12401</v>
          </cell>
          <cell r="I84" t="str">
            <v>Depalletiser</v>
          </cell>
        </row>
        <row r="85">
          <cell r="H85">
            <v>12402</v>
          </cell>
          <cell r="I85" t="str">
            <v>Combiner</v>
          </cell>
        </row>
        <row r="86">
          <cell r="H86">
            <v>12403</v>
          </cell>
          <cell r="I86" t="str">
            <v>Combiner</v>
          </cell>
        </row>
        <row r="87">
          <cell r="H87">
            <v>12404</v>
          </cell>
          <cell r="I87" t="str">
            <v>Divider</v>
          </cell>
        </row>
        <row r="88">
          <cell r="H88">
            <v>12405</v>
          </cell>
          <cell r="I88" t="str">
            <v>Divider</v>
          </cell>
        </row>
        <row r="89">
          <cell r="H89">
            <v>12406</v>
          </cell>
          <cell r="I89" t="str">
            <v>Palletiser</v>
          </cell>
        </row>
        <row r="90">
          <cell r="H90">
            <v>12407</v>
          </cell>
          <cell r="I90" t="str">
            <v>Palletiser</v>
          </cell>
        </row>
        <row r="91">
          <cell r="H91">
            <v>12408</v>
          </cell>
          <cell r="I91" t="str">
            <v>Crate Washer</v>
          </cell>
        </row>
        <row r="92">
          <cell r="H92">
            <v>12409</v>
          </cell>
          <cell r="I92" t="str">
            <v>Crate Washer</v>
          </cell>
        </row>
        <row r="93">
          <cell r="H93">
            <v>12410</v>
          </cell>
          <cell r="I93" t="str">
            <v>Acc Table's</v>
          </cell>
        </row>
        <row r="94">
          <cell r="H94">
            <v>12411</v>
          </cell>
          <cell r="I94" t="str">
            <v>Acc Table's</v>
          </cell>
        </row>
        <row r="95">
          <cell r="H95">
            <v>12412</v>
          </cell>
          <cell r="I95" t="str">
            <v>Decrowner</v>
          </cell>
        </row>
        <row r="96">
          <cell r="H96">
            <v>12413</v>
          </cell>
          <cell r="I96" t="str">
            <v>Decrowner</v>
          </cell>
        </row>
        <row r="97">
          <cell r="H97">
            <v>12414</v>
          </cell>
          <cell r="I97" t="str">
            <v>Washer</v>
          </cell>
        </row>
        <row r="98">
          <cell r="H98">
            <v>12415</v>
          </cell>
          <cell r="I98" t="str">
            <v>Washer</v>
          </cell>
        </row>
        <row r="99">
          <cell r="H99">
            <v>12416</v>
          </cell>
          <cell r="I99" t="str">
            <v>EBI</v>
          </cell>
        </row>
        <row r="100">
          <cell r="H100">
            <v>12417</v>
          </cell>
          <cell r="I100" t="str">
            <v>EBI</v>
          </cell>
        </row>
        <row r="101">
          <cell r="H101">
            <v>12418</v>
          </cell>
          <cell r="I101" t="str">
            <v>FBI</v>
          </cell>
        </row>
        <row r="102">
          <cell r="H102">
            <v>12419</v>
          </cell>
          <cell r="I102" t="str">
            <v>FBI</v>
          </cell>
        </row>
        <row r="103">
          <cell r="H103">
            <v>12420</v>
          </cell>
          <cell r="I103" t="str">
            <v>Filler</v>
          </cell>
        </row>
        <row r="104">
          <cell r="H104">
            <v>12421</v>
          </cell>
          <cell r="I104" t="str">
            <v>Filler</v>
          </cell>
        </row>
        <row r="105">
          <cell r="H105">
            <v>12422</v>
          </cell>
          <cell r="I105" t="str">
            <v>Crowner</v>
          </cell>
        </row>
        <row r="106">
          <cell r="H106">
            <v>12423</v>
          </cell>
          <cell r="I106" t="str">
            <v>Crowner</v>
          </cell>
        </row>
        <row r="107">
          <cell r="H107">
            <v>12424</v>
          </cell>
          <cell r="I107" t="str">
            <v>Pasteuriser</v>
          </cell>
        </row>
        <row r="108">
          <cell r="H108">
            <v>12425</v>
          </cell>
          <cell r="I108" t="str">
            <v>Pasteuriser</v>
          </cell>
        </row>
        <row r="109">
          <cell r="H109">
            <v>12426</v>
          </cell>
          <cell r="I109" t="str">
            <v>Labeller 1&amp;2</v>
          </cell>
        </row>
        <row r="110">
          <cell r="H110">
            <v>12427</v>
          </cell>
          <cell r="I110" t="str">
            <v>Labeller 1&amp;2</v>
          </cell>
        </row>
        <row r="111">
          <cell r="H111">
            <v>12428</v>
          </cell>
          <cell r="I111" t="str">
            <v>Uncaser</v>
          </cell>
        </row>
        <row r="112">
          <cell r="H112">
            <v>12429</v>
          </cell>
          <cell r="I112" t="str">
            <v>Uncaser</v>
          </cell>
        </row>
        <row r="113">
          <cell r="H113">
            <v>12430</v>
          </cell>
          <cell r="I113" t="str">
            <v>Recrater</v>
          </cell>
        </row>
        <row r="114">
          <cell r="H114">
            <v>12431</v>
          </cell>
          <cell r="I114" t="str">
            <v>Recrater</v>
          </cell>
        </row>
        <row r="115">
          <cell r="H115">
            <v>12432</v>
          </cell>
          <cell r="I115" t="str">
            <v>Conveyors Wet</v>
          </cell>
        </row>
        <row r="116">
          <cell r="H116">
            <v>12433</v>
          </cell>
          <cell r="I116" t="str">
            <v>Conveyors Wet</v>
          </cell>
        </row>
        <row r="117">
          <cell r="H117">
            <v>12434</v>
          </cell>
          <cell r="I117" t="str">
            <v>Conveyors Dry</v>
          </cell>
        </row>
        <row r="118">
          <cell r="H118">
            <v>12435</v>
          </cell>
          <cell r="I118" t="str">
            <v>Conveyors Dry</v>
          </cell>
        </row>
        <row r="119">
          <cell r="H119">
            <v>12436</v>
          </cell>
          <cell r="I119" t="str">
            <v>Video Jet</v>
          </cell>
        </row>
        <row r="120">
          <cell r="H120">
            <v>12437</v>
          </cell>
          <cell r="I120" t="str">
            <v>Video Jet</v>
          </cell>
        </row>
        <row r="121">
          <cell r="H121">
            <v>12438</v>
          </cell>
          <cell r="I121" t="str">
            <v>Inverter</v>
          </cell>
        </row>
        <row r="122">
          <cell r="H122">
            <v>12439</v>
          </cell>
          <cell r="I122" t="str">
            <v>Inverter</v>
          </cell>
        </row>
        <row r="123">
          <cell r="H123">
            <v>12500</v>
          </cell>
          <cell r="I123" t="str">
            <v>Depalletiser</v>
          </cell>
        </row>
        <row r="124">
          <cell r="H124">
            <v>12501</v>
          </cell>
          <cell r="I124" t="str">
            <v>Depalletiser</v>
          </cell>
        </row>
        <row r="125">
          <cell r="H125">
            <v>12502</v>
          </cell>
          <cell r="I125" t="str">
            <v>Combiner</v>
          </cell>
        </row>
        <row r="126">
          <cell r="H126">
            <v>12503</v>
          </cell>
          <cell r="I126" t="str">
            <v>Combiner</v>
          </cell>
        </row>
        <row r="127">
          <cell r="H127">
            <v>12504</v>
          </cell>
          <cell r="I127" t="str">
            <v>Devider</v>
          </cell>
        </row>
        <row r="128">
          <cell r="H128">
            <v>12505</v>
          </cell>
          <cell r="I128" t="str">
            <v>Devider</v>
          </cell>
        </row>
        <row r="129">
          <cell r="H129">
            <v>12506</v>
          </cell>
          <cell r="I129" t="str">
            <v>Palletiser</v>
          </cell>
        </row>
        <row r="130">
          <cell r="H130">
            <v>12507</v>
          </cell>
          <cell r="I130" t="str">
            <v>Palletiser</v>
          </cell>
        </row>
        <row r="131">
          <cell r="H131">
            <v>12508</v>
          </cell>
          <cell r="I131" t="str">
            <v>Crate Washer</v>
          </cell>
        </row>
        <row r="132">
          <cell r="H132">
            <v>12509</v>
          </cell>
          <cell r="I132" t="str">
            <v>Crate Washer</v>
          </cell>
        </row>
        <row r="133">
          <cell r="H133">
            <v>12510</v>
          </cell>
          <cell r="I133" t="str">
            <v>Acc Table's</v>
          </cell>
        </row>
        <row r="134">
          <cell r="H134">
            <v>12511</v>
          </cell>
          <cell r="I134" t="str">
            <v>Acc Table's</v>
          </cell>
        </row>
        <row r="135">
          <cell r="H135">
            <v>12512</v>
          </cell>
          <cell r="I135" t="str">
            <v>Decrowner</v>
          </cell>
        </row>
        <row r="136">
          <cell r="H136">
            <v>12513</v>
          </cell>
          <cell r="I136" t="str">
            <v>Decrowner</v>
          </cell>
        </row>
        <row r="137">
          <cell r="H137">
            <v>12514</v>
          </cell>
          <cell r="I137" t="str">
            <v>Washer</v>
          </cell>
        </row>
        <row r="138">
          <cell r="H138">
            <v>12515</v>
          </cell>
          <cell r="I138" t="str">
            <v>Washer</v>
          </cell>
        </row>
        <row r="139">
          <cell r="H139">
            <v>12516</v>
          </cell>
          <cell r="I139" t="str">
            <v>EBI</v>
          </cell>
        </row>
        <row r="140">
          <cell r="H140">
            <v>12517</v>
          </cell>
          <cell r="I140" t="str">
            <v>EBI</v>
          </cell>
        </row>
        <row r="141">
          <cell r="H141">
            <v>12518</v>
          </cell>
          <cell r="I141" t="str">
            <v>FBI</v>
          </cell>
        </row>
        <row r="142">
          <cell r="H142">
            <v>12519</v>
          </cell>
          <cell r="I142" t="str">
            <v>FBI</v>
          </cell>
        </row>
        <row r="143">
          <cell r="H143">
            <v>12520</v>
          </cell>
          <cell r="I143" t="str">
            <v>Filler</v>
          </cell>
        </row>
        <row r="144">
          <cell r="H144">
            <v>12521</v>
          </cell>
          <cell r="I144" t="str">
            <v>Filler</v>
          </cell>
        </row>
        <row r="145">
          <cell r="H145">
            <v>12522</v>
          </cell>
          <cell r="I145" t="str">
            <v>Crowner</v>
          </cell>
        </row>
        <row r="146">
          <cell r="H146">
            <v>12523</v>
          </cell>
          <cell r="I146" t="str">
            <v>Crowner</v>
          </cell>
        </row>
        <row r="147">
          <cell r="H147">
            <v>12524</v>
          </cell>
          <cell r="I147" t="str">
            <v>Pasteuriser</v>
          </cell>
        </row>
        <row r="148">
          <cell r="H148">
            <v>12525</v>
          </cell>
          <cell r="I148" t="str">
            <v>Pasteuriser</v>
          </cell>
        </row>
        <row r="149">
          <cell r="H149">
            <v>12526</v>
          </cell>
          <cell r="I149" t="str">
            <v>Labeller 1&amp;2</v>
          </cell>
        </row>
        <row r="150">
          <cell r="H150">
            <v>12527</v>
          </cell>
          <cell r="I150" t="str">
            <v>Labeller 1&amp;2</v>
          </cell>
        </row>
        <row r="151">
          <cell r="H151">
            <v>12528</v>
          </cell>
          <cell r="I151" t="str">
            <v>Uncaser</v>
          </cell>
        </row>
        <row r="152">
          <cell r="H152">
            <v>12529</v>
          </cell>
          <cell r="I152" t="str">
            <v>Uncaser</v>
          </cell>
        </row>
        <row r="153">
          <cell r="H153">
            <v>12530</v>
          </cell>
          <cell r="I153" t="str">
            <v>Recrater</v>
          </cell>
        </row>
        <row r="154">
          <cell r="H154">
            <v>12531</v>
          </cell>
          <cell r="I154" t="str">
            <v>Recrater</v>
          </cell>
        </row>
        <row r="155">
          <cell r="H155">
            <v>12532</v>
          </cell>
          <cell r="I155" t="str">
            <v>Conveyors Wet</v>
          </cell>
        </row>
        <row r="156">
          <cell r="H156">
            <v>12533</v>
          </cell>
          <cell r="I156" t="str">
            <v>Conveyors Wet</v>
          </cell>
        </row>
        <row r="157">
          <cell r="H157">
            <v>12534</v>
          </cell>
          <cell r="I157" t="str">
            <v>Conveyors Dry</v>
          </cell>
        </row>
        <row r="158">
          <cell r="H158">
            <v>12535</v>
          </cell>
          <cell r="I158" t="str">
            <v>Conveyors Dry</v>
          </cell>
        </row>
        <row r="159">
          <cell r="H159">
            <v>12536</v>
          </cell>
          <cell r="I159" t="str">
            <v>Video Jet</v>
          </cell>
        </row>
        <row r="160">
          <cell r="H160">
            <v>12537</v>
          </cell>
          <cell r="I160" t="str">
            <v>Video Jet</v>
          </cell>
        </row>
        <row r="161">
          <cell r="H161">
            <v>12538</v>
          </cell>
          <cell r="I161" t="str">
            <v>Inverter</v>
          </cell>
        </row>
        <row r="162">
          <cell r="H162">
            <v>12539</v>
          </cell>
          <cell r="I162" t="str">
            <v>Inverter</v>
          </cell>
        </row>
        <row r="163">
          <cell r="H163">
            <v>12600</v>
          </cell>
          <cell r="I163" t="str">
            <v>Bulk Infeed</v>
          </cell>
        </row>
        <row r="164">
          <cell r="H164">
            <v>12601</v>
          </cell>
          <cell r="I164" t="str">
            <v>Bulk Infeed</v>
          </cell>
        </row>
        <row r="165">
          <cell r="H165">
            <v>12602</v>
          </cell>
          <cell r="I165" t="str">
            <v>Destacker</v>
          </cell>
        </row>
        <row r="166">
          <cell r="H166">
            <v>12603</v>
          </cell>
          <cell r="I166" t="str">
            <v>Destacker</v>
          </cell>
        </row>
        <row r="167">
          <cell r="H167">
            <v>12604</v>
          </cell>
          <cell r="I167" t="str">
            <v>Depalletiser</v>
          </cell>
        </row>
        <row r="168">
          <cell r="H168">
            <v>12605</v>
          </cell>
          <cell r="I168" t="str">
            <v>Depalletiser</v>
          </cell>
        </row>
        <row r="169">
          <cell r="H169">
            <v>12606</v>
          </cell>
          <cell r="I169" t="str">
            <v>Empty Pallet Stacker</v>
          </cell>
        </row>
        <row r="170">
          <cell r="H170">
            <v>12607</v>
          </cell>
          <cell r="I170" t="str">
            <v>Empty Pallet Stacker</v>
          </cell>
        </row>
        <row r="171">
          <cell r="H171">
            <v>12608</v>
          </cell>
          <cell r="I171" t="str">
            <v>No new Name</v>
          </cell>
        </row>
        <row r="172">
          <cell r="H172">
            <v>12609</v>
          </cell>
          <cell r="I172" t="str">
            <v>No new Name</v>
          </cell>
        </row>
        <row r="173">
          <cell r="H173">
            <v>12610</v>
          </cell>
          <cell r="I173" t="str">
            <v>Rinsers</v>
          </cell>
        </row>
        <row r="174">
          <cell r="H174">
            <v>12611</v>
          </cell>
          <cell r="I174" t="str">
            <v>Rinsers</v>
          </cell>
        </row>
        <row r="175">
          <cell r="H175">
            <v>12612</v>
          </cell>
          <cell r="I175" t="str">
            <v>Filler</v>
          </cell>
        </row>
        <row r="176">
          <cell r="H176">
            <v>12613</v>
          </cell>
          <cell r="I176" t="str">
            <v>Filler</v>
          </cell>
        </row>
        <row r="177">
          <cell r="H177">
            <v>12614</v>
          </cell>
          <cell r="I177" t="str">
            <v>Crowner</v>
          </cell>
        </row>
        <row r="178">
          <cell r="H178">
            <v>12615</v>
          </cell>
          <cell r="I178" t="str">
            <v>Crowner</v>
          </cell>
        </row>
        <row r="179">
          <cell r="H179">
            <v>12616</v>
          </cell>
          <cell r="I179" t="str">
            <v>Pasteuriser</v>
          </cell>
        </row>
        <row r="180">
          <cell r="H180">
            <v>12617</v>
          </cell>
          <cell r="I180" t="str">
            <v>Pasteuriser</v>
          </cell>
        </row>
        <row r="181">
          <cell r="H181">
            <v>12618</v>
          </cell>
          <cell r="I181" t="str">
            <v>Labeller 1</v>
          </cell>
        </row>
        <row r="182">
          <cell r="H182">
            <v>12619</v>
          </cell>
          <cell r="I182" t="str">
            <v>Labeller 1</v>
          </cell>
        </row>
        <row r="183">
          <cell r="H183">
            <v>12620</v>
          </cell>
          <cell r="I183" t="str">
            <v>Kister</v>
          </cell>
        </row>
        <row r="184">
          <cell r="H184">
            <v>12621</v>
          </cell>
          <cell r="I184" t="str">
            <v>Kister</v>
          </cell>
        </row>
        <row r="185">
          <cell r="H185">
            <v>12622</v>
          </cell>
          <cell r="I185" t="str">
            <v>Tray Packer</v>
          </cell>
        </row>
        <row r="186">
          <cell r="H186">
            <v>12623</v>
          </cell>
          <cell r="I186" t="str">
            <v>Tray Packer</v>
          </cell>
        </row>
        <row r="187">
          <cell r="H187">
            <v>12624</v>
          </cell>
          <cell r="I187" t="str">
            <v>Garvens Dividers A&amp;B</v>
          </cell>
        </row>
        <row r="188">
          <cell r="H188">
            <v>12625</v>
          </cell>
          <cell r="I188" t="str">
            <v>Garvens Dividers A&amp;B</v>
          </cell>
        </row>
        <row r="189">
          <cell r="H189">
            <v>12626</v>
          </cell>
          <cell r="I189" t="str">
            <v>Box Turner</v>
          </cell>
        </row>
        <row r="190">
          <cell r="H190">
            <v>12627</v>
          </cell>
          <cell r="I190" t="str">
            <v>Box Turner</v>
          </cell>
        </row>
        <row r="191">
          <cell r="H191">
            <v>12628</v>
          </cell>
          <cell r="I191" t="str">
            <v>Palletiser</v>
          </cell>
        </row>
        <row r="192">
          <cell r="H192">
            <v>12629</v>
          </cell>
          <cell r="I192" t="str">
            <v>Palletiser</v>
          </cell>
        </row>
        <row r="193">
          <cell r="H193">
            <v>12630</v>
          </cell>
          <cell r="I193" t="str">
            <v>Labeller 2</v>
          </cell>
        </row>
        <row r="194">
          <cell r="H194">
            <v>12631</v>
          </cell>
          <cell r="I194" t="str">
            <v>Labeller 2</v>
          </cell>
        </row>
        <row r="195">
          <cell r="H195">
            <v>12632</v>
          </cell>
          <cell r="I195" t="str">
            <v>Shrinkwrapper</v>
          </cell>
        </row>
        <row r="196">
          <cell r="H196">
            <v>12633</v>
          </cell>
          <cell r="I196" t="str">
            <v>Shrinkwrapper</v>
          </cell>
        </row>
        <row r="197">
          <cell r="H197">
            <v>12634</v>
          </cell>
          <cell r="I197" t="str">
            <v>Layerboard Dis</v>
          </cell>
        </row>
        <row r="198">
          <cell r="H198">
            <v>12635</v>
          </cell>
          <cell r="I198" t="str">
            <v>Layerboard Dis</v>
          </cell>
        </row>
        <row r="199">
          <cell r="H199">
            <v>12636</v>
          </cell>
          <cell r="I199" t="str">
            <v>Pallet Inpector</v>
          </cell>
        </row>
        <row r="200">
          <cell r="H200">
            <v>12637</v>
          </cell>
          <cell r="I200" t="str">
            <v>Pallet Inpector</v>
          </cell>
        </row>
        <row r="201">
          <cell r="H201">
            <v>12638</v>
          </cell>
          <cell r="I201" t="str">
            <v>Conveyors Wet</v>
          </cell>
        </row>
        <row r="202">
          <cell r="H202">
            <v>12639</v>
          </cell>
          <cell r="I202" t="str">
            <v>Conveyors Wet</v>
          </cell>
        </row>
        <row r="203">
          <cell r="H203">
            <v>12640</v>
          </cell>
          <cell r="I203" t="str">
            <v>Conveyors Dry</v>
          </cell>
        </row>
        <row r="204">
          <cell r="H204">
            <v>12641</v>
          </cell>
          <cell r="I204" t="str">
            <v>Conveyors Dry</v>
          </cell>
        </row>
        <row r="205">
          <cell r="H205">
            <v>12642</v>
          </cell>
          <cell r="I205" t="str">
            <v>Video Jet</v>
          </cell>
        </row>
        <row r="206">
          <cell r="H206">
            <v>12643</v>
          </cell>
          <cell r="I206" t="str">
            <v>Video Jet</v>
          </cell>
        </row>
        <row r="207">
          <cell r="H207">
            <v>12644</v>
          </cell>
          <cell r="I207" t="str">
            <v>CIP</v>
          </cell>
        </row>
        <row r="208">
          <cell r="H208">
            <v>12645</v>
          </cell>
          <cell r="I208" t="str">
            <v>CIP</v>
          </cell>
        </row>
        <row r="209">
          <cell r="H209">
            <v>12646</v>
          </cell>
          <cell r="I209" t="str">
            <v>BBT</v>
          </cell>
        </row>
        <row r="210">
          <cell r="H210">
            <v>12647</v>
          </cell>
          <cell r="I210" t="str">
            <v>BBT</v>
          </cell>
        </row>
        <row r="211">
          <cell r="H211">
            <v>12660</v>
          </cell>
          <cell r="I211" t="str">
            <v>Bulk Infeed A&amp;B</v>
          </cell>
        </row>
        <row r="212">
          <cell r="H212">
            <v>12661</v>
          </cell>
          <cell r="I212" t="str">
            <v>Bulk Infeed A&amp;B</v>
          </cell>
        </row>
        <row r="213">
          <cell r="H213">
            <v>12662</v>
          </cell>
          <cell r="I213" t="str">
            <v>Depalletiser A&amp;B</v>
          </cell>
        </row>
        <row r="214">
          <cell r="H214">
            <v>12663</v>
          </cell>
          <cell r="I214" t="str">
            <v>Depalletiser A&amp;B</v>
          </cell>
        </row>
        <row r="215">
          <cell r="H215">
            <v>12664</v>
          </cell>
          <cell r="I215" t="str">
            <v>Rope Conveyors A&amp;B</v>
          </cell>
        </row>
        <row r="216">
          <cell r="H216">
            <v>12665</v>
          </cell>
          <cell r="I216" t="str">
            <v>Rope Conveyors A&amp;B</v>
          </cell>
        </row>
        <row r="217">
          <cell r="H217">
            <v>12666</v>
          </cell>
          <cell r="I217" t="str">
            <v>Filler A&amp;B</v>
          </cell>
        </row>
        <row r="218">
          <cell r="H218">
            <v>12667</v>
          </cell>
          <cell r="I218" t="str">
            <v>Filler A&amp;B</v>
          </cell>
        </row>
        <row r="219">
          <cell r="H219">
            <v>12668</v>
          </cell>
          <cell r="I219" t="str">
            <v>Seamers A</v>
          </cell>
        </row>
        <row r="220">
          <cell r="H220">
            <v>12669</v>
          </cell>
          <cell r="I220" t="str">
            <v>Seamers A&amp;B</v>
          </cell>
        </row>
        <row r="221">
          <cell r="H221">
            <v>12670</v>
          </cell>
          <cell r="I221" t="str">
            <v>Pasteuriser</v>
          </cell>
        </row>
        <row r="222">
          <cell r="H222">
            <v>12671</v>
          </cell>
          <cell r="I222" t="str">
            <v>Pasteuriser</v>
          </cell>
        </row>
        <row r="223">
          <cell r="H223">
            <v>12672</v>
          </cell>
          <cell r="I223" t="str">
            <v>Kisters A&amp;B</v>
          </cell>
        </row>
        <row r="224">
          <cell r="H224">
            <v>12673</v>
          </cell>
          <cell r="I224" t="str">
            <v>Kisters A&amp;B</v>
          </cell>
        </row>
        <row r="225">
          <cell r="H225">
            <v>12674</v>
          </cell>
          <cell r="I225" t="str">
            <v>Tray Packer A&amp;B</v>
          </cell>
        </row>
        <row r="226">
          <cell r="H226">
            <v>12675</v>
          </cell>
          <cell r="I226" t="str">
            <v>Tray Packer A&amp;B</v>
          </cell>
        </row>
        <row r="227">
          <cell r="H227">
            <v>12676</v>
          </cell>
          <cell r="I227" t="str">
            <v>Garvens Dividers A&amp;B</v>
          </cell>
        </row>
        <row r="228">
          <cell r="H228">
            <v>12677</v>
          </cell>
          <cell r="I228" t="str">
            <v>Garvens Dividers A&amp;B</v>
          </cell>
        </row>
        <row r="229">
          <cell r="H229">
            <v>12678</v>
          </cell>
          <cell r="I229" t="str">
            <v>Box Turners A&amp;B</v>
          </cell>
        </row>
        <row r="230">
          <cell r="H230">
            <v>12679</v>
          </cell>
          <cell r="I230" t="str">
            <v>Box Turners A&amp;B</v>
          </cell>
        </row>
        <row r="231">
          <cell r="H231">
            <v>12680</v>
          </cell>
          <cell r="I231" t="str">
            <v>Palletisers A&amp;B</v>
          </cell>
        </row>
        <row r="232">
          <cell r="H232">
            <v>12681</v>
          </cell>
          <cell r="I232" t="str">
            <v>Palletisers A&amp;B</v>
          </cell>
        </row>
        <row r="233">
          <cell r="H233">
            <v>12682</v>
          </cell>
          <cell r="I233" t="str">
            <v>Stretch Wrappers A&amp;B</v>
          </cell>
        </row>
        <row r="234">
          <cell r="H234">
            <v>12683</v>
          </cell>
          <cell r="I234" t="str">
            <v>Stretch Wrappers A&amp;B</v>
          </cell>
        </row>
        <row r="235">
          <cell r="H235">
            <v>12684</v>
          </cell>
          <cell r="I235" t="str">
            <v>Seamer B</v>
          </cell>
        </row>
        <row r="236">
          <cell r="H236">
            <v>12685</v>
          </cell>
          <cell r="I236" t="str">
            <v>Shrinkwrap</v>
          </cell>
        </row>
        <row r="237">
          <cell r="H237">
            <v>12686</v>
          </cell>
          <cell r="I237" t="str">
            <v>Conveyors Wet</v>
          </cell>
        </row>
        <row r="238">
          <cell r="H238">
            <v>12687</v>
          </cell>
          <cell r="I238" t="str">
            <v>Conveyors Wet</v>
          </cell>
        </row>
        <row r="239">
          <cell r="H239">
            <v>12688</v>
          </cell>
          <cell r="I239" t="str">
            <v>Conveyors Dry</v>
          </cell>
        </row>
        <row r="240">
          <cell r="H240">
            <v>12689</v>
          </cell>
          <cell r="I240" t="str">
            <v>Conveyors Dry</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s (2)"/>
      <sheetName val="Graph's"/>
      <sheetName val="DATA"/>
      <sheetName val="Summary"/>
      <sheetName val="Line 1"/>
      <sheetName val="Line 2"/>
      <sheetName val="Line 3"/>
      <sheetName val="Line 4"/>
      <sheetName val="Line 5"/>
      <sheetName val="PACKENG&amp;OTHER"/>
      <sheetName val="Sheet1"/>
    </sheetNames>
    <sheetDataSet>
      <sheetData sheetId="0"/>
      <sheetData sheetId="1"/>
      <sheetData sheetId="2"/>
      <sheetData sheetId="3"/>
      <sheetData sheetId="4"/>
      <sheetData sheetId="5"/>
      <sheetData sheetId="6"/>
      <sheetData sheetId="7"/>
      <sheetData sheetId="8"/>
      <sheetData sheetId="9"/>
      <sheetData sheetId="10">
        <row r="35">
          <cell r="H35">
            <v>12200</v>
          </cell>
          <cell r="I35" t="str">
            <v>Depalletiser</v>
          </cell>
        </row>
        <row r="36">
          <cell r="H36">
            <v>12201</v>
          </cell>
          <cell r="I36" t="str">
            <v>Depalletiser</v>
          </cell>
        </row>
        <row r="37">
          <cell r="H37">
            <v>12202</v>
          </cell>
          <cell r="I37" t="str">
            <v>Combiner</v>
          </cell>
        </row>
        <row r="38">
          <cell r="H38">
            <v>12203</v>
          </cell>
          <cell r="I38" t="str">
            <v>Combiner</v>
          </cell>
        </row>
        <row r="39">
          <cell r="H39">
            <v>12204</v>
          </cell>
          <cell r="I39" t="str">
            <v>Divider</v>
          </cell>
        </row>
        <row r="40">
          <cell r="H40">
            <v>12205</v>
          </cell>
          <cell r="I40" t="str">
            <v>Divider</v>
          </cell>
        </row>
        <row r="41">
          <cell r="H41">
            <v>12206</v>
          </cell>
          <cell r="I41" t="str">
            <v>Palletiser</v>
          </cell>
        </row>
        <row r="42">
          <cell r="H42">
            <v>12207</v>
          </cell>
          <cell r="I42" t="str">
            <v>Palletiser</v>
          </cell>
        </row>
        <row r="43">
          <cell r="H43">
            <v>12208</v>
          </cell>
          <cell r="I43" t="str">
            <v>Crate Washer</v>
          </cell>
        </row>
        <row r="44">
          <cell r="H44">
            <v>12209</v>
          </cell>
          <cell r="I44" t="str">
            <v>Crate Washer</v>
          </cell>
        </row>
        <row r="45">
          <cell r="H45">
            <v>12210</v>
          </cell>
          <cell r="I45" t="str">
            <v>Acc Table's</v>
          </cell>
        </row>
        <row r="46">
          <cell r="H46">
            <v>12211</v>
          </cell>
          <cell r="I46" t="str">
            <v>Acc Table's</v>
          </cell>
        </row>
        <row r="47">
          <cell r="H47">
            <v>12212</v>
          </cell>
          <cell r="I47" t="str">
            <v>Decrowner</v>
          </cell>
        </row>
        <row r="48">
          <cell r="H48">
            <v>12213</v>
          </cell>
          <cell r="I48" t="str">
            <v>Decrowner</v>
          </cell>
        </row>
        <row r="49">
          <cell r="H49">
            <v>12214</v>
          </cell>
          <cell r="I49" t="str">
            <v>Uncaser</v>
          </cell>
        </row>
        <row r="50">
          <cell r="H50">
            <v>12215</v>
          </cell>
          <cell r="I50" t="str">
            <v>Uncaser</v>
          </cell>
        </row>
        <row r="51">
          <cell r="H51">
            <v>12216</v>
          </cell>
          <cell r="I51" t="str">
            <v>Washer</v>
          </cell>
        </row>
        <row r="52">
          <cell r="H52">
            <v>12217</v>
          </cell>
          <cell r="I52" t="str">
            <v>Washer</v>
          </cell>
        </row>
        <row r="53">
          <cell r="H53">
            <v>12218</v>
          </cell>
          <cell r="I53" t="str">
            <v>EBI</v>
          </cell>
        </row>
        <row r="54">
          <cell r="H54">
            <v>12219</v>
          </cell>
          <cell r="I54" t="str">
            <v>EBI</v>
          </cell>
        </row>
        <row r="55">
          <cell r="H55">
            <v>12220</v>
          </cell>
          <cell r="I55" t="str">
            <v>FBI</v>
          </cell>
        </row>
        <row r="56">
          <cell r="H56">
            <v>12221</v>
          </cell>
          <cell r="I56" t="str">
            <v>FBI</v>
          </cell>
        </row>
        <row r="57">
          <cell r="H57">
            <v>12222</v>
          </cell>
          <cell r="I57" t="str">
            <v>Filler</v>
          </cell>
        </row>
        <row r="58">
          <cell r="H58">
            <v>12223</v>
          </cell>
          <cell r="I58" t="str">
            <v>Filler</v>
          </cell>
        </row>
        <row r="59">
          <cell r="H59">
            <v>12224</v>
          </cell>
          <cell r="I59" t="str">
            <v>Crowner</v>
          </cell>
        </row>
        <row r="60">
          <cell r="H60">
            <v>12225</v>
          </cell>
          <cell r="I60" t="str">
            <v>Crowner</v>
          </cell>
        </row>
        <row r="61">
          <cell r="H61">
            <v>12226</v>
          </cell>
          <cell r="I61" t="str">
            <v>Pasteuriser</v>
          </cell>
        </row>
        <row r="62">
          <cell r="H62">
            <v>12227</v>
          </cell>
          <cell r="I62" t="str">
            <v>Pasteuriser</v>
          </cell>
        </row>
        <row r="63">
          <cell r="H63">
            <v>12228</v>
          </cell>
          <cell r="I63" t="str">
            <v>Labeller 1&amp;2</v>
          </cell>
        </row>
        <row r="64">
          <cell r="H64">
            <v>12229</v>
          </cell>
          <cell r="I64" t="str">
            <v>Labeller 1&amp;2</v>
          </cell>
        </row>
        <row r="65">
          <cell r="H65">
            <v>12230</v>
          </cell>
          <cell r="I65" t="str">
            <v>Recrater</v>
          </cell>
        </row>
        <row r="66">
          <cell r="H66">
            <v>12231</v>
          </cell>
          <cell r="I66" t="str">
            <v>Recrater</v>
          </cell>
        </row>
        <row r="67">
          <cell r="H67">
            <v>12232</v>
          </cell>
          <cell r="I67" t="str">
            <v>Pallet Inpector</v>
          </cell>
        </row>
        <row r="68">
          <cell r="H68">
            <v>12233</v>
          </cell>
          <cell r="I68" t="str">
            <v>Pallet Inpector</v>
          </cell>
        </row>
        <row r="69">
          <cell r="H69">
            <v>12234</v>
          </cell>
          <cell r="I69" t="str">
            <v>Pallet Conveyors</v>
          </cell>
        </row>
        <row r="70">
          <cell r="H70">
            <v>12235</v>
          </cell>
          <cell r="I70" t="str">
            <v>Pallet Conveyors</v>
          </cell>
        </row>
        <row r="71">
          <cell r="H71">
            <v>12236</v>
          </cell>
          <cell r="I71" t="str">
            <v>Bottle Conveyors</v>
          </cell>
        </row>
        <row r="72">
          <cell r="H72">
            <v>12237</v>
          </cell>
          <cell r="I72" t="str">
            <v>Bottle Conveyors</v>
          </cell>
        </row>
        <row r="73">
          <cell r="H73">
            <v>12238</v>
          </cell>
          <cell r="I73" t="str">
            <v xml:space="preserve">Crate Conveyors </v>
          </cell>
        </row>
        <row r="74">
          <cell r="H74">
            <v>12239</v>
          </cell>
          <cell r="I74" t="str">
            <v xml:space="preserve">Crate Conveyors </v>
          </cell>
        </row>
        <row r="75">
          <cell r="H75">
            <v>12240</v>
          </cell>
          <cell r="I75" t="str">
            <v>Video Jet</v>
          </cell>
        </row>
        <row r="76">
          <cell r="H76">
            <v>12241</v>
          </cell>
          <cell r="I76" t="str">
            <v>Video Jet</v>
          </cell>
        </row>
        <row r="77">
          <cell r="H77">
            <v>12242</v>
          </cell>
          <cell r="I77" t="str">
            <v>PLC</v>
          </cell>
        </row>
        <row r="78">
          <cell r="H78">
            <v>12243</v>
          </cell>
          <cell r="I78" t="str">
            <v>PLC</v>
          </cell>
        </row>
        <row r="79">
          <cell r="H79">
            <v>12244</v>
          </cell>
          <cell r="I79" t="str">
            <v>CIP Plant</v>
          </cell>
        </row>
        <row r="80">
          <cell r="H80">
            <v>12245</v>
          </cell>
          <cell r="I80" t="str">
            <v>CIP Plant</v>
          </cell>
        </row>
        <row r="81">
          <cell r="H81">
            <v>12246</v>
          </cell>
          <cell r="I81" t="str">
            <v>New Glass Depall</v>
          </cell>
        </row>
        <row r="82">
          <cell r="H82">
            <v>12247</v>
          </cell>
          <cell r="I82" t="str">
            <v>New Glass Depall</v>
          </cell>
        </row>
        <row r="83">
          <cell r="H83">
            <v>12400</v>
          </cell>
          <cell r="I83" t="str">
            <v>Depalletiser</v>
          </cell>
        </row>
        <row r="84">
          <cell r="H84">
            <v>12401</v>
          </cell>
          <cell r="I84" t="str">
            <v>Depalletiser</v>
          </cell>
        </row>
        <row r="85">
          <cell r="H85">
            <v>12402</v>
          </cell>
          <cell r="I85" t="str">
            <v>Combiner</v>
          </cell>
        </row>
        <row r="86">
          <cell r="H86">
            <v>12403</v>
          </cell>
          <cell r="I86" t="str">
            <v>Combiner</v>
          </cell>
        </row>
        <row r="87">
          <cell r="H87">
            <v>12404</v>
          </cell>
          <cell r="I87" t="str">
            <v>Divider</v>
          </cell>
        </row>
        <row r="88">
          <cell r="H88">
            <v>12405</v>
          </cell>
          <cell r="I88" t="str">
            <v>Divider</v>
          </cell>
        </row>
        <row r="89">
          <cell r="H89">
            <v>12406</v>
          </cell>
          <cell r="I89" t="str">
            <v>Palletiser</v>
          </cell>
        </row>
        <row r="90">
          <cell r="H90">
            <v>12407</v>
          </cell>
          <cell r="I90" t="str">
            <v>Palletiser</v>
          </cell>
        </row>
        <row r="91">
          <cell r="H91">
            <v>12408</v>
          </cell>
          <cell r="I91" t="str">
            <v>Crate Washer</v>
          </cell>
        </row>
        <row r="92">
          <cell r="H92">
            <v>12409</v>
          </cell>
          <cell r="I92" t="str">
            <v>Crate Washer</v>
          </cell>
        </row>
        <row r="93">
          <cell r="H93">
            <v>12410</v>
          </cell>
          <cell r="I93" t="str">
            <v>Acc Table's</v>
          </cell>
        </row>
        <row r="94">
          <cell r="H94">
            <v>12411</v>
          </cell>
          <cell r="I94" t="str">
            <v>Acc Table's</v>
          </cell>
        </row>
        <row r="95">
          <cell r="H95">
            <v>12412</v>
          </cell>
          <cell r="I95" t="str">
            <v>Decrowner</v>
          </cell>
        </row>
        <row r="96">
          <cell r="H96">
            <v>12413</v>
          </cell>
          <cell r="I96" t="str">
            <v>Decrowner</v>
          </cell>
        </row>
        <row r="97">
          <cell r="H97">
            <v>12414</v>
          </cell>
          <cell r="I97" t="str">
            <v>Washer</v>
          </cell>
        </row>
        <row r="98">
          <cell r="H98">
            <v>12415</v>
          </cell>
          <cell r="I98" t="str">
            <v>Washer</v>
          </cell>
        </row>
        <row r="99">
          <cell r="H99">
            <v>12416</v>
          </cell>
          <cell r="I99" t="str">
            <v>EBI</v>
          </cell>
        </row>
        <row r="100">
          <cell r="H100">
            <v>12417</v>
          </cell>
          <cell r="I100" t="str">
            <v>EBI</v>
          </cell>
        </row>
        <row r="101">
          <cell r="H101">
            <v>12418</v>
          </cell>
          <cell r="I101" t="str">
            <v>FBI</v>
          </cell>
        </row>
        <row r="102">
          <cell r="H102">
            <v>12419</v>
          </cell>
          <cell r="I102" t="str">
            <v>FBI</v>
          </cell>
        </row>
        <row r="103">
          <cell r="H103">
            <v>12420</v>
          </cell>
          <cell r="I103" t="str">
            <v>Filler</v>
          </cell>
        </row>
        <row r="104">
          <cell r="H104">
            <v>12421</v>
          </cell>
          <cell r="I104" t="str">
            <v>Filler</v>
          </cell>
        </row>
        <row r="105">
          <cell r="H105">
            <v>12422</v>
          </cell>
          <cell r="I105" t="str">
            <v>Crowner</v>
          </cell>
        </row>
        <row r="106">
          <cell r="H106">
            <v>12423</v>
          </cell>
          <cell r="I106" t="str">
            <v>Crowner</v>
          </cell>
        </row>
        <row r="107">
          <cell r="H107">
            <v>12424</v>
          </cell>
          <cell r="I107" t="str">
            <v>Pasteuriser</v>
          </cell>
        </row>
        <row r="108">
          <cell r="H108">
            <v>12425</v>
          </cell>
          <cell r="I108" t="str">
            <v>Pasteuriser</v>
          </cell>
        </row>
        <row r="109">
          <cell r="H109">
            <v>12426</v>
          </cell>
          <cell r="I109" t="str">
            <v>Labeller 1&amp;2</v>
          </cell>
        </row>
        <row r="110">
          <cell r="H110">
            <v>12427</v>
          </cell>
          <cell r="I110" t="str">
            <v>Labeller 1&amp;2</v>
          </cell>
        </row>
        <row r="111">
          <cell r="H111">
            <v>12428</v>
          </cell>
          <cell r="I111" t="str">
            <v>Uncaser</v>
          </cell>
        </row>
        <row r="112">
          <cell r="H112">
            <v>12429</v>
          </cell>
          <cell r="I112" t="str">
            <v>Uncaser</v>
          </cell>
        </row>
        <row r="113">
          <cell r="H113">
            <v>12430</v>
          </cell>
          <cell r="I113" t="str">
            <v>Recrater</v>
          </cell>
        </row>
        <row r="114">
          <cell r="H114">
            <v>12431</v>
          </cell>
          <cell r="I114" t="str">
            <v>Recrater</v>
          </cell>
        </row>
        <row r="115">
          <cell r="H115">
            <v>12432</v>
          </cell>
          <cell r="I115" t="str">
            <v>Conveyors Wet</v>
          </cell>
        </row>
        <row r="116">
          <cell r="H116">
            <v>12433</v>
          </cell>
          <cell r="I116" t="str">
            <v>Conveyors Wet</v>
          </cell>
        </row>
        <row r="117">
          <cell r="H117">
            <v>12434</v>
          </cell>
          <cell r="I117" t="str">
            <v>Conveyors Dry</v>
          </cell>
        </row>
        <row r="118">
          <cell r="H118">
            <v>12435</v>
          </cell>
          <cell r="I118" t="str">
            <v>Conveyors Dry</v>
          </cell>
        </row>
        <row r="119">
          <cell r="H119">
            <v>12436</v>
          </cell>
          <cell r="I119" t="str">
            <v>Video Jet</v>
          </cell>
        </row>
        <row r="120">
          <cell r="H120">
            <v>12437</v>
          </cell>
          <cell r="I120" t="str">
            <v>Video Jet</v>
          </cell>
        </row>
        <row r="121">
          <cell r="H121">
            <v>12438</v>
          </cell>
          <cell r="I121" t="str">
            <v>Inverter</v>
          </cell>
        </row>
        <row r="122">
          <cell r="H122">
            <v>12439</v>
          </cell>
          <cell r="I122" t="str">
            <v>Inverter</v>
          </cell>
        </row>
        <row r="123">
          <cell r="H123">
            <v>12500</v>
          </cell>
          <cell r="I123" t="str">
            <v>Depalletiser</v>
          </cell>
        </row>
        <row r="124">
          <cell r="H124">
            <v>12501</v>
          </cell>
          <cell r="I124" t="str">
            <v>Depalletiser</v>
          </cell>
        </row>
        <row r="125">
          <cell r="H125">
            <v>12502</v>
          </cell>
          <cell r="I125" t="str">
            <v>Combiner</v>
          </cell>
        </row>
        <row r="126">
          <cell r="H126">
            <v>12503</v>
          </cell>
          <cell r="I126" t="str">
            <v>Combiner</v>
          </cell>
        </row>
        <row r="127">
          <cell r="H127">
            <v>12504</v>
          </cell>
          <cell r="I127" t="str">
            <v>Devider</v>
          </cell>
        </row>
        <row r="128">
          <cell r="H128">
            <v>12505</v>
          </cell>
          <cell r="I128" t="str">
            <v>Devider</v>
          </cell>
        </row>
        <row r="129">
          <cell r="H129">
            <v>12506</v>
          </cell>
          <cell r="I129" t="str">
            <v>Palletiser</v>
          </cell>
        </row>
        <row r="130">
          <cell r="H130">
            <v>12507</v>
          </cell>
          <cell r="I130" t="str">
            <v>Palletiser</v>
          </cell>
        </row>
        <row r="131">
          <cell r="H131">
            <v>12508</v>
          </cell>
          <cell r="I131" t="str">
            <v>Crate Washer</v>
          </cell>
        </row>
        <row r="132">
          <cell r="H132">
            <v>12509</v>
          </cell>
          <cell r="I132" t="str">
            <v>Crate Washer</v>
          </cell>
        </row>
        <row r="133">
          <cell r="H133">
            <v>12510</v>
          </cell>
          <cell r="I133" t="str">
            <v>Acc Table's</v>
          </cell>
        </row>
        <row r="134">
          <cell r="H134">
            <v>12511</v>
          </cell>
          <cell r="I134" t="str">
            <v>Acc Table's</v>
          </cell>
        </row>
        <row r="135">
          <cell r="H135">
            <v>12512</v>
          </cell>
          <cell r="I135" t="str">
            <v>Decrowner</v>
          </cell>
        </row>
        <row r="136">
          <cell r="H136">
            <v>12513</v>
          </cell>
          <cell r="I136" t="str">
            <v>Decrowner</v>
          </cell>
        </row>
        <row r="137">
          <cell r="H137">
            <v>12514</v>
          </cell>
          <cell r="I137" t="str">
            <v>Washer</v>
          </cell>
        </row>
        <row r="138">
          <cell r="H138">
            <v>12515</v>
          </cell>
          <cell r="I138" t="str">
            <v>Washer</v>
          </cell>
        </row>
        <row r="139">
          <cell r="H139">
            <v>12516</v>
          </cell>
          <cell r="I139" t="str">
            <v>EBI</v>
          </cell>
        </row>
        <row r="140">
          <cell r="H140">
            <v>12517</v>
          </cell>
          <cell r="I140" t="str">
            <v>EBI</v>
          </cell>
        </row>
        <row r="141">
          <cell r="H141">
            <v>12518</v>
          </cell>
          <cell r="I141" t="str">
            <v>FBI</v>
          </cell>
        </row>
        <row r="142">
          <cell r="H142">
            <v>12519</v>
          </cell>
          <cell r="I142" t="str">
            <v>FBI</v>
          </cell>
        </row>
        <row r="143">
          <cell r="H143">
            <v>12520</v>
          </cell>
          <cell r="I143" t="str">
            <v>Filler</v>
          </cell>
        </row>
        <row r="144">
          <cell r="H144">
            <v>12521</v>
          </cell>
          <cell r="I144" t="str">
            <v>Filler</v>
          </cell>
        </row>
        <row r="145">
          <cell r="H145">
            <v>12522</v>
          </cell>
          <cell r="I145" t="str">
            <v>Crowner</v>
          </cell>
        </row>
        <row r="146">
          <cell r="H146">
            <v>12523</v>
          </cell>
          <cell r="I146" t="str">
            <v>Crowner</v>
          </cell>
        </row>
        <row r="147">
          <cell r="H147">
            <v>12524</v>
          </cell>
          <cell r="I147" t="str">
            <v>Pasteuriser</v>
          </cell>
        </row>
        <row r="148">
          <cell r="H148">
            <v>12525</v>
          </cell>
          <cell r="I148" t="str">
            <v>Pasteuriser</v>
          </cell>
        </row>
        <row r="149">
          <cell r="H149">
            <v>12526</v>
          </cell>
          <cell r="I149" t="str">
            <v>Labeller 1&amp;2</v>
          </cell>
        </row>
        <row r="150">
          <cell r="H150">
            <v>12527</v>
          </cell>
          <cell r="I150" t="str">
            <v>Labeller 1&amp;2</v>
          </cell>
        </row>
        <row r="151">
          <cell r="H151">
            <v>12528</v>
          </cell>
          <cell r="I151" t="str">
            <v>Uncaser</v>
          </cell>
        </row>
        <row r="152">
          <cell r="H152">
            <v>12529</v>
          </cell>
          <cell r="I152" t="str">
            <v>Uncaser</v>
          </cell>
        </row>
        <row r="153">
          <cell r="H153">
            <v>12530</v>
          </cell>
          <cell r="I153" t="str">
            <v>Recrater</v>
          </cell>
        </row>
        <row r="154">
          <cell r="H154">
            <v>12531</v>
          </cell>
          <cell r="I154" t="str">
            <v>Recrater</v>
          </cell>
        </row>
        <row r="155">
          <cell r="H155">
            <v>12532</v>
          </cell>
          <cell r="I155" t="str">
            <v>Conveyors Wet</v>
          </cell>
        </row>
        <row r="156">
          <cell r="H156">
            <v>12533</v>
          </cell>
          <cell r="I156" t="str">
            <v>Conveyors Wet</v>
          </cell>
        </row>
        <row r="157">
          <cell r="H157">
            <v>12534</v>
          </cell>
          <cell r="I157" t="str">
            <v>Conveyors Dry</v>
          </cell>
        </row>
        <row r="158">
          <cell r="H158">
            <v>12535</v>
          </cell>
          <cell r="I158" t="str">
            <v>Conveyors Dry</v>
          </cell>
        </row>
        <row r="159">
          <cell r="H159">
            <v>12536</v>
          </cell>
          <cell r="I159" t="str">
            <v>Video Jet</v>
          </cell>
        </row>
        <row r="160">
          <cell r="H160">
            <v>12537</v>
          </cell>
          <cell r="I160" t="str">
            <v>Video Jet</v>
          </cell>
        </row>
        <row r="161">
          <cell r="H161">
            <v>12538</v>
          </cell>
          <cell r="I161" t="str">
            <v>Inverter</v>
          </cell>
        </row>
        <row r="162">
          <cell r="H162">
            <v>12539</v>
          </cell>
          <cell r="I162" t="str">
            <v>Inverter</v>
          </cell>
        </row>
        <row r="163">
          <cell r="H163">
            <v>12600</v>
          </cell>
          <cell r="I163" t="str">
            <v>Bulk Infeed</v>
          </cell>
        </row>
        <row r="164">
          <cell r="H164">
            <v>12601</v>
          </cell>
          <cell r="I164" t="str">
            <v>Bulk Infeed</v>
          </cell>
        </row>
        <row r="165">
          <cell r="H165">
            <v>12602</v>
          </cell>
          <cell r="I165" t="str">
            <v>Destacker</v>
          </cell>
        </row>
        <row r="166">
          <cell r="H166">
            <v>12603</v>
          </cell>
          <cell r="I166" t="str">
            <v>Destacker</v>
          </cell>
        </row>
        <row r="167">
          <cell r="H167">
            <v>12604</v>
          </cell>
          <cell r="I167" t="str">
            <v>Depalletiser</v>
          </cell>
        </row>
        <row r="168">
          <cell r="H168">
            <v>12605</v>
          </cell>
          <cell r="I168" t="str">
            <v>Depalletiser</v>
          </cell>
        </row>
        <row r="169">
          <cell r="H169">
            <v>12606</v>
          </cell>
          <cell r="I169" t="str">
            <v>Empty Pallet Stacker</v>
          </cell>
        </row>
        <row r="170">
          <cell r="H170">
            <v>12607</v>
          </cell>
          <cell r="I170" t="str">
            <v>Empty Pallet Stacker</v>
          </cell>
        </row>
        <row r="171">
          <cell r="H171">
            <v>12608</v>
          </cell>
          <cell r="I171" t="str">
            <v>No new Name</v>
          </cell>
        </row>
        <row r="172">
          <cell r="H172">
            <v>12609</v>
          </cell>
          <cell r="I172" t="str">
            <v>No new Name</v>
          </cell>
        </row>
        <row r="173">
          <cell r="H173">
            <v>12610</v>
          </cell>
          <cell r="I173" t="str">
            <v>Rinsers</v>
          </cell>
        </row>
        <row r="174">
          <cell r="H174">
            <v>12611</v>
          </cell>
          <cell r="I174" t="str">
            <v>Rinsers</v>
          </cell>
        </row>
        <row r="175">
          <cell r="H175">
            <v>12612</v>
          </cell>
          <cell r="I175" t="str">
            <v>Filler</v>
          </cell>
        </row>
        <row r="176">
          <cell r="H176">
            <v>12613</v>
          </cell>
          <cell r="I176" t="str">
            <v>Filler</v>
          </cell>
        </row>
        <row r="177">
          <cell r="H177">
            <v>12614</v>
          </cell>
          <cell r="I177" t="str">
            <v>Crowner</v>
          </cell>
        </row>
        <row r="178">
          <cell r="H178">
            <v>12615</v>
          </cell>
          <cell r="I178" t="str">
            <v>Crowner</v>
          </cell>
        </row>
        <row r="179">
          <cell r="H179">
            <v>12616</v>
          </cell>
          <cell r="I179" t="str">
            <v>Pasteuriser</v>
          </cell>
        </row>
        <row r="180">
          <cell r="H180">
            <v>12617</v>
          </cell>
          <cell r="I180" t="str">
            <v>Pasteuriser</v>
          </cell>
        </row>
        <row r="181">
          <cell r="H181">
            <v>12618</v>
          </cell>
          <cell r="I181" t="str">
            <v>Labeller 1</v>
          </cell>
        </row>
        <row r="182">
          <cell r="H182">
            <v>12619</v>
          </cell>
          <cell r="I182" t="str">
            <v>Labeller 1</v>
          </cell>
        </row>
        <row r="183">
          <cell r="H183">
            <v>12620</v>
          </cell>
          <cell r="I183" t="str">
            <v>Kister</v>
          </cell>
        </row>
        <row r="184">
          <cell r="H184">
            <v>12621</v>
          </cell>
          <cell r="I184" t="str">
            <v>Kister</v>
          </cell>
        </row>
        <row r="185">
          <cell r="H185">
            <v>12622</v>
          </cell>
          <cell r="I185" t="str">
            <v>Tray Packer</v>
          </cell>
        </row>
        <row r="186">
          <cell r="H186">
            <v>12623</v>
          </cell>
          <cell r="I186" t="str">
            <v>Tray Packer</v>
          </cell>
        </row>
        <row r="187">
          <cell r="H187">
            <v>12624</v>
          </cell>
          <cell r="I187" t="str">
            <v>Garvens Dividers A&amp;B</v>
          </cell>
        </row>
        <row r="188">
          <cell r="H188">
            <v>12625</v>
          </cell>
          <cell r="I188" t="str">
            <v>Garvens Dividers A&amp;B</v>
          </cell>
        </row>
        <row r="189">
          <cell r="H189">
            <v>12626</v>
          </cell>
          <cell r="I189" t="str">
            <v>Box Turner</v>
          </cell>
        </row>
        <row r="190">
          <cell r="H190">
            <v>12627</v>
          </cell>
          <cell r="I190" t="str">
            <v>Box Turner</v>
          </cell>
        </row>
        <row r="191">
          <cell r="H191">
            <v>12628</v>
          </cell>
          <cell r="I191" t="str">
            <v>Palletiser</v>
          </cell>
        </row>
        <row r="192">
          <cell r="H192">
            <v>12629</v>
          </cell>
          <cell r="I192" t="str">
            <v>Palletiser</v>
          </cell>
        </row>
        <row r="193">
          <cell r="H193">
            <v>12630</v>
          </cell>
          <cell r="I193" t="str">
            <v>Labeller 2</v>
          </cell>
        </row>
        <row r="194">
          <cell r="H194">
            <v>12631</v>
          </cell>
          <cell r="I194" t="str">
            <v>Labeller 2</v>
          </cell>
        </row>
        <row r="195">
          <cell r="H195">
            <v>12632</v>
          </cell>
          <cell r="I195" t="str">
            <v>Shrinkwrapper</v>
          </cell>
        </row>
        <row r="196">
          <cell r="H196">
            <v>12633</v>
          </cell>
          <cell r="I196" t="str">
            <v>Shrinkwrapper</v>
          </cell>
        </row>
        <row r="197">
          <cell r="H197">
            <v>12634</v>
          </cell>
          <cell r="I197" t="str">
            <v>Layerboard Dis</v>
          </cell>
        </row>
        <row r="198">
          <cell r="H198">
            <v>12635</v>
          </cell>
          <cell r="I198" t="str">
            <v>Layerboard Dis</v>
          </cell>
        </row>
        <row r="199">
          <cell r="H199">
            <v>12636</v>
          </cell>
          <cell r="I199" t="str">
            <v>Pallet Inpector</v>
          </cell>
        </row>
        <row r="200">
          <cell r="H200">
            <v>12637</v>
          </cell>
          <cell r="I200" t="str">
            <v>Pallet Inpector</v>
          </cell>
        </row>
        <row r="201">
          <cell r="H201">
            <v>12638</v>
          </cell>
          <cell r="I201" t="str">
            <v>Conveyors Wet</v>
          </cell>
        </row>
        <row r="202">
          <cell r="H202">
            <v>12639</v>
          </cell>
          <cell r="I202" t="str">
            <v>Conveyors Wet</v>
          </cell>
        </row>
        <row r="203">
          <cell r="H203">
            <v>12640</v>
          </cell>
          <cell r="I203" t="str">
            <v>Conveyors Dry</v>
          </cell>
        </row>
        <row r="204">
          <cell r="H204">
            <v>12641</v>
          </cell>
          <cell r="I204" t="str">
            <v>Conveyors Dry</v>
          </cell>
        </row>
        <row r="205">
          <cell r="H205">
            <v>12642</v>
          </cell>
          <cell r="I205" t="str">
            <v>Video Jet</v>
          </cell>
        </row>
        <row r="206">
          <cell r="H206">
            <v>12643</v>
          </cell>
          <cell r="I206" t="str">
            <v>Video Jet</v>
          </cell>
        </row>
        <row r="207">
          <cell r="H207">
            <v>12644</v>
          </cell>
          <cell r="I207" t="str">
            <v>CIP</v>
          </cell>
        </row>
        <row r="208">
          <cell r="H208">
            <v>12645</v>
          </cell>
          <cell r="I208" t="str">
            <v>CIP</v>
          </cell>
        </row>
        <row r="209">
          <cell r="H209">
            <v>12646</v>
          </cell>
          <cell r="I209" t="str">
            <v>BBT</v>
          </cell>
        </row>
        <row r="210">
          <cell r="H210">
            <v>12647</v>
          </cell>
          <cell r="I210" t="str">
            <v>BBT</v>
          </cell>
        </row>
        <row r="211">
          <cell r="H211">
            <v>12660</v>
          </cell>
          <cell r="I211" t="str">
            <v>Bulk Infeed A&amp;B</v>
          </cell>
        </row>
        <row r="212">
          <cell r="H212">
            <v>12661</v>
          </cell>
          <cell r="I212" t="str">
            <v>Bulk Infeed A&amp;B</v>
          </cell>
        </row>
        <row r="213">
          <cell r="H213">
            <v>12662</v>
          </cell>
          <cell r="I213" t="str">
            <v>Depalletiser A&amp;B</v>
          </cell>
        </row>
        <row r="214">
          <cell r="H214">
            <v>12663</v>
          </cell>
          <cell r="I214" t="str">
            <v>Depalletiser A&amp;B</v>
          </cell>
        </row>
        <row r="215">
          <cell r="H215">
            <v>12664</v>
          </cell>
          <cell r="I215" t="str">
            <v>Rope Conveyors A&amp;B</v>
          </cell>
        </row>
        <row r="216">
          <cell r="H216">
            <v>12665</v>
          </cell>
          <cell r="I216" t="str">
            <v>Rope Conveyors A&amp;B</v>
          </cell>
        </row>
        <row r="217">
          <cell r="H217">
            <v>12666</v>
          </cell>
          <cell r="I217" t="str">
            <v>Filler A&amp;B</v>
          </cell>
        </row>
        <row r="218">
          <cell r="H218">
            <v>12667</v>
          </cell>
          <cell r="I218" t="str">
            <v>Filler A&amp;B</v>
          </cell>
        </row>
        <row r="219">
          <cell r="H219">
            <v>12668</v>
          </cell>
          <cell r="I219" t="str">
            <v>Seamers A</v>
          </cell>
        </row>
        <row r="220">
          <cell r="H220">
            <v>12669</v>
          </cell>
          <cell r="I220" t="str">
            <v>Seamers A&amp;B</v>
          </cell>
        </row>
        <row r="221">
          <cell r="H221">
            <v>12670</v>
          </cell>
          <cell r="I221" t="str">
            <v>Pasteuriser</v>
          </cell>
        </row>
        <row r="222">
          <cell r="H222">
            <v>12671</v>
          </cell>
          <cell r="I222" t="str">
            <v>Pasteuriser</v>
          </cell>
        </row>
        <row r="223">
          <cell r="H223">
            <v>12672</v>
          </cell>
          <cell r="I223" t="str">
            <v>Kisters A&amp;B</v>
          </cell>
        </row>
        <row r="224">
          <cell r="H224">
            <v>12673</v>
          </cell>
          <cell r="I224" t="str">
            <v>Kisters A&amp;B</v>
          </cell>
        </row>
        <row r="225">
          <cell r="H225">
            <v>12674</v>
          </cell>
          <cell r="I225" t="str">
            <v>Tray Packer A&amp;B</v>
          </cell>
        </row>
        <row r="226">
          <cell r="H226">
            <v>12675</v>
          </cell>
          <cell r="I226" t="str">
            <v>Tray Packer A&amp;B</v>
          </cell>
        </row>
        <row r="227">
          <cell r="H227">
            <v>12676</v>
          </cell>
          <cell r="I227" t="str">
            <v>Garvens Dividers A&amp;B</v>
          </cell>
        </row>
        <row r="228">
          <cell r="H228">
            <v>12677</v>
          </cell>
          <cell r="I228" t="str">
            <v>Garvens Dividers A&amp;B</v>
          </cell>
        </row>
        <row r="229">
          <cell r="H229">
            <v>12678</v>
          </cell>
          <cell r="I229" t="str">
            <v>Box Turners A&amp;B</v>
          </cell>
        </row>
        <row r="230">
          <cell r="H230">
            <v>12679</v>
          </cell>
          <cell r="I230" t="str">
            <v>Box Turners A&amp;B</v>
          </cell>
        </row>
        <row r="231">
          <cell r="H231">
            <v>12680</v>
          </cell>
          <cell r="I231" t="str">
            <v>Palletisers A&amp;B</v>
          </cell>
        </row>
        <row r="232">
          <cell r="H232">
            <v>12681</v>
          </cell>
          <cell r="I232" t="str">
            <v>Palletisers A&amp;B</v>
          </cell>
        </row>
        <row r="233">
          <cell r="H233">
            <v>12682</v>
          </cell>
          <cell r="I233" t="str">
            <v>Stretch Wrappers A&amp;B</v>
          </cell>
        </row>
        <row r="234">
          <cell r="H234">
            <v>12683</v>
          </cell>
          <cell r="I234" t="str">
            <v>Stretch Wrappers A&amp;B</v>
          </cell>
        </row>
        <row r="235">
          <cell r="H235">
            <v>12684</v>
          </cell>
          <cell r="I235" t="str">
            <v>Seamer B</v>
          </cell>
        </row>
        <row r="236">
          <cell r="H236">
            <v>12685</v>
          </cell>
          <cell r="I236" t="str">
            <v>Shrinkwrap</v>
          </cell>
        </row>
        <row r="237">
          <cell r="H237">
            <v>12686</v>
          </cell>
          <cell r="I237" t="str">
            <v>Conveyors Wet</v>
          </cell>
        </row>
        <row r="238">
          <cell r="H238">
            <v>12687</v>
          </cell>
          <cell r="I238" t="str">
            <v>Conveyors Wet</v>
          </cell>
        </row>
        <row r="239">
          <cell r="H239">
            <v>12688</v>
          </cell>
          <cell r="I239" t="str">
            <v>Conveyors Dry</v>
          </cell>
        </row>
        <row r="240">
          <cell r="H240">
            <v>12689</v>
          </cell>
          <cell r="I240" t="str">
            <v>Conveyors Dry</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épalettiseur Hebdo (2)"/>
      <sheetName val="Dépalettiseur Hebdo"/>
      <sheetName val="Dépalettiseur MENSUELLE"/>
      <sheetName val="Décaisseuse Mensuelle"/>
      <sheetName val="Décaisseuse Hebdo"/>
      <sheetName val="Décaisseuse Mensuelle (2)"/>
      <sheetName val="Laveuse Hebdo"/>
      <sheetName val="Laveuse Mensuel (2)"/>
      <sheetName val="Soutireuse Hebdo "/>
      <sheetName val="Soutireuse MENSUELLE"/>
      <sheetName val="Pasteurisateur Hebdo"/>
      <sheetName val="Pasteurisateur Mensuelle"/>
      <sheetName val="Etiqueteuse Hebdo "/>
      <sheetName val="Etiqueteuse Mensuelle"/>
      <sheetName val="Encaisseuse Mensuelle "/>
      <sheetName val="Encaisseuse Hebdo "/>
      <sheetName val="Lave-caisses Hebdo"/>
      <sheetName val="Lave-caisses Mensuelle"/>
      <sheetName val="Palettiseur MENSUELLE"/>
      <sheetName val="Palettiseur Hebdo"/>
      <sheetName val="Convoyeurs bouteilles Hebdo "/>
      <sheetName val="Convoyeurs bouteilles Mensuel"/>
      <sheetName val="Convoyeurs casiers 1TG Mens"/>
      <sheetName val="Convoyeurs casiers 1TG Hebdo "/>
      <sheetName val="Convoyeurs casiers 2TG Hebdo "/>
      <sheetName val="Convoyeurs casiers 2TG Mens"/>
      <sheetName val="Dateuse de corps A550i  hebdo"/>
      <sheetName val="Dateuse de corps A550i Mensuel"/>
      <sheetName val="Dateuse de tete A550i heddo"/>
      <sheetName val="Dateuse de tete A550i Mens"/>
      <sheetName val=" ECI hebdomadaire"/>
      <sheetName val=" FCI hebdomadaire"/>
      <sheetName val=" FBI  Hebdomadaire"/>
      <sheetName val=" ÉTIQUETEUSE LBI Hebdomadaire"/>
      <sheetName val="EBI Hebdo Méca"/>
      <sheetName val=" EBI Hebdomadaire"/>
      <sheetName val=" EBI Mensuel"/>
      <sheetName val="Laveuse Mensuel"/>
      <sheetName val="Dateuse de corps A550i 6mois"/>
      <sheetName val="Dateuse de tete A550i 6mois"/>
      <sheetName val="Soutireuse Hebdo  (2)"/>
      <sheetName val="Appolo 1 Hebdo"/>
      <sheetName val="Appolo 2 Hebdo"/>
      <sheetName val="Appolo 3 Hebdo"/>
      <sheetName val="Appolo 4 Hebdo"/>
      <sheetName val="Appolo 2 Mensuel"/>
      <sheetName val="Blower Mensuel"/>
      <sheetName val="Etiqueteuse Sup"/>
      <sheetName val="Soutireuse Sup"/>
      <sheetName val="Laveuse Mens Meca"/>
      <sheetName val="Famix"/>
      <sheetName val="Date"/>
      <sheetName val="Enc Dec"/>
      <sheetName val="SOU  Sup"/>
      <sheetName val="ENC DECC"/>
      <sheetName val="HEUFTS"/>
      <sheetName val="CONV BTLES (2)"/>
      <sheetName val="PASTO"/>
      <sheetName val="Conv casie Correc"/>
      <sheetName val=" Lave -Caisse"/>
      <sheetName val="CONV BTLES"/>
      <sheetName val="Laveuse bouteilles Correc"/>
      <sheetName val="Souti"/>
      <sheetName val="Dateuse cor"/>
      <sheetName val="FILLER"/>
      <sheetName val="Dateuse"/>
      <sheetName val="Heuft Correc"/>
      <sheetName val="ETIQUET"/>
      <sheetName val="DATEUSES"/>
      <sheetName val="DATEUS"/>
      <sheetName val="CONV BTLES (3)"/>
      <sheetName val="CONV BTLES (4)"/>
      <sheetName val="CONV BTLES (5)"/>
      <sheetName val="Pasteurisateur corr"/>
      <sheetName val="PAL DEPALL Correc"/>
      <sheetName val="TRIEUSE"/>
      <sheetName val="Apollos "/>
      <sheetName val="Etiqu"/>
      <sheetName val="Soutireuse"/>
      <sheetName val="Lubrific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ow r="2">
          <cell r="B2" t="str">
            <v>Week 30 2025</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69"/>
  <dimension ref="B2:B5"/>
  <sheetViews>
    <sheetView workbookViewId="0">
      <selection activeCell="B2" sqref="B2"/>
    </sheetView>
  </sheetViews>
  <sheetFormatPr baseColWidth="10" defaultColWidth="11.42578125" defaultRowHeight="15" x14ac:dyDescent="0.25"/>
  <sheetData>
    <row r="2" spans="2:2" x14ac:dyDescent="0.25">
      <c r="B2" s="48" t="s">
        <v>766</v>
      </c>
    </row>
    <row r="5" spans="2:2" ht="15.75" customHeight="1" x14ac:dyDescent="0.25"/>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FFC000"/>
    <pageSetUpPr fitToPage="1"/>
  </sheetPr>
  <dimension ref="B1:I27"/>
  <sheetViews>
    <sheetView view="pageBreakPreview" zoomScale="60" zoomScaleNormal="55" zoomScalePageLayoutView="70" workbookViewId="0">
      <selection activeCell="E16" sqref="E16"/>
    </sheetView>
  </sheetViews>
  <sheetFormatPr baseColWidth="10" defaultColWidth="11.42578125" defaultRowHeight="15" x14ac:dyDescent="0.25"/>
  <cols>
    <col min="1" max="1" width="0.28515625" style="1" customWidth="1"/>
    <col min="2" max="2" width="5.7109375" style="1" customWidth="1"/>
    <col min="3" max="3" width="96.425781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9" ht="1.5" customHeight="1" x14ac:dyDescent="0.25"/>
    <row r="2" spans="2:9" ht="1.5" customHeight="1" thickBot="1" x14ac:dyDescent="0.3"/>
    <row r="3" spans="2:9" ht="62.25" customHeight="1" thickBot="1" x14ac:dyDescent="0.3">
      <c r="B3" s="162" t="s">
        <v>198</v>
      </c>
      <c r="C3" s="163"/>
      <c r="D3" s="163"/>
      <c r="E3" s="163"/>
      <c r="F3" s="164"/>
      <c r="G3" s="49" t="str">
        <f>Date!B2</f>
        <v>Week ... 2025</v>
      </c>
    </row>
    <row r="4" spans="2:9" ht="24" thickBot="1" x14ac:dyDescent="0.3">
      <c r="B4" s="14"/>
      <c r="C4" s="15" t="s">
        <v>184</v>
      </c>
      <c r="D4" s="165" t="str">
        <f>+'Line &amp; frequency'!C1</f>
        <v>CHAINE 5</v>
      </c>
      <c r="E4" s="166"/>
      <c r="F4" s="166"/>
      <c r="G4" s="31" t="str">
        <f>+'Line &amp; frequency'!C2</f>
        <v>HEBDOMADAIRE</v>
      </c>
      <c r="I4" s="59"/>
    </row>
    <row r="5" spans="2:9" ht="39" customHeight="1" thickBot="1" x14ac:dyDescent="0.3">
      <c r="B5" s="167" t="s">
        <v>170</v>
      </c>
      <c r="C5" s="168"/>
      <c r="D5" s="169" t="s">
        <v>718</v>
      </c>
      <c r="E5" s="170"/>
      <c r="F5" s="170"/>
      <c r="G5" s="170"/>
    </row>
    <row r="6" spans="2:9" ht="20.25" customHeight="1" thickBot="1" x14ac:dyDescent="0.3">
      <c r="C6" s="50" t="s">
        <v>167</v>
      </c>
      <c r="D6" s="98"/>
      <c r="E6" s="171" t="s">
        <v>0</v>
      </c>
      <c r="F6" s="172"/>
    </row>
    <row r="7" spans="2:9" s="4" customFormat="1" ht="24" customHeight="1" thickBot="1" x14ac:dyDescent="0.3">
      <c r="B7" s="25" t="s">
        <v>1</v>
      </c>
      <c r="C7" s="26" t="s">
        <v>2</v>
      </c>
      <c r="D7" s="27" t="s">
        <v>3</v>
      </c>
      <c r="E7" s="29" t="s">
        <v>4</v>
      </c>
      <c r="F7" s="30" t="s">
        <v>5</v>
      </c>
      <c r="G7" s="28" t="s">
        <v>6</v>
      </c>
    </row>
    <row r="8" spans="2:9" s="4" customFormat="1" ht="48.75" customHeight="1" x14ac:dyDescent="0.25">
      <c r="B8" s="5">
        <v>1</v>
      </c>
      <c r="C8" s="55" t="s">
        <v>239</v>
      </c>
      <c r="D8" s="21"/>
      <c r="E8" s="19"/>
      <c r="F8" s="20"/>
      <c r="G8" s="32"/>
    </row>
    <row r="9" spans="2:9" s="4" customFormat="1" ht="52.5" customHeight="1" x14ac:dyDescent="0.25">
      <c r="B9" s="6">
        <f>B8+1</f>
        <v>2</v>
      </c>
      <c r="C9" s="55" t="s">
        <v>241</v>
      </c>
      <c r="D9" s="21"/>
      <c r="E9" s="19"/>
      <c r="F9" s="20"/>
      <c r="G9" s="32"/>
    </row>
    <row r="10" spans="2:9" s="4" customFormat="1" ht="42.75" customHeight="1" x14ac:dyDescent="0.25">
      <c r="B10" s="35">
        <f>+B9+1</f>
        <v>3</v>
      </c>
      <c r="C10" s="55" t="s">
        <v>242</v>
      </c>
      <c r="D10" s="21"/>
      <c r="E10" s="19"/>
      <c r="F10" s="20"/>
      <c r="G10" s="32"/>
    </row>
    <row r="11" spans="2:9" s="4" customFormat="1" ht="49.5" customHeight="1" x14ac:dyDescent="0.25">
      <c r="B11" s="6">
        <f>B10+1</f>
        <v>4</v>
      </c>
      <c r="C11" s="55" t="s">
        <v>240</v>
      </c>
      <c r="D11" s="21"/>
      <c r="E11" s="19"/>
      <c r="F11" s="20"/>
      <c r="G11" s="32"/>
    </row>
    <row r="12" spans="2:9" s="4" customFormat="1" ht="43.5" customHeight="1" x14ac:dyDescent="0.25">
      <c r="B12" s="35">
        <f>+B11+1</f>
        <v>5</v>
      </c>
      <c r="C12" s="55" t="s">
        <v>243</v>
      </c>
      <c r="D12" s="21"/>
      <c r="E12" s="19"/>
      <c r="F12" s="20"/>
      <c r="G12" s="32"/>
    </row>
    <row r="13" spans="2:9" s="4" customFormat="1" ht="43.5" customHeight="1" x14ac:dyDescent="0.25">
      <c r="B13" s="6">
        <f>B12+1</f>
        <v>6</v>
      </c>
      <c r="C13" s="55" t="s">
        <v>244</v>
      </c>
      <c r="D13" s="21"/>
      <c r="E13" s="19"/>
      <c r="F13" s="20"/>
      <c r="G13" s="32"/>
    </row>
    <row r="14" spans="2:9" s="4" customFormat="1" ht="45.75" customHeight="1" x14ac:dyDescent="0.25">
      <c r="B14" s="35">
        <f>+B13+1</f>
        <v>7</v>
      </c>
      <c r="C14" s="55" t="s">
        <v>245</v>
      </c>
      <c r="D14" s="21"/>
      <c r="E14" s="19"/>
      <c r="F14" s="20"/>
      <c r="G14" s="32"/>
    </row>
    <row r="15" spans="2:9" s="4" customFormat="1" ht="42" customHeight="1" x14ac:dyDescent="0.25">
      <c r="B15" s="6">
        <f>B14+1</f>
        <v>8</v>
      </c>
      <c r="C15" s="55" t="s">
        <v>246</v>
      </c>
      <c r="D15" s="21"/>
      <c r="E15" s="19"/>
      <c r="F15" s="20"/>
      <c r="G15" s="32"/>
    </row>
    <row r="16" spans="2:9" s="4" customFormat="1" ht="43.5" customHeight="1" x14ac:dyDescent="0.25">
      <c r="B16" s="35">
        <f>+B15+1</f>
        <v>9</v>
      </c>
      <c r="C16" s="55" t="s">
        <v>247</v>
      </c>
      <c r="D16" s="21"/>
      <c r="E16" s="19"/>
      <c r="F16" s="20"/>
      <c r="G16" s="32"/>
    </row>
    <row r="17" spans="2:7" s="4" customFormat="1" ht="47.25" customHeight="1" x14ac:dyDescent="0.25">
      <c r="B17" s="6">
        <f>B16+1</f>
        <v>10</v>
      </c>
      <c r="C17" s="55" t="s">
        <v>248</v>
      </c>
      <c r="D17" s="21"/>
      <c r="E17" s="19"/>
      <c r="F17" s="20"/>
      <c r="G17" s="32"/>
    </row>
    <row r="18" spans="2:7" s="4" customFormat="1" ht="45.75" customHeight="1" x14ac:dyDescent="0.25">
      <c r="B18" s="35">
        <f>+B17+1</f>
        <v>11</v>
      </c>
      <c r="C18" s="55" t="s">
        <v>249</v>
      </c>
      <c r="D18" s="21"/>
      <c r="E18" s="19"/>
      <c r="F18" s="20"/>
      <c r="G18" s="32"/>
    </row>
    <row r="19" spans="2:7" s="4" customFormat="1" ht="44.25" customHeight="1" x14ac:dyDescent="0.25">
      <c r="B19" s="6">
        <f>B18+1</f>
        <v>12</v>
      </c>
      <c r="C19" s="55" t="s">
        <v>250</v>
      </c>
      <c r="D19" s="21"/>
      <c r="E19" s="19"/>
      <c r="F19" s="20"/>
      <c r="G19" s="32"/>
    </row>
    <row r="20" spans="2:7" s="4" customFormat="1" ht="64.5" customHeight="1" x14ac:dyDescent="0.25">
      <c r="B20" s="35">
        <f>+B19+1</f>
        <v>13</v>
      </c>
      <c r="C20" s="36"/>
      <c r="D20" s="21"/>
      <c r="E20" s="19"/>
      <c r="F20" s="20"/>
      <c r="G20" s="32"/>
    </row>
    <row r="21" spans="2:7" s="4" customFormat="1" ht="64.5" customHeight="1" thickBot="1" x14ac:dyDescent="0.3">
      <c r="B21" s="6">
        <f>B20+1</f>
        <v>14</v>
      </c>
      <c r="C21" s="36"/>
      <c r="D21" s="21"/>
      <c r="E21" s="19"/>
      <c r="F21" s="20"/>
      <c r="G21" s="32"/>
    </row>
    <row r="22" spans="2:7" ht="18.75" thickBot="1" x14ac:dyDescent="0.3">
      <c r="B22" s="173" t="s">
        <v>13</v>
      </c>
      <c r="C22" s="174"/>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15.75" thickBot="1" x14ac:dyDescent="0.3">
      <c r="B27" s="157"/>
      <c r="C27" s="158"/>
      <c r="D27" s="158"/>
      <c r="E27" s="158"/>
      <c r="F27" s="158"/>
      <c r="G27" s="161"/>
    </row>
  </sheetData>
  <sheetProtection selectLockedCells="1"/>
  <mergeCells count="10">
    <mergeCell ref="B23:C27"/>
    <mergeCell ref="D23:F27"/>
    <mergeCell ref="G23:G27"/>
    <mergeCell ref="B3:F3"/>
    <mergeCell ref="D4:F4"/>
    <mergeCell ref="B5:C5"/>
    <mergeCell ref="D5:G5"/>
    <mergeCell ref="E6:F6"/>
    <mergeCell ref="B22:C22"/>
    <mergeCell ref="D22:F22"/>
  </mergeCells>
  <conditionalFormatting sqref="D8:D21">
    <cfRule type="cellIs" dxfId="143" priority="1" operator="equal">
      <formula>3</formula>
    </cfRule>
    <cfRule type="cellIs" dxfId="142"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rgb="FFFFC000"/>
    <pageSetUpPr fitToPage="1"/>
  </sheetPr>
  <dimension ref="B1:I39"/>
  <sheetViews>
    <sheetView view="pageBreakPreview" zoomScale="60" zoomScaleNormal="60" zoomScalePageLayoutView="70" workbookViewId="0">
      <selection activeCell="X23" sqref="X23"/>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9.7109375" style="1" customWidth="1"/>
    <col min="7" max="7" width="5.7109375" style="1" customWidth="1"/>
    <col min="8" max="8" width="6.28515625" style="1" customWidth="1"/>
    <col min="9" max="9" width="55.28515625" style="1" customWidth="1"/>
    <col min="10" max="10" width="6.5703125" style="1" customWidth="1"/>
    <col min="11" max="11" width="7.85546875" style="1" customWidth="1"/>
    <col min="12" max="12" width="11.42578125" style="1" customWidth="1"/>
    <col min="13" max="13" width="8.85546875" style="1" customWidth="1"/>
    <col min="14" max="16" width="11.42578125" style="1" customWidth="1"/>
    <col min="17" max="17" width="2.140625" style="1" customWidth="1"/>
    <col min="18" max="16384" width="11.42578125" style="1"/>
  </cols>
  <sheetData>
    <row r="1" spans="2:9" ht="1.5" customHeight="1" x14ac:dyDescent="0.25"/>
    <row r="2" spans="2:9" ht="1.5" customHeight="1" thickBot="1" x14ac:dyDescent="0.3"/>
    <row r="3" spans="2:9" ht="19.7" customHeight="1" thickBot="1" x14ac:dyDescent="0.3">
      <c r="B3" s="178"/>
      <c r="C3" s="178"/>
      <c r="D3" s="179" t="s">
        <v>471</v>
      </c>
      <c r="E3" s="180"/>
      <c r="F3" s="180"/>
      <c r="G3" s="180"/>
      <c r="H3" s="181"/>
      <c r="I3" s="58" t="s">
        <v>186</v>
      </c>
    </row>
    <row r="4" spans="2:9" ht="19.7" customHeight="1" thickBot="1" x14ac:dyDescent="0.3">
      <c r="B4" s="178"/>
      <c r="C4" s="178"/>
      <c r="D4" s="182"/>
      <c r="E4" s="183"/>
      <c r="F4" s="183"/>
      <c r="G4" s="183"/>
      <c r="H4" s="184"/>
      <c r="I4" s="59" t="str">
        <f>Date!B2</f>
        <v>Week ... 2025</v>
      </c>
    </row>
    <row r="5" spans="2:9" ht="19.7" customHeight="1" thickBot="1" x14ac:dyDescent="0.3">
      <c r="B5" s="178"/>
      <c r="C5" s="178"/>
      <c r="D5" s="185"/>
      <c r="E5" s="186"/>
      <c r="F5" s="186"/>
      <c r="G5" s="186"/>
      <c r="H5" s="187"/>
      <c r="I5" s="60" t="s">
        <v>187</v>
      </c>
    </row>
    <row r="6" spans="2:9" ht="27" thickBot="1" x14ac:dyDescent="0.3">
      <c r="B6" s="167" t="s">
        <v>188</v>
      </c>
      <c r="C6" s="168"/>
      <c r="D6" s="188" t="s">
        <v>15</v>
      </c>
      <c r="E6" s="189"/>
      <c r="F6" s="189"/>
      <c r="G6" s="189"/>
      <c r="H6" s="189"/>
      <c r="I6" s="190"/>
    </row>
    <row r="7" spans="2:9" ht="24" customHeight="1" thickBot="1" x14ac:dyDescent="0.3">
      <c r="B7" s="167" t="s">
        <v>170</v>
      </c>
      <c r="C7" s="168"/>
      <c r="D7" s="169"/>
      <c r="E7" s="170"/>
      <c r="F7" s="170"/>
      <c r="G7" s="170"/>
      <c r="H7" s="170"/>
      <c r="I7" s="191"/>
    </row>
    <row r="8" spans="2:9" ht="4.5" customHeight="1" thickBot="1" x14ac:dyDescent="0.3">
      <c r="B8" s="2"/>
      <c r="C8" s="2"/>
      <c r="D8" s="3"/>
      <c r="E8" s="3"/>
      <c r="F8" s="3"/>
      <c r="G8" s="3"/>
      <c r="H8" s="3"/>
      <c r="I8" s="3"/>
    </row>
    <row r="9" spans="2:9" ht="15.75" hidden="1" thickBot="1" x14ac:dyDescent="0.3"/>
    <row r="10" spans="2:9" ht="20.25" customHeight="1" thickBot="1" x14ac:dyDescent="0.35">
      <c r="B10" s="61"/>
      <c r="C10" s="61"/>
      <c r="D10" s="61"/>
      <c r="E10" s="61"/>
      <c r="F10" s="61"/>
      <c r="G10" s="195" t="s">
        <v>0</v>
      </c>
      <c r="H10" s="196"/>
      <c r="I10" s="61"/>
    </row>
    <row r="11" spans="2:9" s="4" customFormat="1" ht="24" customHeight="1" thickBot="1" x14ac:dyDescent="0.3">
      <c r="B11" s="62" t="s">
        <v>1</v>
      </c>
      <c r="C11" s="197" t="s">
        <v>2</v>
      </c>
      <c r="D11" s="197"/>
      <c r="E11" s="198"/>
      <c r="F11" s="63" t="s">
        <v>3</v>
      </c>
      <c r="G11" s="64" t="s">
        <v>4</v>
      </c>
      <c r="H11" s="65" t="s">
        <v>5</v>
      </c>
      <c r="I11" s="66" t="s">
        <v>6</v>
      </c>
    </row>
    <row r="12" spans="2:9" s="4" customFormat="1" ht="43.5" customHeight="1" x14ac:dyDescent="0.3">
      <c r="B12" s="67">
        <v>1</v>
      </c>
      <c r="C12" s="199" t="s">
        <v>202</v>
      </c>
      <c r="D12" s="200"/>
      <c r="E12" s="201"/>
      <c r="F12" s="68"/>
      <c r="G12" s="69"/>
      <c r="H12" s="70"/>
      <c r="I12" s="71"/>
    </row>
    <row r="13" spans="2:9" s="4" customFormat="1" ht="44.25" customHeight="1" x14ac:dyDescent="0.3">
      <c r="B13" s="72">
        <f>B12+1</f>
        <v>2</v>
      </c>
      <c r="C13" s="192" t="s">
        <v>219</v>
      </c>
      <c r="D13" s="193"/>
      <c r="E13" s="194"/>
      <c r="F13" s="73"/>
      <c r="G13" s="74"/>
      <c r="H13" s="75"/>
      <c r="I13" s="76"/>
    </row>
    <row r="14" spans="2:9" s="4" customFormat="1" ht="54.75" customHeight="1" x14ac:dyDescent="0.3">
      <c r="B14" s="72">
        <f t="shared" ref="B14:B33" si="0">B13+1</f>
        <v>3</v>
      </c>
      <c r="C14" s="192" t="s">
        <v>204</v>
      </c>
      <c r="D14" s="193"/>
      <c r="E14" s="194"/>
      <c r="F14" s="73"/>
      <c r="G14" s="74"/>
      <c r="H14" s="75"/>
      <c r="I14" s="76"/>
    </row>
    <row r="15" spans="2:9" s="4" customFormat="1" ht="45.75" customHeight="1" x14ac:dyDescent="0.3">
      <c r="B15" s="72">
        <f t="shared" si="0"/>
        <v>4</v>
      </c>
      <c r="C15" s="192" t="s">
        <v>205</v>
      </c>
      <c r="D15" s="193"/>
      <c r="E15" s="194"/>
      <c r="F15" s="73"/>
      <c r="G15" s="74"/>
      <c r="H15" s="75"/>
      <c r="I15" s="76"/>
    </row>
    <row r="16" spans="2:9" s="4" customFormat="1" ht="46.5" customHeight="1" x14ac:dyDescent="0.3">
      <c r="B16" s="72">
        <f t="shared" si="0"/>
        <v>5</v>
      </c>
      <c r="C16" s="192" t="s">
        <v>220</v>
      </c>
      <c r="D16" s="193"/>
      <c r="E16" s="194"/>
      <c r="F16" s="73"/>
      <c r="G16" s="74"/>
      <c r="H16" s="75"/>
      <c r="I16" s="76"/>
    </row>
    <row r="17" spans="2:9" s="4" customFormat="1" ht="45" customHeight="1" x14ac:dyDescent="0.3">
      <c r="B17" s="72">
        <f t="shared" si="0"/>
        <v>6</v>
      </c>
      <c r="C17" s="199" t="s">
        <v>221</v>
      </c>
      <c r="D17" s="200"/>
      <c r="E17" s="201"/>
      <c r="F17" s="73"/>
      <c r="G17" s="74"/>
      <c r="H17" s="75"/>
      <c r="I17" s="76"/>
    </row>
    <row r="18" spans="2:9" s="4" customFormat="1" ht="48.75" customHeight="1" x14ac:dyDescent="0.3">
      <c r="B18" s="72">
        <f t="shared" si="0"/>
        <v>7</v>
      </c>
      <c r="C18" s="192" t="s">
        <v>222</v>
      </c>
      <c r="D18" s="193"/>
      <c r="E18" s="194"/>
      <c r="F18" s="73"/>
      <c r="G18" s="74"/>
      <c r="H18" s="75"/>
      <c r="I18" s="76"/>
    </row>
    <row r="19" spans="2:9" s="4" customFormat="1" ht="33" customHeight="1" x14ac:dyDescent="0.3">
      <c r="B19" s="72">
        <f t="shared" si="0"/>
        <v>8</v>
      </c>
      <c r="C19" s="199" t="s">
        <v>447</v>
      </c>
      <c r="D19" s="200"/>
      <c r="E19" s="201"/>
      <c r="F19" s="73"/>
      <c r="G19" s="74"/>
      <c r="H19" s="75"/>
      <c r="I19" s="77"/>
    </row>
    <row r="20" spans="2:9" s="4" customFormat="1" ht="44.25" customHeight="1" x14ac:dyDescent="0.3">
      <c r="B20" s="72">
        <f t="shared" si="0"/>
        <v>9</v>
      </c>
      <c r="C20" s="199" t="s">
        <v>465</v>
      </c>
      <c r="D20" s="200"/>
      <c r="E20" s="201"/>
      <c r="F20" s="73"/>
      <c r="G20" s="74"/>
      <c r="H20" s="75"/>
      <c r="I20" s="76"/>
    </row>
    <row r="21" spans="2:9" s="4" customFormat="1" ht="39.75" customHeight="1" x14ac:dyDescent="0.3">
      <c r="B21" s="72">
        <f t="shared" si="0"/>
        <v>10</v>
      </c>
      <c r="C21" s="192" t="s">
        <v>466</v>
      </c>
      <c r="D21" s="193"/>
      <c r="E21" s="194"/>
      <c r="F21" s="73"/>
      <c r="G21" s="74"/>
      <c r="H21" s="75"/>
      <c r="I21" s="76"/>
    </row>
    <row r="22" spans="2:9" s="4" customFormat="1" ht="34.5" customHeight="1" x14ac:dyDescent="0.3">
      <c r="B22" s="72">
        <f t="shared" si="0"/>
        <v>11</v>
      </c>
      <c r="C22" s="192" t="s">
        <v>467</v>
      </c>
      <c r="D22" s="193"/>
      <c r="E22" s="194"/>
      <c r="F22" s="73"/>
      <c r="G22" s="74"/>
      <c r="H22" s="75"/>
      <c r="I22" s="76"/>
    </row>
    <row r="23" spans="2:9" s="4" customFormat="1" ht="42" customHeight="1" x14ac:dyDescent="0.3">
      <c r="B23" s="72">
        <f t="shared" si="0"/>
        <v>12</v>
      </c>
      <c r="C23" s="192" t="s">
        <v>458</v>
      </c>
      <c r="D23" s="193"/>
      <c r="E23" s="194"/>
      <c r="F23" s="73"/>
      <c r="G23" s="74"/>
      <c r="H23" s="75"/>
      <c r="I23" s="76"/>
    </row>
    <row r="24" spans="2:9" s="4" customFormat="1" ht="38.25" customHeight="1" x14ac:dyDescent="0.3">
      <c r="B24" s="72">
        <f t="shared" si="0"/>
        <v>13</v>
      </c>
      <c r="C24" s="192" t="s">
        <v>468</v>
      </c>
      <c r="D24" s="193"/>
      <c r="E24" s="194"/>
      <c r="F24" s="73"/>
      <c r="G24" s="74"/>
      <c r="H24" s="75"/>
      <c r="I24" s="76"/>
    </row>
    <row r="25" spans="2:9" s="4" customFormat="1" ht="32.25" customHeight="1" x14ac:dyDescent="0.3">
      <c r="B25" s="72">
        <f t="shared" si="0"/>
        <v>14</v>
      </c>
      <c r="C25" s="192" t="s">
        <v>469</v>
      </c>
      <c r="D25" s="193"/>
      <c r="E25" s="194"/>
      <c r="F25" s="73"/>
      <c r="G25" s="74"/>
      <c r="H25" s="75"/>
      <c r="I25" s="76"/>
    </row>
    <row r="26" spans="2:9" s="4" customFormat="1" ht="38.25" customHeight="1" x14ac:dyDescent="0.3">
      <c r="B26" s="72">
        <f t="shared" si="0"/>
        <v>15</v>
      </c>
      <c r="C26" s="192"/>
      <c r="D26" s="193"/>
      <c r="E26" s="194"/>
      <c r="F26" s="73"/>
      <c r="G26" s="74"/>
      <c r="H26" s="75"/>
      <c r="I26" s="76"/>
    </row>
    <row r="27" spans="2:9" s="4" customFormat="1" ht="28.5" customHeight="1" x14ac:dyDescent="0.3">
      <c r="B27" s="72">
        <f t="shared" si="0"/>
        <v>16</v>
      </c>
      <c r="C27" s="199"/>
      <c r="D27" s="200"/>
      <c r="E27" s="201"/>
      <c r="F27" s="73"/>
      <c r="G27" s="74"/>
      <c r="H27" s="75"/>
      <c r="I27" s="76"/>
    </row>
    <row r="28" spans="2:9" s="4" customFormat="1" ht="37.5" customHeight="1" x14ac:dyDescent="0.3">
      <c r="B28" s="72">
        <f t="shared" si="0"/>
        <v>17</v>
      </c>
      <c r="C28" s="199"/>
      <c r="D28" s="200"/>
      <c r="E28" s="201"/>
      <c r="F28" s="73"/>
      <c r="G28" s="74"/>
      <c r="H28" s="75"/>
      <c r="I28" s="76"/>
    </row>
    <row r="29" spans="2:9" s="4" customFormat="1" ht="30.75" customHeight="1" x14ac:dyDescent="0.3">
      <c r="B29" s="72">
        <f t="shared" si="0"/>
        <v>18</v>
      </c>
      <c r="C29" s="199"/>
      <c r="D29" s="200"/>
      <c r="E29" s="201"/>
      <c r="F29" s="73"/>
      <c r="G29" s="74"/>
      <c r="H29" s="75"/>
      <c r="I29" s="76"/>
    </row>
    <row r="30" spans="2:9" s="4" customFormat="1" ht="32.25" customHeight="1" x14ac:dyDescent="0.3">
      <c r="B30" s="72">
        <f t="shared" si="0"/>
        <v>19</v>
      </c>
      <c r="C30" s="199"/>
      <c r="D30" s="200"/>
      <c r="E30" s="201"/>
      <c r="F30" s="73"/>
      <c r="G30" s="74"/>
      <c r="H30" s="75"/>
      <c r="I30" s="76"/>
    </row>
    <row r="31" spans="2:9" s="4" customFormat="1" ht="32.25" customHeight="1" x14ac:dyDescent="0.3">
      <c r="B31" s="72">
        <f t="shared" si="0"/>
        <v>20</v>
      </c>
      <c r="C31" s="199"/>
      <c r="D31" s="200"/>
      <c r="E31" s="201"/>
      <c r="F31" s="73"/>
      <c r="G31" s="74"/>
      <c r="H31" s="75"/>
      <c r="I31" s="76"/>
    </row>
    <row r="32" spans="2:9" s="4" customFormat="1" ht="27" customHeight="1" x14ac:dyDescent="0.3">
      <c r="B32" s="72">
        <f t="shared" si="0"/>
        <v>21</v>
      </c>
      <c r="C32" s="199"/>
      <c r="D32" s="200"/>
      <c r="E32" s="201"/>
      <c r="F32" s="73"/>
      <c r="G32" s="74"/>
      <c r="H32" s="75"/>
      <c r="I32" s="76"/>
    </row>
    <row r="33" spans="2:9" s="4" customFormat="1" ht="51" customHeight="1" thickBot="1" x14ac:dyDescent="0.35">
      <c r="B33" s="78">
        <f t="shared" si="0"/>
        <v>22</v>
      </c>
      <c r="C33" s="202"/>
      <c r="D33" s="203"/>
      <c r="E33" s="204"/>
      <c r="F33" s="79"/>
      <c r="G33" s="80"/>
      <c r="H33" s="81"/>
      <c r="I33" s="82"/>
    </row>
    <row r="34" spans="2:9" s="12" customFormat="1" ht="27" customHeight="1" thickBot="1" x14ac:dyDescent="0.3">
      <c r="B34" s="205" t="s">
        <v>7</v>
      </c>
      <c r="C34" s="206"/>
      <c r="D34" s="206"/>
      <c r="E34" s="206" t="s">
        <v>189</v>
      </c>
      <c r="F34" s="206"/>
      <c r="G34" s="207"/>
      <c r="H34" s="207"/>
      <c r="I34" s="83" t="s">
        <v>8</v>
      </c>
    </row>
    <row r="35" spans="2:9" x14ac:dyDescent="0.25">
      <c r="B35" s="153"/>
      <c r="C35" s="154"/>
      <c r="D35" s="208"/>
      <c r="E35" s="154"/>
      <c r="F35" s="154"/>
      <c r="G35" s="154"/>
      <c r="H35" s="154"/>
      <c r="I35" s="159"/>
    </row>
    <row r="36" spans="2:9" x14ac:dyDescent="0.25">
      <c r="B36" s="155"/>
      <c r="C36" s="156"/>
      <c r="D36" s="156"/>
      <c r="E36" s="156"/>
      <c r="F36" s="156"/>
      <c r="G36" s="156"/>
      <c r="H36" s="156"/>
      <c r="I36" s="160"/>
    </row>
    <row r="37" spans="2:9" x14ac:dyDescent="0.25">
      <c r="B37" s="155"/>
      <c r="C37" s="156"/>
      <c r="D37" s="156"/>
      <c r="E37" s="156"/>
      <c r="F37" s="156"/>
      <c r="G37" s="156"/>
      <c r="H37" s="156"/>
      <c r="I37" s="160"/>
    </row>
    <row r="38" spans="2:9" x14ac:dyDescent="0.25">
      <c r="B38" s="155"/>
      <c r="C38" s="156"/>
      <c r="D38" s="156"/>
      <c r="E38" s="156"/>
      <c r="F38" s="156"/>
      <c r="G38" s="156"/>
      <c r="H38" s="156"/>
      <c r="I38" s="160"/>
    </row>
    <row r="39" spans="2:9" ht="59.25" customHeight="1" thickBot="1" x14ac:dyDescent="0.3">
      <c r="B39" s="157"/>
      <c r="C39" s="158"/>
      <c r="D39" s="158"/>
      <c r="E39" s="158"/>
      <c r="F39" s="158"/>
      <c r="G39" s="158"/>
      <c r="H39" s="158"/>
      <c r="I39" s="161"/>
    </row>
  </sheetData>
  <sheetProtection selectLockedCells="1" selectUnlockedCells="1"/>
  <mergeCells count="35">
    <mergeCell ref="B34:D34"/>
    <mergeCell ref="E34:H34"/>
    <mergeCell ref="B35:D39"/>
    <mergeCell ref="E35:H39"/>
    <mergeCell ref="I35:I39"/>
    <mergeCell ref="C33:E33"/>
    <mergeCell ref="C22:E22"/>
    <mergeCell ref="C23:E23"/>
    <mergeCell ref="C24:E24"/>
    <mergeCell ref="C25:E25"/>
    <mergeCell ref="C26:E26"/>
    <mergeCell ref="C27:E27"/>
    <mergeCell ref="C28:E28"/>
    <mergeCell ref="C29:E29"/>
    <mergeCell ref="C30:E30"/>
    <mergeCell ref="C31:E31"/>
    <mergeCell ref="C32:E32"/>
    <mergeCell ref="C21:E21"/>
    <mergeCell ref="G10:H10"/>
    <mergeCell ref="C11:E11"/>
    <mergeCell ref="C12:E12"/>
    <mergeCell ref="C13:E13"/>
    <mergeCell ref="C14:E14"/>
    <mergeCell ref="C15:E15"/>
    <mergeCell ref="C16:E16"/>
    <mergeCell ref="C17:E17"/>
    <mergeCell ref="C18:E18"/>
    <mergeCell ref="C19:E19"/>
    <mergeCell ref="C20:E20"/>
    <mergeCell ref="B3:C5"/>
    <mergeCell ref="D3:H5"/>
    <mergeCell ref="B6:C6"/>
    <mergeCell ref="D6:I6"/>
    <mergeCell ref="B7:C7"/>
    <mergeCell ref="D7:I7"/>
  </mergeCells>
  <conditionalFormatting sqref="F12:F33">
    <cfRule type="cellIs" dxfId="141" priority="1" operator="equal">
      <formula>3</formula>
    </cfRule>
    <cfRule type="cellIs" dxfId="140"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rgb="FFFFC000"/>
    <pageSetUpPr fitToPage="1"/>
  </sheetPr>
  <dimension ref="B1:I39"/>
  <sheetViews>
    <sheetView view="pageBreakPreview" topLeftCell="D1" zoomScale="60" zoomScaleNormal="60" zoomScalePageLayoutView="70" workbookViewId="0">
      <selection activeCell="I16" sqref="I16"/>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9.7109375" style="1" customWidth="1"/>
    <col min="7" max="7" width="5.7109375" style="1" customWidth="1"/>
    <col min="8" max="8" width="6.28515625" style="1" customWidth="1"/>
    <col min="9" max="9" width="55.28515625" style="1" customWidth="1"/>
    <col min="10" max="10" width="6.5703125" style="1" customWidth="1"/>
    <col min="11" max="12" width="11.42578125" style="1" customWidth="1"/>
    <col min="13" max="13" width="8.85546875" style="1" customWidth="1"/>
    <col min="14" max="16" width="11.42578125" style="1" customWidth="1"/>
    <col min="17" max="17" width="2.140625" style="1" customWidth="1"/>
    <col min="18" max="16384" width="11.42578125" style="1"/>
  </cols>
  <sheetData>
    <row r="1" spans="2:9" ht="1.5" customHeight="1" x14ac:dyDescent="0.25"/>
    <row r="2" spans="2:9" ht="1.5" customHeight="1" thickBot="1" x14ac:dyDescent="0.3"/>
    <row r="3" spans="2:9" ht="19.7" customHeight="1" thickBot="1" x14ac:dyDescent="0.3">
      <c r="B3" s="178"/>
      <c r="C3" s="178"/>
      <c r="D3" s="179" t="s">
        <v>471</v>
      </c>
      <c r="E3" s="180"/>
      <c r="F3" s="180"/>
      <c r="G3" s="180"/>
      <c r="H3" s="181"/>
      <c r="I3" s="58" t="s">
        <v>186</v>
      </c>
    </row>
    <row r="4" spans="2:9" ht="19.7" customHeight="1" thickBot="1" x14ac:dyDescent="0.3">
      <c r="B4" s="178"/>
      <c r="C4" s="178"/>
      <c r="D4" s="182"/>
      <c r="E4" s="183"/>
      <c r="F4" s="183"/>
      <c r="G4" s="183"/>
      <c r="H4" s="184"/>
      <c r="I4" s="59" t="str">
        <f>Date!B2</f>
        <v>Week ... 2025</v>
      </c>
    </row>
    <row r="5" spans="2:9" ht="19.7" customHeight="1" thickBot="1" x14ac:dyDescent="0.3">
      <c r="B5" s="178"/>
      <c r="C5" s="178"/>
      <c r="D5" s="185"/>
      <c r="E5" s="186"/>
      <c r="F5" s="186"/>
      <c r="G5" s="186"/>
      <c r="H5" s="187"/>
      <c r="I5" s="60" t="s">
        <v>187</v>
      </c>
    </row>
    <row r="6" spans="2:9" ht="27" thickBot="1" x14ac:dyDescent="0.3">
      <c r="B6" s="167" t="s">
        <v>188</v>
      </c>
      <c r="C6" s="168"/>
      <c r="D6" s="188" t="s">
        <v>21</v>
      </c>
      <c r="E6" s="189"/>
      <c r="F6" s="189"/>
      <c r="G6" s="189"/>
      <c r="H6" s="189"/>
      <c r="I6" s="190"/>
    </row>
    <row r="7" spans="2:9" ht="24" customHeight="1" thickBot="1" x14ac:dyDescent="0.3">
      <c r="B7" s="167" t="s">
        <v>170</v>
      </c>
      <c r="C7" s="168"/>
      <c r="D7" s="169"/>
      <c r="E7" s="170"/>
      <c r="F7" s="170"/>
      <c r="G7" s="170"/>
      <c r="H7" s="170"/>
      <c r="I7" s="191"/>
    </row>
    <row r="8" spans="2:9" ht="4.5" customHeight="1" thickBot="1" x14ac:dyDescent="0.3">
      <c r="B8" s="2"/>
      <c r="C8" s="2"/>
      <c r="D8" s="3"/>
      <c r="E8" s="3"/>
      <c r="F8" s="3"/>
      <c r="G8" s="3"/>
      <c r="H8" s="3"/>
      <c r="I8" s="3"/>
    </row>
    <row r="9" spans="2:9" ht="15.75" hidden="1" thickBot="1" x14ac:dyDescent="0.3"/>
    <row r="10" spans="2:9" ht="20.25" customHeight="1" thickBot="1" x14ac:dyDescent="0.35">
      <c r="B10" s="61"/>
      <c r="C10" s="61"/>
      <c r="D10" s="61"/>
      <c r="E10" s="61"/>
      <c r="F10" s="61"/>
      <c r="G10" s="195" t="s">
        <v>0</v>
      </c>
      <c r="H10" s="196"/>
      <c r="I10" s="61"/>
    </row>
    <row r="11" spans="2:9" s="4" customFormat="1" ht="24" customHeight="1" thickBot="1" x14ac:dyDescent="0.3">
      <c r="B11" s="62" t="s">
        <v>1</v>
      </c>
      <c r="C11" s="197" t="s">
        <v>2</v>
      </c>
      <c r="D11" s="197"/>
      <c r="E11" s="198"/>
      <c r="F11" s="63" t="s">
        <v>3</v>
      </c>
      <c r="G11" s="64" t="s">
        <v>4</v>
      </c>
      <c r="H11" s="65" t="s">
        <v>5</v>
      </c>
      <c r="I11" s="66" t="s">
        <v>6</v>
      </c>
    </row>
    <row r="12" spans="2:9" s="4" customFormat="1" ht="43.5" customHeight="1" x14ac:dyDescent="0.3">
      <c r="B12" s="67">
        <v>1</v>
      </c>
      <c r="C12" s="199" t="s">
        <v>202</v>
      </c>
      <c r="D12" s="200"/>
      <c r="E12" s="201"/>
      <c r="F12" s="68"/>
      <c r="G12" s="69"/>
      <c r="H12" s="70"/>
      <c r="I12" s="71"/>
    </row>
    <row r="13" spans="2:9" s="4" customFormat="1" ht="44.25" customHeight="1" x14ac:dyDescent="0.3">
      <c r="B13" s="72">
        <f>B12+1</f>
        <v>2</v>
      </c>
      <c r="C13" s="192" t="s">
        <v>219</v>
      </c>
      <c r="D13" s="193"/>
      <c r="E13" s="194"/>
      <c r="F13" s="73"/>
      <c r="G13" s="74"/>
      <c r="H13" s="75"/>
      <c r="I13" s="76"/>
    </row>
    <row r="14" spans="2:9" s="4" customFormat="1" ht="54.75" customHeight="1" x14ac:dyDescent="0.3">
      <c r="B14" s="72">
        <f t="shared" ref="B14:B33" si="0">B13+1</f>
        <v>3</v>
      </c>
      <c r="C14" s="192" t="s">
        <v>204</v>
      </c>
      <c r="D14" s="193"/>
      <c r="E14" s="194"/>
      <c r="F14" s="73"/>
      <c r="G14" s="74"/>
      <c r="H14" s="75"/>
      <c r="I14" s="76"/>
    </row>
    <row r="15" spans="2:9" s="4" customFormat="1" ht="45.75" customHeight="1" x14ac:dyDescent="0.3">
      <c r="B15" s="72">
        <f t="shared" si="0"/>
        <v>4</v>
      </c>
      <c r="C15" s="192" t="s">
        <v>205</v>
      </c>
      <c r="D15" s="193"/>
      <c r="E15" s="194"/>
      <c r="F15" s="73"/>
      <c r="G15" s="74"/>
      <c r="H15" s="75"/>
      <c r="I15" s="76"/>
    </row>
    <row r="16" spans="2:9" s="4" customFormat="1" ht="46.5" customHeight="1" x14ac:dyDescent="0.3">
      <c r="B16" s="72">
        <f t="shared" si="0"/>
        <v>5</v>
      </c>
      <c r="C16" s="192" t="s">
        <v>220</v>
      </c>
      <c r="D16" s="193"/>
      <c r="E16" s="194"/>
      <c r="F16" s="73"/>
      <c r="G16" s="74"/>
      <c r="H16" s="75"/>
      <c r="I16" s="76"/>
    </row>
    <row r="17" spans="2:9" s="4" customFormat="1" ht="44.25" customHeight="1" x14ac:dyDescent="0.3">
      <c r="B17" s="72">
        <f t="shared" si="0"/>
        <v>6</v>
      </c>
      <c r="C17" s="199" t="s">
        <v>221</v>
      </c>
      <c r="D17" s="200"/>
      <c r="E17" s="201"/>
      <c r="F17" s="73"/>
      <c r="G17" s="74"/>
      <c r="H17" s="75"/>
      <c r="I17" s="76"/>
    </row>
    <row r="18" spans="2:9" s="4" customFormat="1" ht="39" customHeight="1" x14ac:dyDescent="0.3">
      <c r="B18" s="72">
        <f t="shared" si="0"/>
        <v>7</v>
      </c>
      <c r="C18" s="192" t="s">
        <v>222</v>
      </c>
      <c r="D18" s="193"/>
      <c r="E18" s="194"/>
      <c r="F18" s="73"/>
      <c r="G18" s="74"/>
      <c r="H18" s="75"/>
      <c r="I18" s="76"/>
    </row>
    <row r="19" spans="2:9" s="4" customFormat="1" ht="51.75" customHeight="1" x14ac:dyDescent="0.3">
      <c r="B19" s="72">
        <f t="shared" si="0"/>
        <v>8</v>
      </c>
      <c r="C19" s="192" t="s">
        <v>223</v>
      </c>
      <c r="D19" s="193"/>
      <c r="E19" s="194"/>
      <c r="F19" s="73"/>
      <c r="G19" s="74"/>
      <c r="H19" s="75"/>
      <c r="I19" s="77"/>
    </row>
    <row r="20" spans="2:9" s="4" customFormat="1" ht="39.75" customHeight="1" x14ac:dyDescent="0.3">
      <c r="B20" s="72">
        <f t="shared" si="0"/>
        <v>9</v>
      </c>
      <c r="C20" s="199" t="s">
        <v>447</v>
      </c>
      <c r="D20" s="200"/>
      <c r="E20" s="201"/>
      <c r="F20" s="73"/>
      <c r="G20" s="74"/>
      <c r="H20" s="75"/>
      <c r="I20" s="76"/>
    </row>
    <row r="21" spans="2:9" s="4" customFormat="1" ht="39.75" customHeight="1" x14ac:dyDescent="0.3">
      <c r="B21" s="72">
        <f t="shared" si="0"/>
        <v>10</v>
      </c>
      <c r="C21" s="199" t="s">
        <v>465</v>
      </c>
      <c r="D21" s="200"/>
      <c r="E21" s="201"/>
      <c r="F21" s="73"/>
      <c r="G21" s="74"/>
      <c r="H21" s="75"/>
      <c r="I21" s="76"/>
    </row>
    <row r="22" spans="2:9" s="4" customFormat="1" ht="34.5" customHeight="1" x14ac:dyDescent="0.3">
      <c r="B22" s="72">
        <f t="shared" si="0"/>
        <v>11</v>
      </c>
      <c r="C22" s="192" t="s">
        <v>466</v>
      </c>
      <c r="D22" s="193"/>
      <c r="E22" s="194"/>
      <c r="F22" s="73"/>
      <c r="G22" s="74"/>
      <c r="H22" s="75"/>
      <c r="I22" s="76"/>
    </row>
    <row r="23" spans="2:9" s="4" customFormat="1" ht="42" customHeight="1" x14ac:dyDescent="0.3">
      <c r="B23" s="72">
        <f t="shared" si="0"/>
        <v>12</v>
      </c>
      <c r="C23" s="192" t="s">
        <v>467</v>
      </c>
      <c r="D23" s="193"/>
      <c r="E23" s="194"/>
      <c r="F23" s="73"/>
      <c r="G23" s="74"/>
      <c r="H23" s="75"/>
      <c r="I23" s="76"/>
    </row>
    <row r="24" spans="2:9" s="4" customFormat="1" ht="38.25" customHeight="1" x14ac:dyDescent="0.3">
      <c r="B24" s="72">
        <f t="shared" si="0"/>
        <v>13</v>
      </c>
      <c r="C24" s="192" t="s">
        <v>458</v>
      </c>
      <c r="D24" s="193"/>
      <c r="E24" s="194"/>
      <c r="F24" s="73"/>
      <c r="G24" s="74"/>
      <c r="H24" s="75"/>
      <c r="I24" s="76"/>
    </row>
    <row r="25" spans="2:9" s="4" customFormat="1" ht="39.75" customHeight="1" x14ac:dyDescent="0.3">
      <c r="B25" s="72">
        <f t="shared" si="0"/>
        <v>14</v>
      </c>
      <c r="C25" s="192" t="s">
        <v>468</v>
      </c>
      <c r="D25" s="193"/>
      <c r="E25" s="194"/>
      <c r="F25" s="73"/>
      <c r="G25" s="74"/>
      <c r="H25" s="75"/>
      <c r="I25" s="76"/>
    </row>
    <row r="26" spans="2:9" s="4" customFormat="1" ht="38.25" customHeight="1" x14ac:dyDescent="0.3">
      <c r="B26" s="72">
        <f t="shared" si="0"/>
        <v>15</v>
      </c>
      <c r="C26" s="192" t="s">
        <v>469</v>
      </c>
      <c r="D26" s="193"/>
      <c r="E26" s="194"/>
      <c r="F26" s="73"/>
      <c r="G26" s="74"/>
      <c r="H26" s="75"/>
      <c r="I26" s="76"/>
    </row>
    <row r="27" spans="2:9" s="4" customFormat="1" ht="28.5" customHeight="1" x14ac:dyDescent="0.3">
      <c r="B27" s="72">
        <f t="shared" si="0"/>
        <v>16</v>
      </c>
      <c r="C27" s="192" t="s">
        <v>470</v>
      </c>
      <c r="D27" s="193"/>
      <c r="E27" s="194"/>
      <c r="F27" s="73"/>
      <c r="G27" s="74"/>
      <c r="H27" s="75"/>
      <c r="I27" s="76"/>
    </row>
    <row r="28" spans="2:9" s="4" customFormat="1" ht="37.5" customHeight="1" x14ac:dyDescent="0.3">
      <c r="B28" s="72">
        <f t="shared" si="0"/>
        <v>17</v>
      </c>
      <c r="C28" s="199" t="s">
        <v>712</v>
      </c>
      <c r="D28" s="200"/>
      <c r="E28" s="201"/>
      <c r="F28" s="73"/>
      <c r="G28" s="74"/>
      <c r="H28" s="75"/>
      <c r="I28" s="76"/>
    </row>
    <row r="29" spans="2:9" s="4" customFormat="1" ht="30.75" customHeight="1" x14ac:dyDescent="0.3">
      <c r="B29" s="72">
        <f t="shared" si="0"/>
        <v>18</v>
      </c>
      <c r="C29" s="199"/>
      <c r="D29" s="200"/>
      <c r="E29" s="201"/>
      <c r="F29" s="73"/>
      <c r="G29" s="74"/>
      <c r="H29" s="75"/>
      <c r="I29" s="76"/>
    </row>
    <row r="30" spans="2:9" s="4" customFormat="1" ht="32.25" customHeight="1" x14ac:dyDescent="0.3">
      <c r="B30" s="72">
        <f t="shared" si="0"/>
        <v>19</v>
      </c>
      <c r="C30" s="199"/>
      <c r="D30" s="200"/>
      <c r="E30" s="201"/>
      <c r="F30" s="73"/>
      <c r="G30" s="74"/>
      <c r="H30" s="75"/>
      <c r="I30" s="76"/>
    </row>
    <row r="31" spans="2:9" s="4" customFormat="1" ht="32.25" customHeight="1" x14ac:dyDescent="0.3">
      <c r="B31" s="72">
        <f t="shared" si="0"/>
        <v>20</v>
      </c>
      <c r="C31" s="199"/>
      <c r="D31" s="200"/>
      <c r="E31" s="201"/>
      <c r="F31" s="73"/>
      <c r="G31" s="74"/>
      <c r="H31" s="75"/>
      <c r="I31" s="76"/>
    </row>
    <row r="32" spans="2:9" s="4" customFormat="1" ht="27" customHeight="1" x14ac:dyDescent="0.3">
      <c r="B32" s="72">
        <f t="shared" si="0"/>
        <v>21</v>
      </c>
      <c r="C32" s="199"/>
      <c r="D32" s="200"/>
      <c r="E32" s="201"/>
      <c r="F32" s="73"/>
      <c r="G32" s="74"/>
      <c r="H32" s="75"/>
      <c r="I32" s="76"/>
    </row>
    <row r="33" spans="2:9" s="4" customFormat="1" ht="51" customHeight="1" thickBot="1" x14ac:dyDescent="0.35">
      <c r="B33" s="78">
        <f t="shared" si="0"/>
        <v>22</v>
      </c>
      <c r="C33" s="202"/>
      <c r="D33" s="203"/>
      <c r="E33" s="204"/>
      <c r="F33" s="79"/>
      <c r="G33" s="80"/>
      <c r="H33" s="81"/>
      <c r="I33" s="82"/>
    </row>
    <row r="34" spans="2:9" s="12" customFormat="1" ht="27" customHeight="1" thickBot="1" x14ac:dyDescent="0.3">
      <c r="B34" s="205" t="s">
        <v>7</v>
      </c>
      <c r="C34" s="206"/>
      <c r="D34" s="206"/>
      <c r="E34" s="206" t="s">
        <v>189</v>
      </c>
      <c r="F34" s="206"/>
      <c r="G34" s="207"/>
      <c r="H34" s="207"/>
      <c r="I34" s="83" t="s">
        <v>8</v>
      </c>
    </row>
    <row r="35" spans="2:9" x14ac:dyDescent="0.25">
      <c r="B35" s="153"/>
      <c r="C35" s="154"/>
      <c r="D35" s="208"/>
      <c r="E35" s="154"/>
      <c r="F35" s="154"/>
      <c r="G35" s="154"/>
      <c r="H35" s="154"/>
      <c r="I35" s="159"/>
    </row>
    <row r="36" spans="2:9" x14ac:dyDescent="0.25">
      <c r="B36" s="155"/>
      <c r="C36" s="156"/>
      <c r="D36" s="156"/>
      <c r="E36" s="156"/>
      <c r="F36" s="156"/>
      <c r="G36" s="156"/>
      <c r="H36" s="156"/>
      <c r="I36" s="160"/>
    </row>
    <row r="37" spans="2:9" x14ac:dyDescent="0.25">
      <c r="B37" s="155"/>
      <c r="C37" s="156"/>
      <c r="D37" s="156"/>
      <c r="E37" s="156"/>
      <c r="F37" s="156"/>
      <c r="G37" s="156"/>
      <c r="H37" s="156"/>
      <c r="I37" s="160"/>
    </row>
    <row r="38" spans="2:9" x14ac:dyDescent="0.25">
      <c r="B38" s="155"/>
      <c r="C38" s="156"/>
      <c r="D38" s="156"/>
      <c r="E38" s="156"/>
      <c r="F38" s="156"/>
      <c r="G38" s="156"/>
      <c r="H38" s="156"/>
      <c r="I38" s="160"/>
    </row>
    <row r="39" spans="2:9" ht="59.25" customHeight="1" thickBot="1" x14ac:dyDescent="0.3">
      <c r="B39" s="157"/>
      <c r="C39" s="158"/>
      <c r="D39" s="158"/>
      <c r="E39" s="158"/>
      <c r="F39" s="158"/>
      <c r="G39" s="158"/>
      <c r="H39" s="158"/>
      <c r="I39" s="161"/>
    </row>
  </sheetData>
  <sheetProtection selectLockedCells="1" selectUnlockedCells="1"/>
  <mergeCells count="35">
    <mergeCell ref="B34:D34"/>
    <mergeCell ref="E34:H34"/>
    <mergeCell ref="B35:D39"/>
    <mergeCell ref="E35:H39"/>
    <mergeCell ref="I35:I39"/>
    <mergeCell ref="C33:E33"/>
    <mergeCell ref="C22:E22"/>
    <mergeCell ref="C23:E23"/>
    <mergeCell ref="C24:E24"/>
    <mergeCell ref="C25:E25"/>
    <mergeCell ref="C26:E26"/>
    <mergeCell ref="C27:E27"/>
    <mergeCell ref="C28:E28"/>
    <mergeCell ref="C29:E29"/>
    <mergeCell ref="C30:E30"/>
    <mergeCell ref="C31:E31"/>
    <mergeCell ref="C32:E32"/>
    <mergeCell ref="C21:E21"/>
    <mergeCell ref="G10:H10"/>
    <mergeCell ref="C11:E11"/>
    <mergeCell ref="C12:E12"/>
    <mergeCell ref="C13:E13"/>
    <mergeCell ref="C14:E14"/>
    <mergeCell ref="C15:E15"/>
    <mergeCell ref="C16:E16"/>
    <mergeCell ref="C17:E17"/>
    <mergeCell ref="C18:E18"/>
    <mergeCell ref="C19:E19"/>
    <mergeCell ref="C20:E20"/>
    <mergeCell ref="B3:C5"/>
    <mergeCell ref="D3:H5"/>
    <mergeCell ref="B6:C6"/>
    <mergeCell ref="D6:I6"/>
    <mergeCell ref="B7:C7"/>
    <mergeCell ref="D7:I7"/>
  </mergeCells>
  <conditionalFormatting sqref="F12:F33">
    <cfRule type="cellIs" dxfId="139" priority="1" operator="equal">
      <formula>3</formula>
    </cfRule>
    <cfRule type="cellIs" dxfId="138"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rgb="FFFFC000"/>
    <pageSetUpPr fitToPage="1"/>
  </sheetPr>
  <dimension ref="B1:I39"/>
  <sheetViews>
    <sheetView view="pageBreakPreview" zoomScale="60" zoomScaleNormal="60" zoomScalePageLayoutView="70" workbookViewId="0">
      <selection activeCell="G16" sqref="G16"/>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9.7109375" style="1" customWidth="1"/>
    <col min="7" max="7" width="5.7109375" style="1" customWidth="1"/>
    <col min="8" max="8" width="6.28515625" style="1" customWidth="1"/>
    <col min="9" max="9" width="55.28515625" style="1" customWidth="1"/>
    <col min="10" max="10" width="6.5703125" style="1" customWidth="1"/>
    <col min="11" max="12" width="11.42578125" style="1" customWidth="1"/>
    <col min="13" max="13" width="8.85546875" style="1" customWidth="1"/>
    <col min="14" max="16" width="11.42578125" style="1" customWidth="1"/>
    <col min="17" max="17" width="2.140625" style="1" customWidth="1"/>
    <col min="18" max="16384" width="11.42578125" style="1"/>
  </cols>
  <sheetData>
    <row r="1" spans="2:9" ht="1.5" customHeight="1" x14ac:dyDescent="0.25"/>
    <row r="2" spans="2:9" ht="1.5" customHeight="1" thickBot="1" x14ac:dyDescent="0.3"/>
    <row r="3" spans="2:9" ht="19.7" customHeight="1" thickBot="1" x14ac:dyDescent="0.3">
      <c r="B3" s="178"/>
      <c r="C3" s="178"/>
      <c r="D3" s="179" t="s">
        <v>471</v>
      </c>
      <c r="E3" s="180"/>
      <c r="F3" s="180"/>
      <c r="G3" s="180"/>
      <c r="H3" s="181"/>
      <c r="I3" s="58" t="s">
        <v>186</v>
      </c>
    </row>
    <row r="4" spans="2:9" ht="19.7" customHeight="1" thickBot="1" x14ac:dyDescent="0.3">
      <c r="B4" s="178"/>
      <c r="C4" s="178"/>
      <c r="D4" s="182"/>
      <c r="E4" s="183"/>
      <c r="F4" s="183"/>
      <c r="G4" s="183"/>
      <c r="H4" s="184"/>
      <c r="I4" s="59" t="str">
        <f>Date!B2</f>
        <v>Week ... 2025</v>
      </c>
    </row>
    <row r="5" spans="2:9" ht="19.7" customHeight="1" thickBot="1" x14ac:dyDescent="0.3">
      <c r="B5" s="178"/>
      <c r="C5" s="178"/>
      <c r="D5" s="185"/>
      <c r="E5" s="186"/>
      <c r="F5" s="186"/>
      <c r="G5" s="186"/>
      <c r="H5" s="187"/>
      <c r="I5" s="60" t="s">
        <v>187</v>
      </c>
    </row>
    <row r="6" spans="2:9" ht="27" thickBot="1" x14ac:dyDescent="0.3">
      <c r="B6" s="167" t="s">
        <v>188</v>
      </c>
      <c r="C6" s="168"/>
      <c r="D6" s="188" t="s">
        <v>12</v>
      </c>
      <c r="E6" s="189"/>
      <c r="F6" s="189"/>
      <c r="G6" s="189"/>
      <c r="H6" s="189"/>
      <c r="I6" s="190"/>
    </row>
    <row r="7" spans="2:9" ht="24" customHeight="1" thickBot="1" x14ac:dyDescent="0.3">
      <c r="B7" s="167" t="s">
        <v>170</v>
      </c>
      <c r="C7" s="168"/>
      <c r="D7" s="169" t="s">
        <v>492</v>
      </c>
      <c r="E7" s="170"/>
      <c r="F7" s="170"/>
      <c r="G7" s="170"/>
      <c r="H7" s="170"/>
      <c r="I7" s="191"/>
    </row>
    <row r="8" spans="2:9" ht="4.5" customHeight="1" thickBot="1" x14ac:dyDescent="0.3">
      <c r="B8" s="2"/>
      <c r="C8" s="2"/>
      <c r="D8" s="3"/>
      <c r="E8" s="3"/>
      <c r="F8" s="3"/>
      <c r="G8" s="3"/>
      <c r="H8" s="3"/>
      <c r="I8" s="3"/>
    </row>
    <row r="9" spans="2:9" ht="15.75" hidden="1" thickBot="1" x14ac:dyDescent="0.3"/>
    <row r="10" spans="2:9" ht="20.25" customHeight="1" thickBot="1" x14ac:dyDescent="0.35">
      <c r="B10" s="61"/>
      <c r="C10" s="61"/>
      <c r="D10" s="61"/>
      <c r="E10" s="61"/>
      <c r="F10" s="61"/>
      <c r="G10" s="195" t="s">
        <v>0</v>
      </c>
      <c r="H10" s="196"/>
      <c r="I10" s="61"/>
    </row>
    <row r="11" spans="2:9" s="4" customFormat="1" ht="24" customHeight="1" thickBot="1" x14ac:dyDescent="0.3">
      <c r="B11" s="62" t="s">
        <v>1</v>
      </c>
      <c r="C11" s="197" t="s">
        <v>2</v>
      </c>
      <c r="D11" s="197"/>
      <c r="E11" s="198"/>
      <c r="F11" s="63" t="s">
        <v>3</v>
      </c>
      <c r="G11" s="64" t="s">
        <v>4</v>
      </c>
      <c r="H11" s="65" t="s">
        <v>5</v>
      </c>
      <c r="I11" s="66" t="s">
        <v>6</v>
      </c>
    </row>
    <row r="12" spans="2:9" s="4" customFormat="1" ht="48.75" customHeight="1" thickBot="1" x14ac:dyDescent="0.35">
      <c r="B12" s="67">
        <v>1</v>
      </c>
      <c r="C12" s="209" t="s">
        <v>199</v>
      </c>
      <c r="D12" s="210"/>
      <c r="E12" s="211"/>
      <c r="F12" s="68"/>
      <c r="G12" s="69"/>
      <c r="H12" s="70"/>
      <c r="I12" s="71"/>
    </row>
    <row r="13" spans="2:9" s="4" customFormat="1" ht="42" customHeight="1" x14ac:dyDescent="0.3">
      <c r="B13" s="72">
        <f>B12+1</f>
        <v>2</v>
      </c>
      <c r="C13" s="209" t="s">
        <v>200</v>
      </c>
      <c r="D13" s="210"/>
      <c r="E13" s="211"/>
      <c r="F13" s="73"/>
      <c r="G13" s="74"/>
      <c r="H13" s="75"/>
      <c r="I13" s="76"/>
    </row>
    <row r="14" spans="2:9" s="4" customFormat="1" ht="54.75" customHeight="1" x14ac:dyDescent="0.3">
      <c r="B14" s="72">
        <f t="shared" ref="B14:B33" si="0">B13+1</f>
        <v>3</v>
      </c>
      <c r="C14" s="199" t="s">
        <v>201</v>
      </c>
      <c r="D14" s="200"/>
      <c r="E14" s="201"/>
      <c r="F14" s="73"/>
      <c r="G14" s="74"/>
      <c r="H14" s="75"/>
      <c r="I14" s="76"/>
    </row>
    <row r="15" spans="2:9" s="4" customFormat="1" ht="41.25" customHeight="1" x14ac:dyDescent="0.3">
      <c r="B15" s="72">
        <f t="shared" si="0"/>
        <v>4</v>
      </c>
      <c r="C15" s="199" t="s">
        <v>202</v>
      </c>
      <c r="D15" s="200"/>
      <c r="E15" s="201"/>
      <c r="F15" s="73"/>
      <c r="G15" s="74"/>
      <c r="H15" s="75"/>
      <c r="I15" s="76"/>
    </row>
    <row r="16" spans="2:9" s="4" customFormat="1" ht="55.5" customHeight="1" x14ac:dyDescent="0.3">
      <c r="B16" s="72">
        <f t="shared" si="0"/>
        <v>5</v>
      </c>
      <c r="C16" s="192" t="s">
        <v>203</v>
      </c>
      <c r="D16" s="193"/>
      <c r="E16" s="194"/>
      <c r="F16" s="73"/>
      <c r="G16" s="74"/>
      <c r="H16" s="75"/>
      <c r="I16" s="76"/>
    </row>
    <row r="17" spans="2:9" s="4" customFormat="1" ht="50.25" customHeight="1" x14ac:dyDescent="0.3">
      <c r="B17" s="72">
        <f t="shared" si="0"/>
        <v>6</v>
      </c>
      <c r="C17" s="199" t="s">
        <v>204</v>
      </c>
      <c r="D17" s="200"/>
      <c r="E17" s="201"/>
      <c r="F17" s="73"/>
      <c r="G17" s="74"/>
      <c r="H17" s="75"/>
      <c r="I17" s="76"/>
    </row>
    <row r="18" spans="2:9" s="4" customFormat="1" ht="54" customHeight="1" x14ac:dyDescent="0.3">
      <c r="B18" s="72">
        <f t="shared" si="0"/>
        <v>7</v>
      </c>
      <c r="C18" s="192" t="s">
        <v>205</v>
      </c>
      <c r="D18" s="193"/>
      <c r="E18" s="194"/>
      <c r="F18" s="73"/>
      <c r="G18" s="74"/>
      <c r="H18" s="75"/>
      <c r="I18" s="76"/>
    </row>
    <row r="19" spans="2:9" s="4" customFormat="1" ht="42" customHeight="1" x14ac:dyDescent="0.3">
      <c r="B19" s="72">
        <f t="shared" si="0"/>
        <v>8</v>
      </c>
      <c r="C19" s="192" t="s">
        <v>206</v>
      </c>
      <c r="D19" s="193"/>
      <c r="E19" s="194"/>
      <c r="F19" s="73"/>
      <c r="G19" s="74"/>
      <c r="H19" s="75"/>
      <c r="I19" s="77"/>
    </row>
    <row r="20" spans="2:9" s="4" customFormat="1" ht="42" customHeight="1" x14ac:dyDescent="0.3">
      <c r="B20" s="72">
        <f t="shared" si="0"/>
        <v>9</v>
      </c>
      <c r="C20" s="199" t="s">
        <v>451</v>
      </c>
      <c r="D20" s="200"/>
      <c r="E20" s="201"/>
      <c r="F20" s="73"/>
      <c r="G20" s="74"/>
      <c r="H20" s="75"/>
      <c r="I20" s="76"/>
    </row>
    <row r="21" spans="2:9" s="4" customFormat="1" ht="47.25" customHeight="1" x14ac:dyDescent="0.3">
      <c r="B21" s="72">
        <f t="shared" si="0"/>
        <v>10</v>
      </c>
      <c r="C21" s="199" t="s">
        <v>452</v>
      </c>
      <c r="D21" s="200"/>
      <c r="E21" s="201"/>
      <c r="F21" s="73"/>
      <c r="G21" s="74"/>
      <c r="H21" s="75"/>
      <c r="I21" s="76"/>
    </row>
    <row r="22" spans="2:9" s="4" customFormat="1" ht="47.25" customHeight="1" x14ac:dyDescent="0.3">
      <c r="B22" s="72">
        <f t="shared" si="0"/>
        <v>11</v>
      </c>
      <c r="C22" s="192" t="s">
        <v>453</v>
      </c>
      <c r="D22" s="193"/>
      <c r="E22" s="194"/>
      <c r="F22" s="73"/>
      <c r="G22" s="74"/>
      <c r="H22" s="75"/>
      <c r="I22" s="76"/>
    </row>
    <row r="23" spans="2:9" s="4" customFormat="1" ht="47.25" customHeight="1" x14ac:dyDescent="0.3">
      <c r="B23" s="72">
        <f t="shared" si="0"/>
        <v>12</v>
      </c>
      <c r="C23" s="192" t="s">
        <v>454</v>
      </c>
      <c r="D23" s="193"/>
      <c r="E23" s="194"/>
      <c r="F23" s="73"/>
      <c r="G23" s="74"/>
      <c r="H23" s="75"/>
      <c r="I23" s="76"/>
    </row>
    <row r="24" spans="2:9" s="4" customFormat="1" ht="47.25" customHeight="1" x14ac:dyDescent="0.3">
      <c r="B24" s="72">
        <f t="shared" si="0"/>
        <v>13</v>
      </c>
      <c r="C24" s="192" t="s">
        <v>455</v>
      </c>
      <c r="D24" s="193"/>
      <c r="E24" s="194"/>
      <c r="F24" s="73"/>
      <c r="G24" s="74"/>
      <c r="H24" s="75"/>
      <c r="I24" s="76"/>
    </row>
    <row r="25" spans="2:9" s="4" customFormat="1" ht="47.25" customHeight="1" x14ac:dyDescent="0.3">
      <c r="B25" s="72">
        <f t="shared" si="0"/>
        <v>14</v>
      </c>
      <c r="C25" s="192" t="s">
        <v>456</v>
      </c>
      <c r="D25" s="193"/>
      <c r="E25" s="194"/>
      <c r="F25" s="73"/>
      <c r="G25" s="74"/>
      <c r="H25" s="75"/>
      <c r="I25" s="76"/>
    </row>
    <row r="26" spans="2:9" s="4" customFormat="1" ht="44.25" customHeight="1" x14ac:dyDescent="0.3">
      <c r="B26" s="72">
        <f t="shared" si="0"/>
        <v>15</v>
      </c>
      <c r="C26" s="192" t="s">
        <v>457</v>
      </c>
      <c r="D26" s="193"/>
      <c r="E26" s="194"/>
      <c r="F26" s="73"/>
      <c r="G26" s="74"/>
      <c r="H26" s="75"/>
      <c r="I26" s="76"/>
    </row>
    <row r="27" spans="2:9" s="4" customFormat="1" ht="28.5" customHeight="1" x14ac:dyDescent="0.3">
      <c r="B27" s="72">
        <f t="shared" si="0"/>
        <v>16</v>
      </c>
      <c r="C27" s="192" t="s">
        <v>458</v>
      </c>
      <c r="D27" s="193"/>
      <c r="E27" s="194"/>
      <c r="F27" s="73"/>
      <c r="G27" s="74"/>
      <c r="H27" s="75"/>
      <c r="I27" s="76"/>
    </row>
    <row r="28" spans="2:9" s="4" customFormat="1" ht="65.25" customHeight="1" x14ac:dyDescent="0.3">
      <c r="B28" s="72">
        <f t="shared" si="0"/>
        <v>17</v>
      </c>
      <c r="C28" s="192" t="s">
        <v>663</v>
      </c>
      <c r="D28" s="193"/>
      <c r="E28" s="194"/>
      <c r="F28" s="73"/>
      <c r="G28" s="74"/>
      <c r="H28" s="75"/>
      <c r="I28" s="76"/>
    </row>
    <row r="29" spans="2:9" s="4" customFormat="1" ht="30.75" customHeight="1" x14ac:dyDescent="0.3">
      <c r="B29" s="72">
        <f t="shared" si="0"/>
        <v>18</v>
      </c>
      <c r="C29" s="199"/>
      <c r="D29" s="200"/>
      <c r="E29" s="201"/>
      <c r="F29" s="73"/>
      <c r="G29" s="74"/>
      <c r="H29" s="75"/>
      <c r="I29" s="76"/>
    </row>
    <row r="30" spans="2:9" s="4" customFormat="1" ht="32.25" customHeight="1" x14ac:dyDescent="0.3">
      <c r="B30" s="72">
        <f t="shared" si="0"/>
        <v>19</v>
      </c>
      <c r="C30" s="199"/>
      <c r="D30" s="200"/>
      <c r="E30" s="201"/>
      <c r="F30" s="73"/>
      <c r="G30" s="74"/>
      <c r="H30" s="75"/>
      <c r="I30" s="76"/>
    </row>
    <row r="31" spans="2:9" s="4" customFormat="1" ht="32.25" customHeight="1" x14ac:dyDescent="0.3">
      <c r="B31" s="72">
        <f t="shared" si="0"/>
        <v>20</v>
      </c>
      <c r="C31" s="199"/>
      <c r="D31" s="200"/>
      <c r="E31" s="201"/>
      <c r="F31" s="73"/>
      <c r="G31" s="74"/>
      <c r="H31" s="75"/>
      <c r="I31" s="76"/>
    </row>
    <row r="32" spans="2:9" s="4" customFormat="1" ht="27" customHeight="1" x14ac:dyDescent="0.3">
      <c r="B32" s="72">
        <f t="shared" si="0"/>
        <v>21</v>
      </c>
      <c r="C32" s="199"/>
      <c r="D32" s="200"/>
      <c r="E32" s="201"/>
      <c r="F32" s="73"/>
      <c r="G32" s="74"/>
      <c r="H32" s="75"/>
      <c r="I32" s="76"/>
    </row>
    <row r="33" spans="2:9" s="4" customFormat="1" ht="51" customHeight="1" thickBot="1" x14ac:dyDescent="0.35">
      <c r="B33" s="78">
        <f t="shared" si="0"/>
        <v>22</v>
      </c>
      <c r="C33" s="202"/>
      <c r="D33" s="203"/>
      <c r="E33" s="204"/>
      <c r="F33" s="79"/>
      <c r="G33" s="80"/>
      <c r="H33" s="81"/>
      <c r="I33" s="82"/>
    </row>
    <row r="34" spans="2:9" s="12" customFormat="1" ht="27" customHeight="1" thickBot="1" x14ac:dyDescent="0.3">
      <c r="B34" s="205" t="s">
        <v>7</v>
      </c>
      <c r="C34" s="206"/>
      <c r="D34" s="206"/>
      <c r="E34" s="206" t="s">
        <v>189</v>
      </c>
      <c r="F34" s="206"/>
      <c r="G34" s="207"/>
      <c r="H34" s="207"/>
      <c r="I34" s="83" t="s">
        <v>8</v>
      </c>
    </row>
    <row r="35" spans="2:9" x14ac:dyDescent="0.25">
      <c r="B35" s="153"/>
      <c r="C35" s="154"/>
      <c r="D35" s="208"/>
      <c r="E35" s="154"/>
      <c r="F35" s="154"/>
      <c r="G35" s="154"/>
      <c r="H35" s="154"/>
      <c r="I35" s="159"/>
    </row>
    <row r="36" spans="2:9" x14ac:dyDescent="0.25">
      <c r="B36" s="155"/>
      <c r="C36" s="156"/>
      <c r="D36" s="156"/>
      <c r="E36" s="156"/>
      <c r="F36" s="156"/>
      <c r="G36" s="156"/>
      <c r="H36" s="156"/>
      <c r="I36" s="160"/>
    </row>
    <row r="37" spans="2:9" x14ac:dyDescent="0.25">
      <c r="B37" s="155"/>
      <c r="C37" s="156"/>
      <c r="D37" s="156"/>
      <c r="E37" s="156"/>
      <c r="F37" s="156"/>
      <c r="G37" s="156"/>
      <c r="H37" s="156"/>
      <c r="I37" s="160"/>
    </row>
    <row r="38" spans="2:9" x14ac:dyDescent="0.25">
      <c r="B38" s="155"/>
      <c r="C38" s="156"/>
      <c r="D38" s="156"/>
      <c r="E38" s="156"/>
      <c r="F38" s="156"/>
      <c r="G38" s="156"/>
      <c r="H38" s="156"/>
      <c r="I38" s="160"/>
    </row>
    <row r="39" spans="2:9" ht="59.25" customHeight="1" thickBot="1" x14ac:dyDescent="0.3">
      <c r="B39" s="157"/>
      <c r="C39" s="158"/>
      <c r="D39" s="158"/>
      <c r="E39" s="158"/>
      <c r="F39" s="158"/>
      <c r="G39" s="158"/>
      <c r="H39" s="158"/>
      <c r="I39" s="161"/>
    </row>
  </sheetData>
  <sheetProtection selectLockedCells="1" selectUnlockedCells="1"/>
  <mergeCells count="35">
    <mergeCell ref="B34:D34"/>
    <mergeCell ref="E34:H34"/>
    <mergeCell ref="B35:D39"/>
    <mergeCell ref="E35:H39"/>
    <mergeCell ref="I35:I39"/>
    <mergeCell ref="C33:E33"/>
    <mergeCell ref="C22:E22"/>
    <mergeCell ref="C23:E23"/>
    <mergeCell ref="C24:E24"/>
    <mergeCell ref="C25:E25"/>
    <mergeCell ref="C26:E26"/>
    <mergeCell ref="C27:E27"/>
    <mergeCell ref="C28:E28"/>
    <mergeCell ref="C29:E29"/>
    <mergeCell ref="C30:E30"/>
    <mergeCell ref="C31:E31"/>
    <mergeCell ref="C32:E32"/>
    <mergeCell ref="C21:E21"/>
    <mergeCell ref="G10:H10"/>
    <mergeCell ref="C11:E11"/>
    <mergeCell ref="C12:E12"/>
    <mergeCell ref="C13:E13"/>
    <mergeCell ref="C14:E14"/>
    <mergeCell ref="C15:E15"/>
    <mergeCell ref="C16:E16"/>
    <mergeCell ref="C17:E17"/>
    <mergeCell ref="C18:E18"/>
    <mergeCell ref="C19:E19"/>
    <mergeCell ref="C20:E20"/>
    <mergeCell ref="B3:C5"/>
    <mergeCell ref="D3:H5"/>
    <mergeCell ref="B6:C6"/>
    <mergeCell ref="D6:I6"/>
    <mergeCell ref="B7:C7"/>
    <mergeCell ref="D7:I7"/>
  </mergeCells>
  <conditionalFormatting sqref="F12:F33">
    <cfRule type="cellIs" dxfId="137" priority="1" operator="equal">
      <formula>3</formula>
    </cfRule>
    <cfRule type="cellIs" dxfId="136"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7"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tabColor rgb="FFFFC000"/>
    <pageSetUpPr fitToPage="1"/>
  </sheetPr>
  <dimension ref="B1:I39"/>
  <sheetViews>
    <sheetView view="pageBreakPreview" topLeftCell="A4" zoomScale="60" zoomScaleNormal="60" zoomScalePageLayoutView="70" workbookViewId="0">
      <selection activeCell="I13" sqref="I13"/>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9.7109375" style="1" customWidth="1"/>
    <col min="7" max="7" width="5.7109375" style="1" customWidth="1"/>
    <col min="8" max="8" width="6.28515625" style="1" customWidth="1"/>
    <col min="9" max="9" width="55.28515625" style="1" customWidth="1"/>
    <col min="10" max="10" width="6.5703125" style="1" customWidth="1"/>
    <col min="11" max="12" width="11.42578125" style="1" customWidth="1"/>
    <col min="13" max="13" width="8.85546875" style="1" customWidth="1"/>
    <col min="14" max="16" width="11.42578125" style="1" customWidth="1"/>
    <col min="17" max="17" width="2.140625" style="1" customWidth="1"/>
    <col min="18" max="16384" width="11.42578125" style="1"/>
  </cols>
  <sheetData>
    <row r="1" spans="2:9" ht="1.5" customHeight="1" x14ac:dyDescent="0.25"/>
    <row r="2" spans="2:9" ht="1.5" customHeight="1" thickBot="1" x14ac:dyDescent="0.3"/>
    <row r="3" spans="2:9" ht="19.7" customHeight="1" thickBot="1" x14ac:dyDescent="0.3">
      <c r="B3" s="178"/>
      <c r="C3" s="178"/>
      <c r="D3" s="179" t="s">
        <v>471</v>
      </c>
      <c r="E3" s="180"/>
      <c r="F3" s="180"/>
      <c r="G3" s="180"/>
      <c r="H3" s="181"/>
      <c r="I3" s="58" t="s">
        <v>186</v>
      </c>
    </row>
    <row r="4" spans="2:9" ht="19.7" customHeight="1" thickBot="1" x14ac:dyDescent="0.3">
      <c r="B4" s="178"/>
      <c r="C4" s="178"/>
      <c r="D4" s="182"/>
      <c r="E4" s="183"/>
      <c r="F4" s="183"/>
      <c r="G4" s="183"/>
      <c r="H4" s="184"/>
      <c r="I4" s="59" t="str">
        <f>Date!B2</f>
        <v>Week ... 2025</v>
      </c>
    </row>
    <row r="5" spans="2:9" ht="19.7" customHeight="1" thickBot="1" x14ac:dyDescent="0.3">
      <c r="B5" s="178"/>
      <c r="C5" s="178"/>
      <c r="D5" s="185"/>
      <c r="E5" s="186"/>
      <c r="F5" s="186"/>
      <c r="G5" s="186"/>
      <c r="H5" s="187"/>
      <c r="I5" s="60" t="s">
        <v>187</v>
      </c>
    </row>
    <row r="6" spans="2:9" ht="27" thickBot="1" x14ac:dyDescent="0.3">
      <c r="B6" s="167" t="s">
        <v>188</v>
      </c>
      <c r="C6" s="168"/>
      <c r="D6" s="188" t="s">
        <v>22</v>
      </c>
      <c r="E6" s="189"/>
      <c r="F6" s="189"/>
      <c r="G6" s="189"/>
      <c r="H6" s="189"/>
      <c r="I6" s="190"/>
    </row>
    <row r="7" spans="2:9" ht="24" customHeight="1" thickBot="1" x14ac:dyDescent="0.3">
      <c r="B7" s="167" t="s">
        <v>170</v>
      </c>
      <c r="C7" s="168"/>
      <c r="D7" s="169" t="s">
        <v>492</v>
      </c>
      <c r="E7" s="170"/>
      <c r="F7" s="170"/>
      <c r="G7" s="170"/>
      <c r="H7" s="170"/>
      <c r="I7" s="191"/>
    </row>
    <row r="8" spans="2:9" ht="4.5" customHeight="1" thickBot="1" x14ac:dyDescent="0.3">
      <c r="B8" s="2"/>
      <c r="C8" s="2"/>
      <c r="D8" s="3"/>
      <c r="E8" s="3"/>
      <c r="F8" s="3"/>
      <c r="G8" s="3"/>
      <c r="H8" s="3"/>
      <c r="I8" s="3"/>
    </row>
    <row r="9" spans="2:9" ht="15.75" hidden="1" thickBot="1" x14ac:dyDescent="0.3"/>
    <row r="10" spans="2:9" ht="20.25" customHeight="1" thickBot="1" x14ac:dyDescent="0.35">
      <c r="B10" s="61"/>
      <c r="C10" s="61"/>
      <c r="D10" s="61"/>
      <c r="E10" s="61"/>
      <c r="F10" s="61"/>
      <c r="G10" s="195" t="s">
        <v>0</v>
      </c>
      <c r="H10" s="196"/>
      <c r="I10" s="61"/>
    </row>
    <row r="11" spans="2:9" s="4" customFormat="1" ht="24" customHeight="1" thickBot="1" x14ac:dyDescent="0.3">
      <c r="B11" s="62" t="s">
        <v>1</v>
      </c>
      <c r="C11" s="197" t="s">
        <v>2</v>
      </c>
      <c r="D11" s="197"/>
      <c r="E11" s="198"/>
      <c r="F11" s="63" t="s">
        <v>3</v>
      </c>
      <c r="G11" s="64" t="s">
        <v>4</v>
      </c>
      <c r="H11" s="65" t="s">
        <v>5</v>
      </c>
      <c r="I11" s="66" t="s">
        <v>6</v>
      </c>
    </row>
    <row r="12" spans="2:9" s="4" customFormat="1" ht="39" customHeight="1" x14ac:dyDescent="0.3">
      <c r="B12" s="67">
        <v>1</v>
      </c>
      <c r="C12" s="199" t="s">
        <v>202</v>
      </c>
      <c r="D12" s="200"/>
      <c r="E12" s="201"/>
      <c r="F12" s="68"/>
      <c r="G12" s="69"/>
      <c r="H12" s="70"/>
      <c r="I12" s="71"/>
    </row>
    <row r="13" spans="2:9" s="4" customFormat="1" ht="46.5" customHeight="1" x14ac:dyDescent="0.3">
      <c r="B13" s="72">
        <f>B12+1</f>
        <v>2</v>
      </c>
      <c r="C13" s="192" t="s">
        <v>203</v>
      </c>
      <c r="D13" s="193"/>
      <c r="E13" s="194"/>
      <c r="F13" s="73"/>
      <c r="G13" s="74"/>
      <c r="H13" s="75"/>
      <c r="I13" s="76"/>
    </row>
    <row r="14" spans="2:9" s="4" customFormat="1" ht="54.75" customHeight="1" x14ac:dyDescent="0.3">
      <c r="B14" s="72">
        <f t="shared" ref="B14:B33" si="0">B13+1</f>
        <v>3</v>
      </c>
      <c r="C14" s="199" t="s">
        <v>204</v>
      </c>
      <c r="D14" s="200"/>
      <c r="E14" s="201"/>
      <c r="F14" s="73"/>
      <c r="G14" s="74"/>
      <c r="H14" s="75"/>
      <c r="I14" s="76"/>
    </row>
    <row r="15" spans="2:9" s="4" customFormat="1" ht="43.5" customHeight="1" x14ac:dyDescent="0.3">
      <c r="B15" s="72">
        <f t="shared" si="0"/>
        <v>4</v>
      </c>
      <c r="C15" s="192" t="s">
        <v>205</v>
      </c>
      <c r="D15" s="193"/>
      <c r="E15" s="194"/>
      <c r="F15" s="73"/>
      <c r="G15" s="74"/>
      <c r="H15" s="75"/>
      <c r="I15" s="76"/>
    </row>
    <row r="16" spans="2:9" s="4" customFormat="1" ht="46.5" customHeight="1" x14ac:dyDescent="0.3">
      <c r="B16" s="72">
        <f t="shared" si="0"/>
        <v>5</v>
      </c>
      <c r="C16" s="192" t="s">
        <v>207</v>
      </c>
      <c r="D16" s="193"/>
      <c r="E16" s="194"/>
      <c r="F16" s="73"/>
      <c r="G16" s="74"/>
      <c r="H16" s="75"/>
      <c r="I16" s="76"/>
    </row>
    <row r="17" spans="2:9" s="4" customFormat="1" ht="39" customHeight="1" x14ac:dyDescent="0.3">
      <c r="B17" s="72">
        <f t="shared" si="0"/>
        <v>6</v>
      </c>
      <c r="C17" s="199" t="s">
        <v>208</v>
      </c>
      <c r="D17" s="200"/>
      <c r="E17" s="201"/>
      <c r="F17" s="73"/>
      <c r="G17" s="74"/>
      <c r="H17" s="75"/>
      <c r="I17" s="76"/>
    </row>
    <row r="18" spans="2:9" s="4" customFormat="1" ht="40.5" customHeight="1" x14ac:dyDescent="0.3">
      <c r="B18" s="72">
        <f t="shared" si="0"/>
        <v>7</v>
      </c>
      <c r="C18" s="192" t="s">
        <v>209</v>
      </c>
      <c r="D18" s="193"/>
      <c r="E18" s="194"/>
      <c r="F18" s="73"/>
      <c r="G18" s="74"/>
      <c r="H18" s="75"/>
      <c r="I18" s="76"/>
    </row>
    <row r="19" spans="2:9" s="4" customFormat="1" ht="39" customHeight="1" x14ac:dyDescent="0.3">
      <c r="B19" s="72">
        <f t="shared" si="0"/>
        <v>8</v>
      </c>
      <c r="C19" s="192" t="s">
        <v>459</v>
      </c>
      <c r="D19" s="193"/>
      <c r="E19" s="194"/>
      <c r="F19" s="73"/>
      <c r="G19" s="74"/>
      <c r="H19" s="75"/>
      <c r="I19" s="77"/>
    </row>
    <row r="20" spans="2:9" s="4" customFormat="1" ht="39" customHeight="1" x14ac:dyDescent="0.3">
      <c r="B20" s="72">
        <f t="shared" si="0"/>
        <v>9</v>
      </c>
      <c r="C20" s="199" t="s">
        <v>458</v>
      </c>
      <c r="D20" s="200"/>
      <c r="E20" s="201"/>
      <c r="F20" s="73"/>
      <c r="G20" s="74"/>
      <c r="H20" s="75"/>
      <c r="I20" s="76"/>
    </row>
    <row r="21" spans="2:9" s="4" customFormat="1" ht="39.75" customHeight="1" x14ac:dyDescent="0.3">
      <c r="B21" s="72">
        <f t="shared" si="0"/>
        <v>10</v>
      </c>
      <c r="C21" s="199" t="s">
        <v>463</v>
      </c>
      <c r="D21" s="200"/>
      <c r="E21" s="201"/>
      <c r="F21" s="73"/>
      <c r="G21" s="74"/>
      <c r="H21" s="75"/>
      <c r="I21" s="76"/>
    </row>
    <row r="22" spans="2:9" s="4" customFormat="1" ht="42" customHeight="1" x14ac:dyDescent="0.3">
      <c r="B22" s="72">
        <f t="shared" si="0"/>
        <v>11</v>
      </c>
      <c r="C22" s="192" t="s">
        <v>460</v>
      </c>
      <c r="D22" s="193"/>
      <c r="E22" s="194"/>
      <c r="F22" s="73"/>
      <c r="G22" s="74"/>
      <c r="H22" s="75"/>
      <c r="I22" s="76"/>
    </row>
    <row r="23" spans="2:9" s="4" customFormat="1" ht="42" customHeight="1" x14ac:dyDescent="0.3">
      <c r="B23" s="72">
        <f t="shared" si="0"/>
        <v>12</v>
      </c>
      <c r="C23" s="192" t="s">
        <v>461</v>
      </c>
      <c r="D23" s="193"/>
      <c r="E23" s="194"/>
      <c r="F23" s="73"/>
      <c r="G23" s="74"/>
      <c r="H23" s="75"/>
      <c r="I23" s="76"/>
    </row>
    <row r="24" spans="2:9" s="4" customFormat="1" ht="38.25" customHeight="1" x14ac:dyDescent="0.3">
      <c r="B24" s="72">
        <f t="shared" si="0"/>
        <v>13</v>
      </c>
      <c r="C24" s="192" t="s">
        <v>462</v>
      </c>
      <c r="D24" s="193"/>
      <c r="E24" s="194"/>
      <c r="F24" s="73"/>
      <c r="G24" s="74"/>
      <c r="H24" s="75"/>
      <c r="I24" s="76"/>
    </row>
    <row r="25" spans="2:9" s="4" customFormat="1" ht="32.25" customHeight="1" x14ac:dyDescent="0.3">
      <c r="B25" s="72">
        <f t="shared" si="0"/>
        <v>14</v>
      </c>
      <c r="C25" s="192" t="s">
        <v>464</v>
      </c>
      <c r="D25" s="193"/>
      <c r="E25" s="194"/>
      <c r="F25" s="73"/>
      <c r="G25" s="74"/>
      <c r="H25" s="75"/>
      <c r="I25" s="76"/>
    </row>
    <row r="26" spans="2:9" s="4" customFormat="1" ht="58.5" customHeight="1" x14ac:dyDescent="0.3">
      <c r="B26" s="72">
        <f t="shared" si="0"/>
        <v>15</v>
      </c>
      <c r="C26" s="192" t="s">
        <v>664</v>
      </c>
      <c r="D26" s="193"/>
      <c r="E26" s="194"/>
      <c r="F26" s="73"/>
      <c r="G26" s="74"/>
      <c r="H26" s="75"/>
      <c r="I26" s="76"/>
    </row>
    <row r="27" spans="2:9" s="4" customFormat="1" ht="28.5" customHeight="1" x14ac:dyDescent="0.3">
      <c r="B27" s="72">
        <f t="shared" si="0"/>
        <v>16</v>
      </c>
      <c r="C27" s="199"/>
      <c r="D27" s="200"/>
      <c r="E27" s="201"/>
      <c r="F27" s="73"/>
      <c r="G27" s="74"/>
      <c r="H27" s="75"/>
      <c r="I27" s="76"/>
    </row>
    <row r="28" spans="2:9" s="4" customFormat="1" ht="37.5" customHeight="1" x14ac:dyDescent="0.3">
      <c r="B28" s="72">
        <f t="shared" si="0"/>
        <v>17</v>
      </c>
      <c r="C28" s="199"/>
      <c r="D28" s="200"/>
      <c r="E28" s="201"/>
      <c r="F28" s="73"/>
      <c r="G28" s="74"/>
      <c r="H28" s="75"/>
      <c r="I28" s="76"/>
    </row>
    <row r="29" spans="2:9" s="4" customFormat="1" ht="30.75" customHeight="1" x14ac:dyDescent="0.3">
      <c r="B29" s="72">
        <f t="shared" si="0"/>
        <v>18</v>
      </c>
      <c r="C29" s="199"/>
      <c r="D29" s="200"/>
      <c r="E29" s="201"/>
      <c r="F29" s="73"/>
      <c r="G29" s="74"/>
      <c r="H29" s="75"/>
      <c r="I29" s="76"/>
    </row>
    <row r="30" spans="2:9" s="4" customFormat="1" ht="32.25" customHeight="1" x14ac:dyDescent="0.3">
      <c r="B30" s="72">
        <f t="shared" si="0"/>
        <v>19</v>
      </c>
      <c r="C30" s="199"/>
      <c r="D30" s="200"/>
      <c r="E30" s="201"/>
      <c r="F30" s="73"/>
      <c r="G30" s="74"/>
      <c r="H30" s="75"/>
      <c r="I30" s="76"/>
    </row>
    <row r="31" spans="2:9" s="4" customFormat="1" ht="32.25" customHeight="1" x14ac:dyDescent="0.3">
      <c r="B31" s="72">
        <f t="shared" si="0"/>
        <v>20</v>
      </c>
      <c r="C31" s="199"/>
      <c r="D31" s="200"/>
      <c r="E31" s="201"/>
      <c r="F31" s="73"/>
      <c r="G31" s="74"/>
      <c r="H31" s="75"/>
      <c r="I31" s="76"/>
    </row>
    <row r="32" spans="2:9" s="4" customFormat="1" ht="27" customHeight="1" x14ac:dyDescent="0.3">
      <c r="B32" s="72">
        <f t="shared" si="0"/>
        <v>21</v>
      </c>
      <c r="C32" s="199"/>
      <c r="D32" s="200"/>
      <c r="E32" s="201"/>
      <c r="F32" s="73"/>
      <c r="G32" s="74"/>
      <c r="H32" s="75"/>
      <c r="I32" s="76"/>
    </row>
    <row r="33" spans="2:9" s="4" customFormat="1" ht="51" customHeight="1" thickBot="1" x14ac:dyDescent="0.35">
      <c r="B33" s="78">
        <f t="shared" si="0"/>
        <v>22</v>
      </c>
      <c r="C33" s="202"/>
      <c r="D33" s="203"/>
      <c r="E33" s="204"/>
      <c r="F33" s="79"/>
      <c r="G33" s="80"/>
      <c r="H33" s="81"/>
      <c r="I33" s="82"/>
    </row>
    <row r="34" spans="2:9" s="12" customFormat="1" ht="27" customHeight="1" thickBot="1" x14ac:dyDescent="0.3">
      <c r="B34" s="205" t="s">
        <v>7</v>
      </c>
      <c r="C34" s="206"/>
      <c r="D34" s="206"/>
      <c r="E34" s="206" t="s">
        <v>189</v>
      </c>
      <c r="F34" s="206"/>
      <c r="G34" s="207"/>
      <c r="H34" s="207"/>
      <c r="I34" s="83" t="s">
        <v>8</v>
      </c>
    </row>
    <row r="35" spans="2:9" x14ac:dyDescent="0.25">
      <c r="B35" s="153"/>
      <c r="C35" s="154"/>
      <c r="D35" s="208"/>
      <c r="E35" s="154"/>
      <c r="F35" s="154"/>
      <c r="G35" s="154"/>
      <c r="H35" s="154"/>
      <c r="I35" s="159"/>
    </row>
    <row r="36" spans="2:9" x14ac:dyDescent="0.25">
      <c r="B36" s="155"/>
      <c r="C36" s="156"/>
      <c r="D36" s="156"/>
      <c r="E36" s="156"/>
      <c r="F36" s="156"/>
      <c r="G36" s="156"/>
      <c r="H36" s="156"/>
      <c r="I36" s="160"/>
    </row>
    <row r="37" spans="2:9" x14ac:dyDescent="0.25">
      <c r="B37" s="155"/>
      <c r="C37" s="156"/>
      <c r="D37" s="156"/>
      <c r="E37" s="156"/>
      <c r="F37" s="156"/>
      <c r="G37" s="156"/>
      <c r="H37" s="156"/>
      <c r="I37" s="160"/>
    </row>
    <row r="38" spans="2:9" x14ac:dyDescent="0.25">
      <c r="B38" s="155"/>
      <c r="C38" s="156"/>
      <c r="D38" s="156"/>
      <c r="E38" s="156"/>
      <c r="F38" s="156"/>
      <c r="G38" s="156"/>
      <c r="H38" s="156"/>
      <c r="I38" s="160"/>
    </row>
    <row r="39" spans="2:9" ht="59.25" customHeight="1" thickBot="1" x14ac:dyDescent="0.3">
      <c r="B39" s="157"/>
      <c r="C39" s="158"/>
      <c r="D39" s="158"/>
      <c r="E39" s="158"/>
      <c r="F39" s="158"/>
      <c r="G39" s="158"/>
      <c r="H39" s="158"/>
      <c r="I39" s="161"/>
    </row>
  </sheetData>
  <sheetProtection selectLockedCells="1" selectUnlockedCells="1"/>
  <mergeCells count="35">
    <mergeCell ref="B34:D34"/>
    <mergeCell ref="E34:H34"/>
    <mergeCell ref="B35:D39"/>
    <mergeCell ref="E35:H39"/>
    <mergeCell ref="I35:I39"/>
    <mergeCell ref="C33:E33"/>
    <mergeCell ref="C22:E22"/>
    <mergeCell ref="C23:E23"/>
    <mergeCell ref="C24:E24"/>
    <mergeCell ref="C25:E25"/>
    <mergeCell ref="C26:E26"/>
    <mergeCell ref="C27:E27"/>
    <mergeCell ref="C28:E28"/>
    <mergeCell ref="C29:E29"/>
    <mergeCell ref="C30:E30"/>
    <mergeCell ref="C31:E31"/>
    <mergeCell ref="C32:E32"/>
    <mergeCell ref="C21:E21"/>
    <mergeCell ref="G10:H10"/>
    <mergeCell ref="C11:E11"/>
    <mergeCell ref="C12:E12"/>
    <mergeCell ref="C13:E13"/>
    <mergeCell ref="C14:E14"/>
    <mergeCell ref="C15:E15"/>
    <mergeCell ref="C16:E16"/>
    <mergeCell ref="C17:E17"/>
    <mergeCell ref="C18:E18"/>
    <mergeCell ref="C19:E19"/>
    <mergeCell ref="C20:E20"/>
    <mergeCell ref="B3:C5"/>
    <mergeCell ref="D3:H5"/>
    <mergeCell ref="B6:C6"/>
    <mergeCell ref="D6:I6"/>
    <mergeCell ref="B7:C7"/>
    <mergeCell ref="D7:I7"/>
  </mergeCells>
  <conditionalFormatting sqref="F12:F33">
    <cfRule type="cellIs" dxfId="135" priority="1" operator="equal">
      <formula>3</formula>
    </cfRule>
    <cfRule type="cellIs" dxfId="134"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7"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B1:I29"/>
  <sheetViews>
    <sheetView view="pageBreakPreview" zoomScaleSheetLayoutView="100" zoomScalePageLayoutView="70" workbookViewId="0">
      <selection activeCell="F13" sqref="F13"/>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9.7109375" style="1" customWidth="1"/>
    <col min="7" max="7" width="5.7109375" style="1" customWidth="1"/>
    <col min="8" max="8" width="6.28515625" style="1" customWidth="1"/>
    <col min="9" max="9" width="55.28515625" style="1" customWidth="1"/>
    <col min="10" max="10" width="6.5703125" style="1" customWidth="1"/>
    <col min="11" max="11" width="7.85546875" style="1" customWidth="1"/>
    <col min="12" max="13" width="8.140625" style="1" customWidth="1"/>
    <col min="14" max="15" width="11.42578125" style="1" customWidth="1"/>
    <col min="16" max="16" width="8.85546875" style="1" customWidth="1"/>
    <col min="17" max="19" width="11.42578125" style="1" customWidth="1"/>
    <col min="20" max="20" width="2.140625" style="1" customWidth="1"/>
    <col min="21" max="16384" width="11.42578125" style="1"/>
  </cols>
  <sheetData>
    <row r="1" spans="2:9" ht="1.5" customHeight="1" x14ac:dyDescent="0.25"/>
    <row r="2" spans="2:9" ht="1.5" customHeight="1" thickBot="1" x14ac:dyDescent="0.3"/>
    <row r="3" spans="2:9" ht="19.7" customHeight="1" thickBot="1" x14ac:dyDescent="0.3">
      <c r="B3" s="178"/>
      <c r="C3" s="178"/>
      <c r="D3" s="179" t="s">
        <v>719</v>
      </c>
      <c r="E3" s="180"/>
      <c r="F3" s="180"/>
      <c r="G3" s="180"/>
      <c r="H3" s="181"/>
      <c r="I3" s="58" t="s">
        <v>186</v>
      </c>
    </row>
    <row r="4" spans="2:9" ht="19.7" customHeight="1" thickBot="1" x14ac:dyDescent="0.3">
      <c r="B4" s="178"/>
      <c r="C4" s="178"/>
      <c r="D4" s="182"/>
      <c r="E4" s="183"/>
      <c r="F4" s="183"/>
      <c r="G4" s="183"/>
      <c r="H4" s="184"/>
      <c r="I4" s="59" t="str">
        <f>+[4]Date!B2</f>
        <v>Week 30 2025</v>
      </c>
    </row>
    <row r="5" spans="2:9" ht="19.7" customHeight="1" thickBot="1" x14ac:dyDescent="0.3">
      <c r="B5" s="178"/>
      <c r="C5" s="178"/>
      <c r="D5" s="185"/>
      <c r="E5" s="186"/>
      <c r="F5" s="186"/>
      <c r="G5" s="186"/>
      <c r="H5" s="187"/>
      <c r="I5" s="60" t="s">
        <v>187</v>
      </c>
    </row>
    <row r="6" spans="2:9" ht="27" thickBot="1" x14ac:dyDescent="0.3">
      <c r="B6" s="167" t="s">
        <v>188</v>
      </c>
      <c r="C6" s="168"/>
      <c r="D6" s="188" t="s">
        <v>724</v>
      </c>
      <c r="E6" s="189"/>
      <c r="F6" s="189"/>
      <c r="G6" s="189"/>
      <c r="H6" s="189"/>
      <c r="I6" s="190"/>
    </row>
    <row r="7" spans="2:9" ht="24" customHeight="1" thickBot="1" x14ac:dyDescent="0.3">
      <c r="B7" s="167" t="s">
        <v>170</v>
      </c>
      <c r="C7" s="168"/>
      <c r="D7" s="169" t="s">
        <v>720</v>
      </c>
      <c r="E7" s="170"/>
      <c r="F7" s="170"/>
      <c r="G7" s="170"/>
      <c r="H7" s="170"/>
      <c r="I7" s="191"/>
    </row>
    <row r="8" spans="2:9" ht="4.5" customHeight="1" thickBot="1" x14ac:dyDescent="0.3">
      <c r="B8" s="2"/>
      <c r="C8" s="2"/>
      <c r="D8" s="3"/>
      <c r="E8" s="3"/>
      <c r="F8" s="3"/>
      <c r="G8" s="3"/>
      <c r="H8" s="3"/>
      <c r="I8" s="3"/>
    </row>
    <row r="9" spans="2:9" ht="15.75" hidden="1" thickBot="1" x14ac:dyDescent="0.3"/>
    <row r="10" spans="2:9" ht="20.25" customHeight="1" thickBot="1" x14ac:dyDescent="0.3">
      <c r="G10" s="221" t="s">
        <v>0</v>
      </c>
      <c r="H10" s="222"/>
    </row>
    <row r="11" spans="2:9" s="4" customFormat="1" ht="24" customHeight="1" thickBot="1" x14ac:dyDescent="0.3">
      <c r="B11" s="132" t="s">
        <v>1</v>
      </c>
      <c r="C11" s="223" t="s">
        <v>2</v>
      </c>
      <c r="D11" s="223"/>
      <c r="E11" s="224"/>
      <c r="F11" s="133" t="s">
        <v>3</v>
      </c>
      <c r="G11" s="134" t="s">
        <v>4</v>
      </c>
      <c r="H11" s="135" t="s">
        <v>5</v>
      </c>
      <c r="I11" s="136" t="s">
        <v>6</v>
      </c>
    </row>
    <row r="12" spans="2:9" s="4" customFormat="1" ht="47.25" customHeight="1" x14ac:dyDescent="0.25">
      <c r="B12" s="6">
        <v>1</v>
      </c>
      <c r="C12" s="192" t="s">
        <v>721</v>
      </c>
      <c r="D12" s="193"/>
      <c r="E12" s="194"/>
      <c r="F12" s="137"/>
      <c r="G12" s="7"/>
      <c r="H12" s="8"/>
      <c r="I12" s="138"/>
    </row>
    <row r="13" spans="2:9" s="4" customFormat="1" ht="23.25" x14ac:dyDescent="0.25">
      <c r="B13" s="6">
        <f>B12+1</f>
        <v>2</v>
      </c>
      <c r="C13" s="192" t="s">
        <v>722</v>
      </c>
      <c r="D13" s="193"/>
      <c r="E13" s="194"/>
      <c r="F13" s="137"/>
      <c r="G13" s="7"/>
      <c r="H13" s="8"/>
      <c r="I13" s="138"/>
    </row>
    <row r="14" spans="2:9" s="4" customFormat="1" ht="51" customHeight="1" x14ac:dyDescent="0.25">
      <c r="B14" s="6">
        <f t="shared" ref="B14:B23" si="0">B13+1</f>
        <v>3</v>
      </c>
      <c r="C14" s="212" t="s">
        <v>723</v>
      </c>
      <c r="D14" s="213"/>
      <c r="E14" s="214"/>
      <c r="F14" s="137"/>
      <c r="G14" s="7"/>
      <c r="H14" s="8"/>
      <c r="I14" s="138"/>
    </row>
    <row r="15" spans="2:9" s="4" customFormat="1" ht="73.5" customHeight="1" x14ac:dyDescent="0.25">
      <c r="B15" s="6">
        <f t="shared" si="0"/>
        <v>4</v>
      </c>
      <c r="C15" s="212"/>
      <c r="D15" s="213"/>
      <c r="E15" s="214"/>
      <c r="F15" s="137"/>
      <c r="G15" s="7"/>
      <c r="H15" s="8"/>
      <c r="I15" s="138"/>
    </row>
    <row r="16" spans="2:9" s="4" customFormat="1" ht="51" customHeight="1" x14ac:dyDescent="0.25">
      <c r="B16" s="6">
        <f t="shared" si="0"/>
        <v>5</v>
      </c>
      <c r="C16" s="212"/>
      <c r="D16" s="213"/>
      <c r="E16" s="214"/>
      <c r="F16" s="137"/>
      <c r="G16" s="7"/>
      <c r="H16" s="8"/>
      <c r="I16" s="139"/>
    </row>
    <row r="17" spans="2:9" s="4" customFormat="1" ht="52.5" customHeight="1" x14ac:dyDescent="0.25">
      <c r="B17" s="6">
        <f t="shared" si="0"/>
        <v>6</v>
      </c>
      <c r="C17" s="212"/>
      <c r="D17" s="213"/>
      <c r="E17" s="214"/>
      <c r="F17" s="137"/>
      <c r="G17" s="7"/>
      <c r="H17" s="8"/>
      <c r="I17" s="138"/>
    </row>
    <row r="18" spans="2:9" s="4" customFormat="1" ht="51" customHeight="1" x14ac:dyDescent="0.25">
      <c r="B18" s="6">
        <f t="shared" si="0"/>
        <v>7</v>
      </c>
      <c r="C18" s="212"/>
      <c r="D18" s="213"/>
      <c r="E18" s="214"/>
      <c r="F18" s="137"/>
      <c r="G18" s="7"/>
      <c r="H18" s="8"/>
      <c r="I18" s="138"/>
    </row>
    <row r="19" spans="2:9" s="4" customFormat="1" ht="51" customHeight="1" x14ac:dyDescent="0.25">
      <c r="B19" s="6">
        <f t="shared" si="0"/>
        <v>8</v>
      </c>
      <c r="C19" s="212"/>
      <c r="D19" s="213"/>
      <c r="E19" s="214"/>
      <c r="F19" s="137"/>
      <c r="G19" s="7"/>
      <c r="H19" s="8"/>
      <c r="I19" s="138"/>
    </row>
    <row r="20" spans="2:9" s="4" customFormat="1" ht="51" customHeight="1" x14ac:dyDescent="0.25">
      <c r="B20" s="6">
        <f t="shared" si="0"/>
        <v>9</v>
      </c>
      <c r="C20" s="212"/>
      <c r="D20" s="213"/>
      <c r="E20" s="214"/>
      <c r="F20" s="137"/>
      <c r="G20" s="7"/>
      <c r="H20" s="8"/>
      <c r="I20" s="138"/>
    </row>
    <row r="21" spans="2:9" s="4" customFormat="1" ht="51" customHeight="1" x14ac:dyDescent="0.25">
      <c r="B21" s="6">
        <f t="shared" si="0"/>
        <v>10</v>
      </c>
      <c r="C21" s="212"/>
      <c r="D21" s="213"/>
      <c r="E21" s="214"/>
      <c r="F21" s="137"/>
      <c r="G21" s="7"/>
      <c r="H21" s="8"/>
      <c r="I21" s="138"/>
    </row>
    <row r="22" spans="2:9" s="4" customFormat="1" ht="51" customHeight="1" x14ac:dyDescent="0.25">
      <c r="B22" s="6">
        <f t="shared" si="0"/>
        <v>11</v>
      </c>
      <c r="C22" s="212"/>
      <c r="D22" s="213"/>
      <c r="E22" s="214"/>
      <c r="F22" s="137"/>
      <c r="G22" s="7"/>
      <c r="H22" s="8"/>
      <c r="I22" s="138"/>
    </row>
    <row r="23" spans="2:9" s="4" customFormat="1" ht="51" customHeight="1" thickBot="1" x14ac:dyDescent="0.3">
      <c r="B23" s="6">
        <f t="shared" si="0"/>
        <v>12</v>
      </c>
      <c r="C23" s="215"/>
      <c r="D23" s="216"/>
      <c r="E23" s="217"/>
      <c r="F23" s="137"/>
      <c r="G23" s="7"/>
      <c r="H23" s="8"/>
      <c r="I23" s="138"/>
    </row>
    <row r="24" spans="2:9" s="12" customFormat="1" ht="27" customHeight="1" thickBot="1" x14ac:dyDescent="0.3">
      <c r="B24" s="218" t="s">
        <v>7</v>
      </c>
      <c r="C24" s="219"/>
      <c r="D24" s="219"/>
      <c r="E24" s="219" t="s">
        <v>189</v>
      </c>
      <c r="F24" s="219"/>
      <c r="G24" s="220"/>
      <c r="H24" s="220"/>
      <c r="I24" s="140" t="s">
        <v>8</v>
      </c>
    </row>
    <row r="25" spans="2:9" x14ac:dyDescent="0.25">
      <c r="B25" s="153"/>
      <c r="C25" s="154"/>
      <c r="D25" s="208"/>
      <c r="E25" s="154"/>
      <c r="F25" s="154"/>
      <c r="G25" s="154"/>
      <c r="H25" s="154"/>
      <c r="I25" s="159"/>
    </row>
    <row r="26" spans="2:9" x14ac:dyDescent="0.25">
      <c r="B26" s="155"/>
      <c r="C26" s="156"/>
      <c r="D26" s="156"/>
      <c r="E26" s="156"/>
      <c r="F26" s="156"/>
      <c r="G26" s="156"/>
      <c r="H26" s="156"/>
      <c r="I26" s="160"/>
    </row>
    <row r="27" spans="2:9" x14ac:dyDescent="0.25">
      <c r="B27" s="155"/>
      <c r="C27" s="156"/>
      <c r="D27" s="156"/>
      <c r="E27" s="156"/>
      <c r="F27" s="156"/>
      <c r="G27" s="156"/>
      <c r="H27" s="156"/>
      <c r="I27" s="160"/>
    </row>
    <row r="28" spans="2:9" x14ac:dyDescent="0.25">
      <c r="B28" s="155"/>
      <c r="C28" s="156"/>
      <c r="D28" s="156"/>
      <c r="E28" s="156"/>
      <c r="F28" s="156"/>
      <c r="G28" s="156"/>
      <c r="H28" s="156"/>
      <c r="I28" s="160"/>
    </row>
    <row r="29" spans="2:9" ht="59.25" customHeight="1" thickBot="1" x14ac:dyDescent="0.3">
      <c r="B29" s="157"/>
      <c r="C29" s="158"/>
      <c r="D29" s="158"/>
      <c r="E29" s="158"/>
      <c r="F29" s="158"/>
      <c r="G29" s="158"/>
      <c r="H29" s="158"/>
      <c r="I29" s="161"/>
    </row>
  </sheetData>
  <sheetProtection selectLockedCells="1"/>
  <mergeCells count="25">
    <mergeCell ref="B3:C5"/>
    <mergeCell ref="D3:H5"/>
    <mergeCell ref="B6:C6"/>
    <mergeCell ref="D6:I6"/>
    <mergeCell ref="B7:C7"/>
    <mergeCell ref="D7:I7"/>
    <mergeCell ref="C21:E21"/>
    <mergeCell ref="G10:H10"/>
    <mergeCell ref="C11:E11"/>
    <mergeCell ref="C12:E12"/>
    <mergeCell ref="C13:E13"/>
    <mergeCell ref="C14:E14"/>
    <mergeCell ref="C15:E15"/>
    <mergeCell ref="C16:E16"/>
    <mergeCell ref="C17:E17"/>
    <mergeCell ref="C18:E18"/>
    <mergeCell ref="C19:E19"/>
    <mergeCell ref="C20:E20"/>
    <mergeCell ref="I25:I29"/>
    <mergeCell ref="C22:E22"/>
    <mergeCell ref="C23:E23"/>
    <mergeCell ref="B24:D24"/>
    <mergeCell ref="E24:H24"/>
    <mergeCell ref="B25:D29"/>
    <mergeCell ref="E25:H29"/>
  </mergeCells>
  <conditionalFormatting sqref="F12:F23">
    <cfRule type="cellIs" dxfId="133" priority="1" operator="equal">
      <formula>3</formula>
    </cfRule>
    <cfRule type="cellIs" dxfId="132"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rgb="FFFFC000"/>
    <pageSetUpPr fitToPage="1"/>
  </sheetPr>
  <dimension ref="B1:I39"/>
  <sheetViews>
    <sheetView view="pageBreakPreview" zoomScale="60" zoomScaleNormal="60" zoomScalePageLayoutView="70" workbookViewId="0">
      <selection activeCell="C20" sqref="C20:E20"/>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18" style="1" bestFit="1" customWidth="1"/>
    <col min="7" max="7" width="5.7109375" style="1" customWidth="1"/>
    <col min="8" max="8" width="6.28515625" style="1" customWidth="1"/>
    <col min="9" max="9" width="55.28515625" style="1" customWidth="1"/>
    <col min="10" max="10" width="6.5703125" style="1" customWidth="1"/>
    <col min="11" max="11" width="7.85546875" style="1" customWidth="1"/>
    <col min="12" max="13" width="8.140625" style="1" customWidth="1"/>
    <col min="14" max="15" width="11.42578125" style="1" customWidth="1"/>
    <col min="16" max="16" width="8.85546875" style="1" customWidth="1"/>
    <col min="17" max="19" width="11.42578125" style="1" customWidth="1"/>
    <col min="20" max="20" width="2.140625" style="1" customWidth="1"/>
    <col min="21" max="16384" width="11.42578125" style="1"/>
  </cols>
  <sheetData>
    <row r="1" spans="2:9" ht="1.5" customHeight="1" x14ac:dyDescent="0.25"/>
    <row r="2" spans="2:9" ht="1.5" customHeight="1" thickBot="1" x14ac:dyDescent="0.3"/>
    <row r="3" spans="2:9" ht="19.7" customHeight="1" thickBot="1" x14ac:dyDescent="0.3">
      <c r="B3" s="178"/>
      <c r="C3" s="178"/>
      <c r="D3" s="179" t="s">
        <v>471</v>
      </c>
      <c r="E3" s="180"/>
      <c r="F3" s="180"/>
      <c r="G3" s="180"/>
      <c r="H3" s="181"/>
      <c r="I3" s="58" t="s">
        <v>186</v>
      </c>
    </row>
    <row r="4" spans="2:9" ht="19.7" customHeight="1" thickBot="1" x14ac:dyDescent="0.3">
      <c r="B4" s="178"/>
      <c r="C4" s="178"/>
      <c r="D4" s="182"/>
      <c r="E4" s="183"/>
      <c r="F4" s="183"/>
      <c r="G4" s="183"/>
      <c r="H4" s="184"/>
      <c r="I4" s="59" t="str">
        <f>Date!B2</f>
        <v>Week ... 2025</v>
      </c>
    </row>
    <row r="5" spans="2:9" ht="19.7" customHeight="1" thickBot="1" x14ac:dyDescent="0.3">
      <c r="B5" s="178"/>
      <c r="C5" s="178"/>
      <c r="D5" s="185"/>
      <c r="E5" s="186"/>
      <c r="F5" s="186"/>
      <c r="G5" s="186"/>
      <c r="H5" s="187"/>
      <c r="I5" s="60" t="s">
        <v>187</v>
      </c>
    </row>
    <row r="6" spans="2:9" ht="27" thickBot="1" x14ac:dyDescent="0.3">
      <c r="B6" s="167" t="s">
        <v>188</v>
      </c>
      <c r="C6" s="168"/>
      <c r="D6" s="188" t="s">
        <v>224</v>
      </c>
      <c r="E6" s="189"/>
      <c r="F6" s="189"/>
      <c r="G6" s="189"/>
      <c r="H6" s="189"/>
      <c r="I6" s="190"/>
    </row>
    <row r="7" spans="2:9" ht="24" customHeight="1" thickBot="1" x14ac:dyDescent="0.3">
      <c r="B7" s="167" t="s">
        <v>170</v>
      </c>
      <c r="C7" s="168"/>
      <c r="D7" s="169" t="s">
        <v>183</v>
      </c>
      <c r="E7" s="170"/>
      <c r="F7" s="170"/>
      <c r="G7" s="170"/>
      <c r="H7" s="170"/>
      <c r="I7" s="191"/>
    </row>
    <row r="8" spans="2:9" ht="4.5" customHeight="1" thickBot="1" x14ac:dyDescent="0.3">
      <c r="B8" s="2"/>
      <c r="C8" s="2"/>
      <c r="D8" s="3"/>
      <c r="E8" s="3"/>
      <c r="F8" s="3"/>
      <c r="G8" s="3"/>
      <c r="H8" s="3"/>
      <c r="I8" s="3"/>
    </row>
    <row r="9" spans="2:9" ht="15.75" hidden="1" thickBot="1" x14ac:dyDescent="0.3"/>
    <row r="10" spans="2:9" ht="20.25" customHeight="1" thickBot="1" x14ac:dyDescent="0.35">
      <c r="B10" s="61"/>
      <c r="C10" s="61"/>
      <c r="D10" s="61"/>
      <c r="E10" s="61"/>
      <c r="F10" s="61"/>
      <c r="G10" s="195" t="s">
        <v>0</v>
      </c>
      <c r="H10" s="196"/>
      <c r="I10" s="61"/>
    </row>
    <row r="11" spans="2:9" s="4" customFormat="1" ht="24" customHeight="1" thickBot="1" x14ac:dyDescent="0.3">
      <c r="B11" s="62" t="s">
        <v>1</v>
      </c>
      <c r="C11" s="197" t="s">
        <v>2</v>
      </c>
      <c r="D11" s="197"/>
      <c r="E11" s="198"/>
      <c r="F11" s="63" t="s">
        <v>511</v>
      </c>
      <c r="G11" s="64" t="s">
        <v>4</v>
      </c>
      <c r="H11" s="65" t="s">
        <v>5</v>
      </c>
      <c r="I11" s="66" t="s">
        <v>6</v>
      </c>
    </row>
    <row r="12" spans="2:9" s="4" customFormat="1" ht="45" customHeight="1" x14ac:dyDescent="0.3">
      <c r="B12" s="67">
        <v>1</v>
      </c>
      <c r="C12" s="199" t="s">
        <v>510</v>
      </c>
      <c r="D12" s="200"/>
      <c r="E12" s="201"/>
      <c r="F12" s="68" t="s">
        <v>512</v>
      </c>
      <c r="G12" s="69"/>
      <c r="H12" s="70"/>
      <c r="I12" s="71"/>
    </row>
    <row r="13" spans="2:9" s="4" customFormat="1" ht="51.75" customHeight="1" x14ac:dyDescent="0.3">
      <c r="B13" s="72">
        <f>B12+1</f>
        <v>2</v>
      </c>
      <c r="C13" s="199" t="s">
        <v>509</v>
      </c>
      <c r="D13" s="200"/>
      <c r="E13" s="201"/>
      <c r="F13" s="73" t="s">
        <v>513</v>
      </c>
      <c r="G13" s="74"/>
      <c r="H13" s="75"/>
      <c r="I13" s="76"/>
    </row>
    <row r="14" spans="2:9" s="4" customFormat="1" ht="45.75" customHeight="1" x14ac:dyDescent="0.3">
      <c r="B14" s="72">
        <f t="shared" ref="B14:B33" si="0">B13+1</f>
        <v>3</v>
      </c>
      <c r="C14" s="192" t="s">
        <v>514</v>
      </c>
      <c r="D14" s="193"/>
      <c r="E14" s="194"/>
      <c r="F14" s="73" t="s">
        <v>515</v>
      </c>
      <c r="G14" s="74"/>
      <c r="H14" s="75"/>
      <c r="I14" s="76"/>
    </row>
    <row r="15" spans="2:9" s="4" customFormat="1" ht="45.75" customHeight="1" x14ac:dyDescent="0.3">
      <c r="B15" s="72">
        <f t="shared" si="0"/>
        <v>4</v>
      </c>
      <c r="C15" s="192" t="s">
        <v>523</v>
      </c>
      <c r="D15" s="193"/>
      <c r="E15" s="194"/>
      <c r="F15" s="73" t="s">
        <v>522</v>
      </c>
      <c r="G15" s="74"/>
      <c r="H15" s="75"/>
      <c r="I15" s="76"/>
    </row>
    <row r="16" spans="2:9" s="4" customFormat="1" ht="46.5" customHeight="1" x14ac:dyDescent="0.3">
      <c r="B16" s="72">
        <f t="shared" si="0"/>
        <v>5</v>
      </c>
      <c r="C16" s="192" t="s">
        <v>516</v>
      </c>
      <c r="D16" s="193"/>
      <c r="E16" s="194"/>
      <c r="F16" s="73" t="s">
        <v>517</v>
      </c>
      <c r="G16" s="74"/>
      <c r="H16" s="75"/>
      <c r="I16" s="76"/>
    </row>
    <row r="17" spans="2:9" s="4" customFormat="1" ht="45" customHeight="1" x14ac:dyDescent="0.3">
      <c r="B17" s="72">
        <f t="shared" si="0"/>
        <v>6</v>
      </c>
      <c r="C17" s="199" t="s">
        <v>519</v>
      </c>
      <c r="D17" s="200"/>
      <c r="E17" s="201"/>
      <c r="F17" s="73" t="s">
        <v>518</v>
      </c>
      <c r="G17" s="74"/>
      <c r="H17" s="75"/>
      <c r="I17" s="76"/>
    </row>
    <row r="18" spans="2:9" s="4" customFormat="1" ht="48.75" customHeight="1" x14ac:dyDescent="0.3">
      <c r="B18" s="72">
        <f t="shared" si="0"/>
        <v>7</v>
      </c>
      <c r="C18" s="199" t="s">
        <v>520</v>
      </c>
      <c r="D18" s="200"/>
      <c r="E18" s="201"/>
      <c r="F18" s="73" t="s">
        <v>512</v>
      </c>
      <c r="G18" s="74"/>
      <c r="H18" s="75"/>
      <c r="I18" s="76"/>
    </row>
    <row r="19" spans="2:9" s="4" customFormat="1" ht="46.5" customHeight="1" x14ac:dyDescent="0.3">
      <c r="B19" s="72">
        <f t="shared" si="0"/>
        <v>8</v>
      </c>
      <c r="C19" s="199" t="s">
        <v>521</v>
      </c>
      <c r="D19" s="200"/>
      <c r="E19" s="201"/>
      <c r="F19" s="73" t="s">
        <v>513</v>
      </c>
      <c r="G19" s="74"/>
      <c r="H19" s="75"/>
      <c r="I19" s="76"/>
    </row>
    <row r="20" spans="2:9" s="4" customFormat="1" ht="54" customHeight="1" x14ac:dyDescent="0.3">
      <c r="B20" s="72">
        <f t="shared" si="0"/>
        <v>9</v>
      </c>
      <c r="C20" s="199"/>
      <c r="D20" s="200"/>
      <c r="E20" s="201"/>
      <c r="F20" s="73"/>
      <c r="G20" s="74"/>
      <c r="H20" s="75"/>
      <c r="I20" s="76"/>
    </row>
    <row r="21" spans="2:9" s="4" customFormat="1" ht="39.75" customHeight="1" x14ac:dyDescent="0.3">
      <c r="B21" s="72">
        <f t="shared" si="0"/>
        <v>10</v>
      </c>
      <c r="C21" s="199"/>
      <c r="D21" s="200"/>
      <c r="E21" s="201"/>
      <c r="F21" s="73"/>
      <c r="G21" s="74"/>
      <c r="H21" s="75"/>
      <c r="I21" s="76"/>
    </row>
    <row r="22" spans="2:9" s="4" customFormat="1" ht="34.5" customHeight="1" x14ac:dyDescent="0.3">
      <c r="B22" s="72">
        <f t="shared" si="0"/>
        <v>11</v>
      </c>
      <c r="C22" s="192"/>
      <c r="D22" s="193"/>
      <c r="E22" s="194"/>
      <c r="F22" s="73"/>
      <c r="G22" s="74"/>
      <c r="H22" s="75"/>
      <c r="I22" s="76"/>
    </row>
    <row r="23" spans="2:9" s="4" customFormat="1" ht="42" customHeight="1" x14ac:dyDescent="0.3">
      <c r="B23" s="72">
        <f t="shared" si="0"/>
        <v>12</v>
      </c>
      <c r="C23" s="192"/>
      <c r="D23" s="193"/>
      <c r="E23" s="194"/>
      <c r="F23" s="73"/>
      <c r="G23" s="74"/>
      <c r="H23" s="75"/>
      <c r="I23" s="76"/>
    </row>
    <row r="24" spans="2:9" s="4" customFormat="1" ht="43.5" customHeight="1" x14ac:dyDescent="0.3">
      <c r="B24" s="72">
        <f t="shared" si="0"/>
        <v>13</v>
      </c>
      <c r="C24" s="192"/>
      <c r="D24" s="193"/>
      <c r="E24" s="194"/>
      <c r="F24" s="73"/>
      <c r="G24" s="74"/>
      <c r="H24" s="75"/>
      <c r="I24" s="76"/>
    </row>
    <row r="25" spans="2:9" s="4" customFormat="1" ht="46.5" customHeight="1" x14ac:dyDescent="0.3">
      <c r="B25" s="72">
        <f t="shared" si="0"/>
        <v>14</v>
      </c>
      <c r="C25" s="192"/>
      <c r="D25" s="193"/>
      <c r="E25" s="194"/>
      <c r="F25" s="73"/>
      <c r="G25" s="74"/>
      <c r="H25" s="75"/>
      <c r="I25" s="76"/>
    </row>
    <row r="26" spans="2:9" s="4" customFormat="1" ht="38.25" customHeight="1" x14ac:dyDescent="0.3">
      <c r="B26" s="72">
        <f t="shared" si="0"/>
        <v>15</v>
      </c>
      <c r="C26" s="192"/>
      <c r="D26" s="193"/>
      <c r="E26" s="194"/>
      <c r="F26" s="73"/>
      <c r="G26" s="74"/>
      <c r="H26" s="75"/>
      <c r="I26" s="76"/>
    </row>
    <row r="27" spans="2:9" s="4" customFormat="1" ht="28.5" customHeight="1" x14ac:dyDescent="0.3">
      <c r="B27" s="72">
        <f t="shared" si="0"/>
        <v>16</v>
      </c>
      <c r="C27" s="199"/>
      <c r="D27" s="200"/>
      <c r="E27" s="201"/>
      <c r="F27" s="73"/>
      <c r="G27" s="74"/>
      <c r="H27" s="75"/>
      <c r="I27" s="76"/>
    </row>
    <row r="28" spans="2:9" s="4" customFormat="1" ht="37.5" customHeight="1" x14ac:dyDescent="0.3">
      <c r="B28" s="72">
        <f t="shared" si="0"/>
        <v>17</v>
      </c>
      <c r="C28" s="199"/>
      <c r="D28" s="200"/>
      <c r="E28" s="201"/>
      <c r="F28" s="73"/>
      <c r="G28" s="74"/>
      <c r="H28" s="75"/>
      <c r="I28" s="76"/>
    </row>
    <row r="29" spans="2:9" s="4" customFormat="1" ht="30.75" customHeight="1" x14ac:dyDescent="0.3">
      <c r="B29" s="72">
        <f t="shared" si="0"/>
        <v>18</v>
      </c>
      <c r="C29" s="199"/>
      <c r="D29" s="200"/>
      <c r="E29" s="201"/>
      <c r="F29" s="73"/>
      <c r="G29" s="74"/>
      <c r="H29" s="75"/>
      <c r="I29" s="76"/>
    </row>
    <row r="30" spans="2:9" s="4" customFormat="1" ht="32.25" customHeight="1" x14ac:dyDescent="0.3">
      <c r="B30" s="72">
        <f t="shared" si="0"/>
        <v>19</v>
      </c>
      <c r="C30" s="199"/>
      <c r="D30" s="200"/>
      <c r="E30" s="201"/>
      <c r="F30" s="73"/>
      <c r="G30" s="74"/>
      <c r="H30" s="75"/>
      <c r="I30" s="76"/>
    </row>
    <row r="31" spans="2:9" s="4" customFormat="1" ht="32.25" customHeight="1" x14ac:dyDescent="0.3">
      <c r="B31" s="72">
        <f t="shared" si="0"/>
        <v>20</v>
      </c>
      <c r="C31" s="199"/>
      <c r="D31" s="200"/>
      <c r="E31" s="201"/>
      <c r="F31" s="73"/>
      <c r="G31" s="74"/>
      <c r="H31" s="75"/>
      <c r="I31" s="76"/>
    </row>
    <row r="32" spans="2:9" s="4" customFormat="1" ht="27" customHeight="1" x14ac:dyDescent="0.3">
      <c r="B32" s="72">
        <f t="shared" si="0"/>
        <v>21</v>
      </c>
      <c r="C32" s="199"/>
      <c r="D32" s="200"/>
      <c r="E32" s="201"/>
      <c r="F32" s="73"/>
      <c r="G32" s="74"/>
      <c r="H32" s="75"/>
      <c r="I32" s="76"/>
    </row>
    <row r="33" spans="2:9" s="4" customFormat="1" ht="51" customHeight="1" thickBot="1" x14ac:dyDescent="0.35">
      <c r="B33" s="78">
        <f t="shared" si="0"/>
        <v>22</v>
      </c>
      <c r="C33" s="202"/>
      <c r="D33" s="203"/>
      <c r="E33" s="204"/>
      <c r="F33" s="79"/>
      <c r="G33" s="80"/>
      <c r="H33" s="81"/>
      <c r="I33" s="82"/>
    </row>
    <row r="34" spans="2:9" s="12" customFormat="1" ht="27" customHeight="1" thickBot="1" x14ac:dyDescent="0.3">
      <c r="B34" s="205" t="s">
        <v>7</v>
      </c>
      <c r="C34" s="206"/>
      <c r="D34" s="206"/>
      <c r="E34" s="206" t="s">
        <v>189</v>
      </c>
      <c r="F34" s="206"/>
      <c r="G34" s="207"/>
      <c r="H34" s="207"/>
      <c r="I34" s="83" t="s">
        <v>8</v>
      </c>
    </row>
    <row r="35" spans="2:9" x14ac:dyDescent="0.25">
      <c r="B35" s="153"/>
      <c r="C35" s="154"/>
      <c r="D35" s="208"/>
      <c r="E35" s="154"/>
      <c r="F35" s="154"/>
      <c r="G35" s="154"/>
      <c r="H35" s="154"/>
      <c r="I35" s="159"/>
    </row>
    <row r="36" spans="2:9" x14ac:dyDescent="0.25">
      <c r="B36" s="155"/>
      <c r="C36" s="156"/>
      <c r="D36" s="156"/>
      <c r="E36" s="156"/>
      <c r="F36" s="156"/>
      <c r="G36" s="156"/>
      <c r="H36" s="156"/>
      <c r="I36" s="160"/>
    </row>
    <row r="37" spans="2:9" x14ac:dyDescent="0.25">
      <c r="B37" s="155"/>
      <c r="C37" s="156"/>
      <c r="D37" s="156"/>
      <c r="E37" s="156"/>
      <c r="F37" s="156"/>
      <c r="G37" s="156"/>
      <c r="H37" s="156"/>
      <c r="I37" s="160"/>
    </row>
    <row r="38" spans="2:9" x14ac:dyDescent="0.25">
      <c r="B38" s="155"/>
      <c r="C38" s="156"/>
      <c r="D38" s="156"/>
      <c r="E38" s="156"/>
      <c r="F38" s="156"/>
      <c r="G38" s="156"/>
      <c r="H38" s="156"/>
      <c r="I38" s="160"/>
    </row>
    <row r="39" spans="2:9" ht="59.25" customHeight="1" thickBot="1" x14ac:dyDescent="0.3">
      <c r="B39" s="157"/>
      <c r="C39" s="158"/>
      <c r="D39" s="158"/>
      <c r="E39" s="158"/>
      <c r="F39" s="158"/>
      <c r="G39" s="158"/>
      <c r="H39" s="158"/>
      <c r="I39" s="161"/>
    </row>
  </sheetData>
  <sheetProtection selectLockedCells="1" selectUnlockedCells="1"/>
  <mergeCells count="35">
    <mergeCell ref="B34:D34"/>
    <mergeCell ref="E34:H34"/>
    <mergeCell ref="B35:D39"/>
    <mergeCell ref="E35:H39"/>
    <mergeCell ref="I35:I39"/>
    <mergeCell ref="C33:E33"/>
    <mergeCell ref="C22:E22"/>
    <mergeCell ref="C23:E23"/>
    <mergeCell ref="C24:E24"/>
    <mergeCell ref="C25:E25"/>
    <mergeCell ref="C26:E26"/>
    <mergeCell ref="C27:E27"/>
    <mergeCell ref="C28:E28"/>
    <mergeCell ref="C29:E29"/>
    <mergeCell ref="C30:E30"/>
    <mergeCell ref="C31:E31"/>
    <mergeCell ref="C32:E32"/>
    <mergeCell ref="C21:E21"/>
    <mergeCell ref="G10:H10"/>
    <mergeCell ref="C11:E11"/>
    <mergeCell ref="C12:E12"/>
    <mergeCell ref="C13:E13"/>
    <mergeCell ref="C14:E14"/>
    <mergeCell ref="C15:E15"/>
    <mergeCell ref="C16:E16"/>
    <mergeCell ref="C17:E17"/>
    <mergeCell ref="C18:E18"/>
    <mergeCell ref="C19:E19"/>
    <mergeCell ref="C20:E20"/>
    <mergeCell ref="B3:C5"/>
    <mergeCell ref="D3:H5"/>
    <mergeCell ref="B6:C6"/>
    <mergeCell ref="D6:I6"/>
    <mergeCell ref="B7:C7"/>
    <mergeCell ref="D7:I7"/>
  </mergeCells>
  <conditionalFormatting sqref="F12:F33">
    <cfRule type="cellIs" dxfId="131" priority="1" operator="equal">
      <formula>3</formula>
    </cfRule>
    <cfRule type="cellIs" dxfId="130"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5"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rgb="FFFFC000"/>
    <pageSetUpPr fitToPage="1"/>
  </sheetPr>
  <dimension ref="B1:I39"/>
  <sheetViews>
    <sheetView view="pageBreakPreview" zoomScale="60" zoomScaleNormal="60" zoomScalePageLayoutView="70" workbookViewId="0">
      <selection activeCell="I16" sqref="I16"/>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9.7109375" style="1" customWidth="1"/>
    <col min="7" max="7" width="5.7109375" style="1" customWidth="1"/>
    <col min="8" max="8" width="6.28515625" style="1" customWidth="1"/>
    <col min="9" max="9" width="55.28515625" style="1" customWidth="1"/>
    <col min="10" max="10" width="6.5703125" style="1" customWidth="1"/>
    <col min="11" max="11" width="7.85546875" style="1" customWidth="1"/>
    <col min="12" max="12" width="11.42578125" style="1" customWidth="1"/>
    <col min="13" max="13" width="8.85546875" style="1" customWidth="1"/>
    <col min="14" max="16" width="11.42578125" style="1" customWidth="1"/>
    <col min="17" max="17" width="2.140625" style="1" customWidth="1"/>
    <col min="18" max="16384" width="11.42578125" style="1"/>
  </cols>
  <sheetData>
    <row r="1" spans="2:9" ht="1.5" customHeight="1" x14ac:dyDescent="0.25"/>
    <row r="2" spans="2:9" ht="1.5" customHeight="1" thickBot="1" x14ac:dyDescent="0.3"/>
    <row r="3" spans="2:9" ht="19.7" customHeight="1" thickBot="1" x14ac:dyDescent="0.3">
      <c r="B3" s="178"/>
      <c r="C3" s="178"/>
      <c r="D3" s="179" t="s">
        <v>471</v>
      </c>
      <c r="E3" s="180"/>
      <c r="F3" s="180"/>
      <c r="G3" s="180"/>
      <c r="H3" s="181"/>
      <c r="I3" s="58" t="s">
        <v>186</v>
      </c>
    </row>
    <row r="4" spans="2:9" ht="19.7" customHeight="1" thickBot="1" x14ac:dyDescent="0.3">
      <c r="B4" s="178"/>
      <c r="C4" s="178"/>
      <c r="D4" s="182"/>
      <c r="E4" s="183"/>
      <c r="F4" s="183"/>
      <c r="G4" s="183"/>
      <c r="H4" s="184"/>
      <c r="I4" s="59" t="str">
        <f>Date!B2</f>
        <v>Week ... 2025</v>
      </c>
    </row>
    <row r="5" spans="2:9" ht="19.7" customHeight="1" thickBot="1" x14ac:dyDescent="0.3">
      <c r="B5" s="178"/>
      <c r="C5" s="178"/>
      <c r="D5" s="185"/>
      <c r="E5" s="186"/>
      <c r="F5" s="186"/>
      <c r="G5" s="186"/>
      <c r="H5" s="187"/>
      <c r="I5" s="60" t="s">
        <v>187</v>
      </c>
    </row>
    <row r="6" spans="2:9" ht="27" thickBot="1" x14ac:dyDescent="0.3">
      <c r="B6" s="167" t="s">
        <v>188</v>
      </c>
      <c r="C6" s="168"/>
      <c r="D6" s="188" t="s">
        <v>224</v>
      </c>
      <c r="E6" s="189"/>
      <c r="F6" s="189"/>
      <c r="G6" s="189"/>
      <c r="H6" s="189"/>
      <c r="I6" s="190"/>
    </row>
    <row r="7" spans="2:9" ht="24" customHeight="1" thickBot="1" x14ac:dyDescent="0.3">
      <c r="B7" s="167" t="s">
        <v>170</v>
      </c>
      <c r="C7" s="168"/>
      <c r="D7" s="169"/>
      <c r="E7" s="170"/>
      <c r="F7" s="170"/>
      <c r="G7" s="170"/>
      <c r="H7" s="170"/>
      <c r="I7" s="191"/>
    </row>
    <row r="8" spans="2:9" ht="4.5" customHeight="1" thickBot="1" x14ac:dyDescent="0.3">
      <c r="B8" s="2"/>
      <c r="C8" s="2"/>
      <c r="D8" s="3"/>
      <c r="E8" s="3"/>
      <c r="F8" s="3"/>
      <c r="G8" s="3"/>
      <c r="H8" s="3"/>
      <c r="I8" s="3"/>
    </row>
    <row r="9" spans="2:9" ht="15.75" hidden="1" thickBot="1" x14ac:dyDescent="0.3"/>
    <row r="10" spans="2:9" ht="20.25" customHeight="1" thickBot="1" x14ac:dyDescent="0.35">
      <c r="B10" s="61"/>
      <c r="C10" s="61"/>
      <c r="D10" s="61"/>
      <c r="E10" s="61"/>
      <c r="F10" s="61"/>
      <c r="G10" s="195" t="s">
        <v>0</v>
      </c>
      <c r="H10" s="196"/>
      <c r="I10" s="61"/>
    </row>
    <row r="11" spans="2:9" s="4" customFormat="1" ht="24" customHeight="1" thickBot="1" x14ac:dyDescent="0.3">
      <c r="B11" s="62" t="s">
        <v>1</v>
      </c>
      <c r="C11" s="197" t="s">
        <v>2</v>
      </c>
      <c r="D11" s="197"/>
      <c r="E11" s="198"/>
      <c r="F11" s="63" t="s">
        <v>3</v>
      </c>
      <c r="G11" s="64" t="s">
        <v>4</v>
      </c>
      <c r="H11" s="65" t="s">
        <v>5</v>
      </c>
      <c r="I11" s="66" t="s">
        <v>6</v>
      </c>
    </row>
    <row r="12" spans="2:9" s="4" customFormat="1" ht="45" customHeight="1" x14ac:dyDescent="0.3">
      <c r="B12" s="67">
        <v>1</v>
      </c>
      <c r="C12" s="199" t="s">
        <v>225</v>
      </c>
      <c r="D12" s="200"/>
      <c r="E12" s="201"/>
      <c r="F12" s="68"/>
      <c r="G12" s="69"/>
      <c r="H12" s="70"/>
      <c r="I12" s="71"/>
    </row>
    <row r="13" spans="2:9" s="4" customFormat="1" ht="44.25" customHeight="1" x14ac:dyDescent="0.3">
      <c r="B13" s="72">
        <f>B12+1</f>
        <v>2</v>
      </c>
      <c r="C13" s="199" t="s">
        <v>226</v>
      </c>
      <c r="D13" s="200"/>
      <c r="E13" s="201"/>
      <c r="F13" s="73"/>
      <c r="G13" s="74"/>
      <c r="H13" s="75"/>
      <c r="I13" s="76"/>
    </row>
    <row r="14" spans="2:9" s="4" customFormat="1" ht="45.75" customHeight="1" x14ac:dyDescent="0.3">
      <c r="B14" s="72">
        <f t="shared" ref="B14:B33" si="0">B13+1</f>
        <v>3</v>
      </c>
      <c r="C14" s="192" t="s">
        <v>227</v>
      </c>
      <c r="D14" s="193"/>
      <c r="E14" s="194"/>
      <c r="F14" s="73"/>
      <c r="G14" s="74"/>
      <c r="H14" s="75"/>
      <c r="I14" s="76"/>
    </row>
    <row r="15" spans="2:9" s="4" customFormat="1" ht="45.75" customHeight="1" x14ac:dyDescent="0.3">
      <c r="B15" s="72">
        <f t="shared" si="0"/>
        <v>4</v>
      </c>
      <c r="C15" s="192" t="s">
        <v>228</v>
      </c>
      <c r="D15" s="193"/>
      <c r="E15" s="194"/>
      <c r="F15" s="73"/>
      <c r="G15" s="74"/>
      <c r="H15" s="75"/>
      <c r="I15" s="76"/>
    </row>
    <row r="16" spans="2:9" s="4" customFormat="1" ht="46.5" customHeight="1" x14ac:dyDescent="0.3">
      <c r="B16" s="72">
        <f t="shared" si="0"/>
        <v>5</v>
      </c>
      <c r="C16" s="192" t="s">
        <v>445</v>
      </c>
      <c r="D16" s="193"/>
      <c r="E16" s="194"/>
      <c r="F16" s="73"/>
      <c r="G16" s="74"/>
      <c r="H16" s="75"/>
      <c r="I16" s="76"/>
    </row>
    <row r="17" spans="2:9" s="4" customFormat="1" ht="45" customHeight="1" x14ac:dyDescent="0.3">
      <c r="B17" s="72">
        <f t="shared" si="0"/>
        <v>6</v>
      </c>
      <c r="C17" s="199" t="s">
        <v>472</v>
      </c>
      <c r="D17" s="200"/>
      <c r="E17" s="201"/>
      <c r="F17" s="73"/>
      <c r="G17" s="74"/>
      <c r="H17" s="75"/>
      <c r="I17" s="76"/>
    </row>
    <row r="18" spans="2:9" s="4" customFormat="1" ht="48.75" customHeight="1" x14ac:dyDescent="0.3">
      <c r="B18" s="72">
        <f t="shared" si="0"/>
        <v>7</v>
      </c>
      <c r="C18" s="199" t="s">
        <v>473</v>
      </c>
      <c r="D18" s="200"/>
      <c r="E18" s="201"/>
      <c r="F18" s="73"/>
      <c r="G18" s="74"/>
      <c r="H18" s="75"/>
      <c r="I18" s="76"/>
    </row>
    <row r="19" spans="2:9" s="4" customFormat="1" ht="46.5" customHeight="1" x14ac:dyDescent="0.3">
      <c r="B19" s="72">
        <f t="shared" si="0"/>
        <v>8</v>
      </c>
      <c r="C19" s="199" t="s">
        <v>474</v>
      </c>
      <c r="D19" s="200"/>
      <c r="E19" s="201"/>
      <c r="F19" s="73"/>
      <c r="G19" s="74"/>
      <c r="H19" s="75"/>
      <c r="I19" s="76"/>
    </row>
    <row r="20" spans="2:9" s="4" customFormat="1" ht="54" customHeight="1" x14ac:dyDescent="0.3">
      <c r="B20" s="72">
        <f t="shared" si="0"/>
        <v>9</v>
      </c>
      <c r="C20" s="199" t="s">
        <v>475</v>
      </c>
      <c r="D20" s="200"/>
      <c r="E20" s="201"/>
      <c r="F20" s="73"/>
      <c r="G20" s="74"/>
      <c r="H20" s="75"/>
      <c r="I20" s="76"/>
    </row>
    <row r="21" spans="2:9" s="4" customFormat="1" ht="39.75" customHeight="1" x14ac:dyDescent="0.3">
      <c r="B21" s="72">
        <f t="shared" si="0"/>
        <v>10</v>
      </c>
      <c r="C21" s="199" t="s">
        <v>474</v>
      </c>
      <c r="D21" s="200"/>
      <c r="E21" s="201"/>
      <c r="F21" s="73"/>
      <c r="G21" s="74"/>
      <c r="H21" s="75"/>
      <c r="I21" s="76"/>
    </row>
    <row r="22" spans="2:9" s="4" customFormat="1" ht="34.5" customHeight="1" x14ac:dyDescent="0.3">
      <c r="B22" s="72">
        <f t="shared" si="0"/>
        <v>11</v>
      </c>
      <c r="C22" s="192" t="s">
        <v>476</v>
      </c>
      <c r="D22" s="193"/>
      <c r="E22" s="194"/>
      <c r="F22" s="73"/>
      <c r="G22" s="74"/>
      <c r="H22" s="75"/>
      <c r="I22" s="76"/>
    </row>
    <row r="23" spans="2:9" s="4" customFormat="1" ht="42" customHeight="1" x14ac:dyDescent="0.3">
      <c r="B23" s="72">
        <f t="shared" si="0"/>
        <v>12</v>
      </c>
      <c r="C23" s="192" t="s">
        <v>477</v>
      </c>
      <c r="D23" s="193"/>
      <c r="E23" s="194"/>
      <c r="F23" s="73"/>
      <c r="G23" s="74"/>
      <c r="H23" s="75"/>
      <c r="I23" s="76"/>
    </row>
    <row r="24" spans="2:9" s="4" customFormat="1" ht="43.5" customHeight="1" x14ac:dyDescent="0.3">
      <c r="B24" s="72">
        <f t="shared" si="0"/>
        <v>13</v>
      </c>
      <c r="C24" s="192" t="s">
        <v>478</v>
      </c>
      <c r="D24" s="193"/>
      <c r="E24" s="194"/>
      <c r="F24" s="73"/>
      <c r="G24" s="74"/>
      <c r="H24" s="75"/>
      <c r="I24" s="76"/>
    </row>
    <row r="25" spans="2:9" s="4" customFormat="1" ht="46.5" customHeight="1" x14ac:dyDescent="0.3">
      <c r="B25" s="72">
        <f t="shared" si="0"/>
        <v>14</v>
      </c>
      <c r="C25" s="192" t="s">
        <v>479</v>
      </c>
      <c r="D25" s="193"/>
      <c r="E25" s="194"/>
      <c r="F25" s="73"/>
      <c r="G25" s="74"/>
      <c r="H25" s="75"/>
      <c r="I25" s="76"/>
    </row>
    <row r="26" spans="2:9" s="4" customFormat="1" ht="38.25" customHeight="1" x14ac:dyDescent="0.3">
      <c r="B26" s="72">
        <f t="shared" si="0"/>
        <v>15</v>
      </c>
      <c r="C26" s="192"/>
      <c r="D26" s="193"/>
      <c r="E26" s="194"/>
      <c r="F26" s="73"/>
      <c r="G26" s="74"/>
      <c r="H26" s="75"/>
      <c r="I26" s="76"/>
    </row>
    <row r="27" spans="2:9" s="4" customFormat="1" ht="28.5" customHeight="1" x14ac:dyDescent="0.3">
      <c r="B27" s="72">
        <f t="shared" si="0"/>
        <v>16</v>
      </c>
      <c r="C27" s="199"/>
      <c r="D27" s="200"/>
      <c r="E27" s="201"/>
      <c r="F27" s="73"/>
      <c r="G27" s="74"/>
      <c r="H27" s="75"/>
      <c r="I27" s="76"/>
    </row>
    <row r="28" spans="2:9" s="4" customFormat="1" ht="37.5" customHeight="1" x14ac:dyDescent="0.3">
      <c r="B28" s="72">
        <f t="shared" si="0"/>
        <v>17</v>
      </c>
      <c r="C28" s="199"/>
      <c r="D28" s="200"/>
      <c r="E28" s="201"/>
      <c r="F28" s="73"/>
      <c r="G28" s="74"/>
      <c r="H28" s="75"/>
      <c r="I28" s="76"/>
    </row>
    <row r="29" spans="2:9" s="4" customFormat="1" ht="30.75" customHeight="1" x14ac:dyDescent="0.3">
      <c r="B29" s="72">
        <f t="shared" si="0"/>
        <v>18</v>
      </c>
      <c r="C29" s="199"/>
      <c r="D29" s="200"/>
      <c r="E29" s="201"/>
      <c r="F29" s="73"/>
      <c r="G29" s="74"/>
      <c r="H29" s="75"/>
      <c r="I29" s="76"/>
    </row>
    <row r="30" spans="2:9" s="4" customFormat="1" ht="32.25" customHeight="1" x14ac:dyDescent="0.3">
      <c r="B30" s="72">
        <f t="shared" si="0"/>
        <v>19</v>
      </c>
      <c r="C30" s="199"/>
      <c r="D30" s="200"/>
      <c r="E30" s="201"/>
      <c r="F30" s="73"/>
      <c r="G30" s="74"/>
      <c r="H30" s="75"/>
      <c r="I30" s="76"/>
    </row>
    <row r="31" spans="2:9" s="4" customFormat="1" ht="32.25" customHeight="1" x14ac:dyDescent="0.3">
      <c r="B31" s="72">
        <f t="shared" si="0"/>
        <v>20</v>
      </c>
      <c r="C31" s="199"/>
      <c r="D31" s="200"/>
      <c r="E31" s="201"/>
      <c r="F31" s="73"/>
      <c r="G31" s="74"/>
      <c r="H31" s="75"/>
      <c r="I31" s="76"/>
    </row>
    <row r="32" spans="2:9" s="4" customFormat="1" ht="27" customHeight="1" x14ac:dyDescent="0.3">
      <c r="B32" s="72">
        <f t="shared" si="0"/>
        <v>21</v>
      </c>
      <c r="C32" s="199"/>
      <c r="D32" s="200"/>
      <c r="E32" s="201"/>
      <c r="F32" s="73"/>
      <c r="G32" s="74"/>
      <c r="H32" s="75"/>
      <c r="I32" s="76"/>
    </row>
    <row r="33" spans="2:9" s="4" customFormat="1" ht="51" customHeight="1" thickBot="1" x14ac:dyDescent="0.35">
      <c r="B33" s="78">
        <f t="shared" si="0"/>
        <v>22</v>
      </c>
      <c r="C33" s="202"/>
      <c r="D33" s="203"/>
      <c r="E33" s="204"/>
      <c r="F33" s="79"/>
      <c r="G33" s="80"/>
      <c r="H33" s="81"/>
      <c r="I33" s="82"/>
    </row>
    <row r="34" spans="2:9" s="12" customFormat="1" ht="27" customHeight="1" thickBot="1" x14ac:dyDescent="0.3">
      <c r="B34" s="205" t="s">
        <v>7</v>
      </c>
      <c r="C34" s="206"/>
      <c r="D34" s="206"/>
      <c r="E34" s="206" t="s">
        <v>189</v>
      </c>
      <c r="F34" s="206"/>
      <c r="G34" s="207"/>
      <c r="H34" s="207"/>
      <c r="I34" s="83" t="s">
        <v>8</v>
      </c>
    </row>
    <row r="35" spans="2:9" x14ac:dyDescent="0.25">
      <c r="B35" s="153"/>
      <c r="C35" s="154"/>
      <c r="D35" s="208"/>
      <c r="E35" s="154"/>
      <c r="F35" s="154"/>
      <c r="G35" s="154"/>
      <c r="H35" s="154"/>
      <c r="I35" s="159"/>
    </row>
    <row r="36" spans="2:9" x14ac:dyDescent="0.25">
      <c r="B36" s="155"/>
      <c r="C36" s="156"/>
      <c r="D36" s="156"/>
      <c r="E36" s="156"/>
      <c r="F36" s="156"/>
      <c r="G36" s="156"/>
      <c r="H36" s="156"/>
      <c r="I36" s="160"/>
    </row>
    <row r="37" spans="2:9" x14ac:dyDescent="0.25">
      <c r="B37" s="155"/>
      <c r="C37" s="156"/>
      <c r="D37" s="156"/>
      <c r="E37" s="156"/>
      <c r="F37" s="156"/>
      <c r="G37" s="156"/>
      <c r="H37" s="156"/>
      <c r="I37" s="160"/>
    </row>
    <row r="38" spans="2:9" x14ac:dyDescent="0.25">
      <c r="B38" s="155"/>
      <c r="C38" s="156"/>
      <c r="D38" s="156"/>
      <c r="E38" s="156"/>
      <c r="F38" s="156"/>
      <c r="G38" s="156"/>
      <c r="H38" s="156"/>
      <c r="I38" s="160"/>
    </row>
    <row r="39" spans="2:9" ht="59.25" customHeight="1" thickBot="1" x14ac:dyDescent="0.3">
      <c r="B39" s="157"/>
      <c r="C39" s="158"/>
      <c r="D39" s="158"/>
      <c r="E39" s="158"/>
      <c r="F39" s="158"/>
      <c r="G39" s="158"/>
      <c r="H39" s="158"/>
      <c r="I39" s="161"/>
    </row>
  </sheetData>
  <sheetProtection selectLockedCells="1" selectUnlockedCells="1"/>
  <mergeCells count="35">
    <mergeCell ref="B34:D34"/>
    <mergeCell ref="E34:H34"/>
    <mergeCell ref="B35:D39"/>
    <mergeCell ref="E35:H39"/>
    <mergeCell ref="I35:I39"/>
    <mergeCell ref="C33:E33"/>
    <mergeCell ref="C22:E22"/>
    <mergeCell ref="C23:E23"/>
    <mergeCell ref="C24:E24"/>
    <mergeCell ref="C25:E25"/>
    <mergeCell ref="C26:E26"/>
    <mergeCell ref="C27:E27"/>
    <mergeCell ref="C28:E28"/>
    <mergeCell ref="C29:E29"/>
    <mergeCell ref="C30:E30"/>
    <mergeCell ref="C31:E31"/>
    <mergeCell ref="C32:E32"/>
    <mergeCell ref="C21:E21"/>
    <mergeCell ref="G10:H10"/>
    <mergeCell ref="C11:E11"/>
    <mergeCell ref="C12:E12"/>
    <mergeCell ref="C13:E13"/>
    <mergeCell ref="C14:E14"/>
    <mergeCell ref="C15:E15"/>
    <mergeCell ref="C16:E16"/>
    <mergeCell ref="C17:E17"/>
    <mergeCell ref="C18:E18"/>
    <mergeCell ref="C19:E19"/>
    <mergeCell ref="C20:E20"/>
    <mergeCell ref="B3:C5"/>
    <mergeCell ref="D3:H5"/>
    <mergeCell ref="B6:C6"/>
    <mergeCell ref="D6:I6"/>
    <mergeCell ref="B7:C7"/>
    <mergeCell ref="D7:I7"/>
  </mergeCells>
  <phoneticPr fontId="33" type="noConversion"/>
  <conditionalFormatting sqref="F12:F33">
    <cfRule type="cellIs" dxfId="129" priority="1" operator="equal">
      <formula>3</formula>
    </cfRule>
    <cfRule type="cellIs" dxfId="128"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7"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rgb="FFFFC000"/>
    <pageSetUpPr fitToPage="1"/>
  </sheetPr>
  <dimension ref="B1:I39"/>
  <sheetViews>
    <sheetView view="pageBreakPreview" topLeftCell="B1" zoomScale="60" zoomScaleNormal="60" zoomScalePageLayoutView="70" workbookViewId="0">
      <selection activeCell="I15" sqref="I15"/>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9.7109375" style="1" customWidth="1"/>
    <col min="7" max="7" width="5.7109375" style="1" customWidth="1"/>
    <col min="8" max="8" width="6.28515625" style="1" customWidth="1"/>
    <col min="9" max="9" width="55.28515625" style="1" customWidth="1"/>
    <col min="10" max="10" width="6.5703125" style="1" customWidth="1"/>
    <col min="11" max="11" width="7.85546875" style="1" customWidth="1"/>
    <col min="12" max="13" width="8.140625" style="1" customWidth="1"/>
    <col min="14" max="15" width="11.42578125" style="1" customWidth="1"/>
    <col min="16" max="16" width="8.85546875" style="1" customWidth="1"/>
    <col min="17" max="19" width="11.42578125" style="1" customWidth="1"/>
    <col min="20" max="20" width="2.140625" style="1" customWidth="1"/>
    <col min="21" max="16384" width="11.42578125" style="1"/>
  </cols>
  <sheetData>
    <row r="1" spans="2:9" ht="1.5" customHeight="1" x14ac:dyDescent="0.25"/>
    <row r="2" spans="2:9" ht="1.5" customHeight="1" thickBot="1" x14ac:dyDescent="0.3"/>
    <row r="3" spans="2:9" ht="19.7" customHeight="1" thickBot="1" x14ac:dyDescent="0.3">
      <c r="B3" s="178"/>
      <c r="C3" s="178"/>
      <c r="D3" s="179" t="s">
        <v>185</v>
      </c>
      <c r="E3" s="180"/>
      <c r="F3" s="180"/>
      <c r="G3" s="180"/>
      <c r="H3" s="181"/>
      <c r="I3" s="58" t="s">
        <v>186</v>
      </c>
    </row>
    <row r="4" spans="2:9" ht="19.7" customHeight="1" thickBot="1" x14ac:dyDescent="0.3">
      <c r="B4" s="178"/>
      <c r="C4" s="178"/>
      <c r="D4" s="182"/>
      <c r="E4" s="183"/>
      <c r="F4" s="183"/>
      <c r="G4" s="183"/>
      <c r="H4" s="184"/>
      <c r="I4" s="59" t="str">
        <f>Date!B2</f>
        <v>Week ... 2025</v>
      </c>
    </row>
    <row r="5" spans="2:9" ht="19.7" customHeight="1" thickBot="1" x14ac:dyDescent="0.3">
      <c r="B5" s="178"/>
      <c r="C5" s="178"/>
      <c r="D5" s="185"/>
      <c r="E5" s="186"/>
      <c r="F5" s="186"/>
      <c r="G5" s="186"/>
      <c r="H5" s="187"/>
      <c r="I5" s="60" t="s">
        <v>187</v>
      </c>
    </row>
    <row r="6" spans="2:9" ht="27" thickBot="1" x14ac:dyDescent="0.3">
      <c r="B6" s="167" t="s">
        <v>188</v>
      </c>
      <c r="C6" s="168"/>
      <c r="D6" s="188" t="s">
        <v>713</v>
      </c>
      <c r="E6" s="189"/>
      <c r="F6" s="189"/>
      <c r="G6" s="189"/>
      <c r="H6" s="189"/>
      <c r="I6" s="190"/>
    </row>
    <row r="7" spans="2:9" ht="24" customHeight="1" thickBot="1" x14ac:dyDescent="0.3">
      <c r="B7" s="167" t="s">
        <v>170</v>
      </c>
      <c r="C7" s="168"/>
      <c r="D7" s="169"/>
      <c r="E7" s="170"/>
      <c r="F7" s="170"/>
      <c r="G7" s="170"/>
      <c r="H7" s="170"/>
      <c r="I7" s="191"/>
    </row>
    <row r="8" spans="2:9" ht="4.5" customHeight="1" thickBot="1" x14ac:dyDescent="0.3">
      <c r="B8" s="2"/>
      <c r="C8" s="2"/>
      <c r="D8" s="3"/>
      <c r="E8" s="3"/>
      <c r="F8" s="3"/>
      <c r="G8" s="3"/>
      <c r="H8" s="3"/>
      <c r="I8" s="3"/>
    </row>
    <row r="9" spans="2:9" ht="15.75" hidden="1" thickBot="1" x14ac:dyDescent="0.3"/>
    <row r="10" spans="2:9" ht="20.25" customHeight="1" thickBot="1" x14ac:dyDescent="0.35">
      <c r="B10" s="61"/>
      <c r="C10" s="61"/>
      <c r="D10" s="61"/>
      <c r="E10" s="61"/>
      <c r="F10" s="61"/>
      <c r="G10" s="195" t="s">
        <v>0</v>
      </c>
      <c r="H10" s="196"/>
      <c r="I10" s="61"/>
    </row>
    <row r="11" spans="2:9" s="4" customFormat="1" ht="24" customHeight="1" thickBot="1" x14ac:dyDescent="0.3">
      <c r="B11" s="62" t="s">
        <v>1</v>
      </c>
      <c r="C11" s="197" t="s">
        <v>2</v>
      </c>
      <c r="D11" s="197"/>
      <c r="E11" s="198"/>
      <c r="F11" s="63" t="s">
        <v>3</v>
      </c>
      <c r="G11" s="64" t="s">
        <v>4</v>
      </c>
      <c r="H11" s="65" t="s">
        <v>5</v>
      </c>
      <c r="I11" s="66" t="s">
        <v>6</v>
      </c>
    </row>
    <row r="12" spans="2:9" s="4" customFormat="1" ht="43.5" customHeight="1" x14ac:dyDescent="0.3">
      <c r="B12" s="67">
        <v>1</v>
      </c>
      <c r="C12" s="199" t="s">
        <v>216</v>
      </c>
      <c r="D12" s="200"/>
      <c r="E12" s="201"/>
      <c r="F12" s="68"/>
      <c r="G12" s="69"/>
      <c r="H12" s="70"/>
      <c r="I12" s="71"/>
    </row>
    <row r="13" spans="2:9" s="4" customFormat="1" ht="44.25" customHeight="1" x14ac:dyDescent="0.3">
      <c r="B13" s="72">
        <f>B12+1</f>
        <v>2</v>
      </c>
      <c r="C13" s="192" t="s">
        <v>218</v>
      </c>
      <c r="D13" s="193"/>
      <c r="E13" s="194"/>
      <c r="F13" s="73"/>
      <c r="G13" s="74"/>
      <c r="H13" s="75"/>
      <c r="I13" s="76"/>
    </row>
    <row r="14" spans="2:9" s="4" customFormat="1" ht="48.75" customHeight="1" x14ac:dyDescent="0.3">
      <c r="B14" s="72">
        <f t="shared" ref="B14:B33" si="0">B13+1</f>
        <v>3</v>
      </c>
      <c r="C14" s="199" t="s">
        <v>211</v>
      </c>
      <c r="D14" s="200"/>
      <c r="E14" s="201"/>
      <c r="F14" s="73"/>
      <c r="G14" s="74"/>
      <c r="H14" s="75"/>
      <c r="I14" s="76"/>
    </row>
    <row r="15" spans="2:9" s="4" customFormat="1" ht="43.5" customHeight="1" x14ac:dyDescent="0.3">
      <c r="B15" s="72">
        <f t="shared" si="0"/>
        <v>4</v>
      </c>
      <c r="C15" s="192" t="s">
        <v>212</v>
      </c>
      <c r="D15" s="193"/>
      <c r="E15" s="194"/>
      <c r="F15" s="73"/>
      <c r="G15" s="74"/>
      <c r="H15" s="75"/>
      <c r="I15" s="76"/>
    </row>
    <row r="16" spans="2:9" s="4" customFormat="1" ht="46.5" customHeight="1" x14ac:dyDescent="0.3">
      <c r="B16" s="72">
        <f t="shared" si="0"/>
        <v>5</v>
      </c>
      <c r="C16" s="199" t="s">
        <v>213</v>
      </c>
      <c r="D16" s="200"/>
      <c r="E16" s="201"/>
      <c r="F16" s="73"/>
      <c r="G16" s="74"/>
      <c r="H16" s="75"/>
      <c r="I16" s="76"/>
    </row>
    <row r="17" spans="2:9" s="4" customFormat="1" ht="50.25" customHeight="1" x14ac:dyDescent="0.3">
      <c r="B17" s="72">
        <f t="shared" si="0"/>
        <v>6</v>
      </c>
      <c r="C17" s="199" t="s">
        <v>214</v>
      </c>
      <c r="D17" s="200"/>
      <c r="E17" s="201"/>
      <c r="F17" s="73"/>
      <c r="G17" s="74"/>
      <c r="H17" s="75"/>
      <c r="I17" s="76"/>
    </row>
    <row r="18" spans="2:9" s="4" customFormat="1" ht="54" customHeight="1" x14ac:dyDescent="0.3">
      <c r="B18" s="72">
        <f t="shared" si="0"/>
        <v>7</v>
      </c>
      <c r="C18" s="192" t="s">
        <v>215</v>
      </c>
      <c r="D18" s="193"/>
      <c r="E18" s="194"/>
      <c r="F18" s="73"/>
      <c r="G18" s="74"/>
      <c r="H18" s="75"/>
      <c r="I18" s="76"/>
    </row>
    <row r="19" spans="2:9" s="4" customFormat="1" ht="48" customHeight="1" x14ac:dyDescent="0.3">
      <c r="B19" s="72">
        <f t="shared" si="0"/>
        <v>8</v>
      </c>
      <c r="C19" s="192" t="s">
        <v>217</v>
      </c>
      <c r="D19" s="193"/>
      <c r="E19" s="194"/>
      <c r="F19" s="73"/>
      <c r="G19" s="74"/>
      <c r="H19" s="75"/>
      <c r="I19" s="77"/>
    </row>
    <row r="20" spans="2:9" s="4" customFormat="1" ht="46.5" customHeight="1" x14ac:dyDescent="0.3">
      <c r="B20" s="72">
        <f t="shared" si="0"/>
        <v>9</v>
      </c>
      <c r="C20" s="192" t="s">
        <v>484</v>
      </c>
      <c r="D20" s="193"/>
      <c r="E20" s="194"/>
      <c r="F20" s="73"/>
      <c r="G20" s="74"/>
      <c r="H20" s="75"/>
      <c r="I20" s="76"/>
    </row>
    <row r="21" spans="2:9" s="4" customFormat="1" ht="51" customHeight="1" x14ac:dyDescent="0.3">
      <c r="B21" s="72">
        <f t="shared" si="0"/>
        <v>10</v>
      </c>
      <c r="C21" s="192" t="s">
        <v>485</v>
      </c>
      <c r="D21" s="193"/>
      <c r="E21" s="194"/>
      <c r="F21" s="73"/>
      <c r="G21" s="74"/>
      <c r="H21" s="75"/>
      <c r="I21" s="76"/>
    </row>
    <row r="22" spans="2:9" s="4" customFormat="1" ht="51" customHeight="1" x14ac:dyDescent="0.3">
      <c r="B22" s="72">
        <f t="shared" si="0"/>
        <v>11</v>
      </c>
      <c r="C22" s="192" t="s">
        <v>489</v>
      </c>
      <c r="D22" s="193"/>
      <c r="E22" s="194"/>
      <c r="F22" s="73"/>
      <c r="G22" s="74"/>
      <c r="H22" s="75"/>
      <c r="I22" s="76"/>
    </row>
    <row r="23" spans="2:9" s="4" customFormat="1" ht="51" customHeight="1" x14ac:dyDescent="0.3">
      <c r="B23" s="72">
        <f t="shared" si="0"/>
        <v>12</v>
      </c>
      <c r="C23" s="192" t="s">
        <v>486</v>
      </c>
      <c r="D23" s="193"/>
      <c r="E23" s="194"/>
      <c r="F23" s="73"/>
      <c r="G23" s="74"/>
      <c r="H23" s="75"/>
      <c r="I23" s="76"/>
    </row>
    <row r="24" spans="2:9" s="4" customFormat="1" ht="51" customHeight="1" x14ac:dyDescent="0.3">
      <c r="B24" s="72">
        <f t="shared" si="0"/>
        <v>13</v>
      </c>
      <c r="C24" s="192" t="s">
        <v>487</v>
      </c>
      <c r="D24" s="193"/>
      <c r="E24" s="194"/>
      <c r="F24" s="73"/>
      <c r="G24" s="74"/>
      <c r="H24" s="75"/>
      <c r="I24" s="76"/>
    </row>
    <row r="25" spans="2:9" s="4" customFormat="1" ht="51" customHeight="1" x14ac:dyDescent="0.3">
      <c r="B25" s="72">
        <f t="shared" si="0"/>
        <v>14</v>
      </c>
      <c r="C25" s="192" t="s">
        <v>488</v>
      </c>
      <c r="D25" s="193"/>
      <c r="E25" s="194"/>
      <c r="F25" s="73"/>
      <c r="G25" s="74"/>
      <c r="H25" s="75"/>
      <c r="I25" s="76"/>
    </row>
    <row r="26" spans="2:9" s="4" customFormat="1" ht="51" customHeight="1" x14ac:dyDescent="0.3">
      <c r="B26" s="72">
        <f t="shared" si="0"/>
        <v>15</v>
      </c>
      <c r="C26" s="192" t="s">
        <v>490</v>
      </c>
      <c r="D26" s="193"/>
      <c r="E26" s="194"/>
      <c r="F26" s="73"/>
      <c r="G26" s="74"/>
      <c r="H26" s="75"/>
      <c r="I26" s="76"/>
    </row>
    <row r="27" spans="2:9" s="4" customFormat="1" ht="47.25" customHeight="1" x14ac:dyDescent="0.3">
      <c r="B27" s="72">
        <f t="shared" si="0"/>
        <v>16</v>
      </c>
      <c r="C27" s="192" t="s">
        <v>491</v>
      </c>
      <c r="D27" s="193"/>
      <c r="E27" s="194"/>
      <c r="F27" s="73"/>
      <c r="G27" s="74"/>
      <c r="H27" s="75"/>
      <c r="I27" s="76"/>
    </row>
    <row r="28" spans="2:9" s="4" customFormat="1" ht="37.5" customHeight="1" x14ac:dyDescent="0.3">
      <c r="B28" s="72">
        <f t="shared" si="0"/>
        <v>17</v>
      </c>
      <c r="C28" s="199"/>
      <c r="D28" s="200"/>
      <c r="E28" s="201"/>
      <c r="F28" s="73"/>
      <c r="G28" s="74"/>
      <c r="H28" s="75"/>
      <c r="I28" s="76"/>
    </row>
    <row r="29" spans="2:9" s="4" customFormat="1" ht="30.75" customHeight="1" x14ac:dyDescent="0.3">
      <c r="B29" s="72">
        <f t="shared" si="0"/>
        <v>18</v>
      </c>
      <c r="C29" s="199"/>
      <c r="D29" s="200"/>
      <c r="E29" s="201"/>
      <c r="F29" s="73"/>
      <c r="G29" s="74"/>
      <c r="H29" s="75"/>
      <c r="I29" s="76"/>
    </row>
    <row r="30" spans="2:9" s="4" customFormat="1" ht="32.25" customHeight="1" x14ac:dyDescent="0.3">
      <c r="B30" s="72">
        <f t="shared" si="0"/>
        <v>19</v>
      </c>
      <c r="C30" s="199"/>
      <c r="D30" s="200"/>
      <c r="E30" s="201"/>
      <c r="F30" s="73"/>
      <c r="G30" s="74"/>
      <c r="H30" s="75"/>
      <c r="I30" s="76"/>
    </row>
    <row r="31" spans="2:9" s="4" customFormat="1" ht="32.25" customHeight="1" x14ac:dyDescent="0.3">
      <c r="B31" s="72">
        <f t="shared" si="0"/>
        <v>20</v>
      </c>
      <c r="C31" s="199"/>
      <c r="D31" s="200"/>
      <c r="E31" s="201"/>
      <c r="F31" s="73"/>
      <c r="G31" s="74"/>
      <c r="H31" s="75"/>
      <c r="I31" s="76"/>
    </row>
    <row r="32" spans="2:9" s="4" customFormat="1" ht="27" customHeight="1" x14ac:dyDescent="0.3">
      <c r="B32" s="72">
        <f t="shared" si="0"/>
        <v>21</v>
      </c>
      <c r="C32" s="199"/>
      <c r="D32" s="200"/>
      <c r="E32" s="201"/>
      <c r="F32" s="73"/>
      <c r="G32" s="74"/>
      <c r="H32" s="75"/>
      <c r="I32" s="76"/>
    </row>
    <row r="33" spans="2:9" s="4" customFormat="1" ht="51" customHeight="1" thickBot="1" x14ac:dyDescent="0.35">
      <c r="B33" s="78">
        <f t="shared" si="0"/>
        <v>22</v>
      </c>
      <c r="C33" s="202"/>
      <c r="D33" s="203"/>
      <c r="E33" s="204"/>
      <c r="F33" s="79"/>
      <c r="G33" s="80"/>
      <c r="H33" s="81"/>
      <c r="I33" s="82"/>
    </row>
    <row r="34" spans="2:9" s="12" customFormat="1" ht="27" customHeight="1" thickBot="1" x14ac:dyDescent="0.3">
      <c r="B34" s="205" t="s">
        <v>7</v>
      </c>
      <c r="C34" s="206"/>
      <c r="D34" s="206"/>
      <c r="E34" s="206" t="s">
        <v>189</v>
      </c>
      <c r="F34" s="206"/>
      <c r="G34" s="207"/>
      <c r="H34" s="207"/>
      <c r="I34" s="83" t="s">
        <v>8</v>
      </c>
    </row>
    <row r="35" spans="2:9" x14ac:dyDescent="0.25">
      <c r="B35" s="153"/>
      <c r="C35" s="154"/>
      <c r="D35" s="208"/>
      <c r="E35" s="154"/>
      <c r="F35" s="154"/>
      <c r="G35" s="154"/>
      <c r="H35" s="154"/>
      <c r="I35" s="159"/>
    </row>
    <row r="36" spans="2:9" x14ac:dyDescent="0.25">
      <c r="B36" s="155"/>
      <c r="C36" s="156"/>
      <c r="D36" s="156"/>
      <c r="E36" s="156"/>
      <c r="F36" s="156"/>
      <c r="G36" s="156"/>
      <c r="H36" s="156"/>
      <c r="I36" s="160"/>
    </row>
    <row r="37" spans="2:9" x14ac:dyDescent="0.25">
      <c r="B37" s="155"/>
      <c r="C37" s="156"/>
      <c r="D37" s="156"/>
      <c r="E37" s="156"/>
      <c r="F37" s="156"/>
      <c r="G37" s="156"/>
      <c r="H37" s="156"/>
      <c r="I37" s="160"/>
    </row>
    <row r="38" spans="2:9" x14ac:dyDescent="0.25">
      <c r="B38" s="155"/>
      <c r="C38" s="156"/>
      <c r="D38" s="156"/>
      <c r="E38" s="156"/>
      <c r="F38" s="156"/>
      <c r="G38" s="156"/>
      <c r="H38" s="156"/>
      <c r="I38" s="160"/>
    </row>
    <row r="39" spans="2:9" ht="59.25" customHeight="1" thickBot="1" x14ac:dyDescent="0.3">
      <c r="B39" s="157"/>
      <c r="C39" s="158"/>
      <c r="D39" s="158"/>
      <c r="E39" s="158"/>
      <c r="F39" s="158"/>
      <c r="G39" s="158"/>
      <c r="H39" s="158"/>
      <c r="I39" s="161"/>
    </row>
  </sheetData>
  <sheetProtection selectLockedCells="1" selectUnlockedCells="1"/>
  <mergeCells count="35">
    <mergeCell ref="B34:D34"/>
    <mergeCell ref="E34:H34"/>
    <mergeCell ref="B35:D39"/>
    <mergeCell ref="E35:H39"/>
    <mergeCell ref="I35:I39"/>
    <mergeCell ref="C33:E33"/>
    <mergeCell ref="C22:E22"/>
    <mergeCell ref="C23:E23"/>
    <mergeCell ref="C24:E24"/>
    <mergeCell ref="C25:E25"/>
    <mergeCell ref="C26:E26"/>
    <mergeCell ref="C27:E27"/>
    <mergeCell ref="C28:E28"/>
    <mergeCell ref="C29:E29"/>
    <mergeCell ref="C30:E30"/>
    <mergeCell ref="C31:E31"/>
    <mergeCell ref="C32:E32"/>
    <mergeCell ref="C21:E21"/>
    <mergeCell ref="G10:H10"/>
    <mergeCell ref="C11:E11"/>
    <mergeCell ref="C12:E12"/>
    <mergeCell ref="C13:E13"/>
    <mergeCell ref="C14:E14"/>
    <mergeCell ref="C15:E15"/>
    <mergeCell ref="C16:E16"/>
    <mergeCell ref="C17:E17"/>
    <mergeCell ref="C18:E18"/>
    <mergeCell ref="C19:E19"/>
    <mergeCell ref="C20:E20"/>
    <mergeCell ref="B3:C5"/>
    <mergeCell ref="D3:H5"/>
    <mergeCell ref="B6:C6"/>
    <mergeCell ref="D6:I6"/>
    <mergeCell ref="B7:C7"/>
    <mergeCell ref="D7:I7"/>
  </mergeCells>
  <conditionalFormatting sqref="F12:F33">
    <cfRule type="cellIs" dxfId="127" priority="1" operator="equal">
      <formula>3</formula>
    </cfRule>
    <cfRule type="cellIs" dxfId="126"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7"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C000"/>
    <pageSetUpPr fitToPage="1"/>
  </sheetPr>
  <dimension ref="B1:I39"/>
  <sheetViews>
    <sheetView view="pageBreakPreview" zoomScale="60" zoomScaleNormal="60" zoomScalePageLayoutView="70" workbookViewId="0">
      <selection activeCell="F18" sqref="F18"/>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9.7109375" style="1" customWidth="1"/>
    <col min="7" max="7" width="5.7109375" style="1" customWidth="1"/>
    <col min="8" max="8" width="6.28515625" style="1" customWidth="1"/>
    <col min="9" max="9" width="55.28515625" style="1" customWidth="1"/>
    <col min="10" max="10" width="6.5703125" style="1" customWidth="1"/>
    <col min="11" max="11" width="7.85546875" style="1" customWidth="1"/>
    <col min="12" max="13" width="8.140625" style="1" customWidth="1"/>
    <col min="14" max="15" width="11.42578125" style="1" customWidth="1"/>
    <col min="16" max="16" width="8.85546875" style="1" customWidth="1"/>
    <col min="17" max="19" width="11.42578125" style="1" customWidth="1"/>
    <col min="20" max="20" width="2.140625" style="1" customWidth="1"/>
    <col min="21" max="16384" width="11.42578125" style="1"/>
  </cols>
  <sheetData>
    <row r="1" spans="2:9" ht="1.5" customHeight="1" x14ac:dyDescent="0.25"/>
    <row r="2" spans="2:9" ht="1.5" customHeight="1" thickBot="1" x14ac:dyDescent="0.3"/>
    <row r="3" spans="2:9" ht="19.7" customHeight="1" thickBot="1" x14ac:dyDescent="0.3">
      <c r="B3" s="178"/>
      <c r="C3" s="178"/>
      <c r="D3" s="179" t="s">
        <v>185</v>
      </c>
      <c r="E3" s="180"/>
      <c r="F3" s="180"/>
      <c r="G3" s="180"/>
      <c r="H3" s="181"/>
      <c r="I3" s="58" t="s">
        <v>186</v>
      </c>
    </row>
    <row r="4" spans="2:9" ht="19.7" customHeight="1" thickBot="1" x14ac:dyDescent="0.3">
      <c r="B4" s="178"/>
      <c r="C4" s="178"/>
      <c r="D4" s="182"/>
      <c r="E4" s="183"/>
      <c r="F4" s="183"/>
      <c r="G4" s="183"/>
      <c r="H4" s="184"/>
      <c r="I4" s="59" t="str">
        <f>Date!B2</f>
        <v>Week ... 2025</v>
      </c>
    </row>
    <row r="5" spans="2:9" ht="19.7" customHeight="1" thickBot="1" x14ac:dyDescent="0.3">
      <c r="B5" s="178"/>
      <c r="C5" s="178"/>
      <c r="D5" s="185"/>
      <c r="E5" s="186"/>
      <c r="F5" s="186"/>
      <c r="G5" s="186"/>
      <c r="H5" s="187"/>
      <c r="I5" s="60" t="s">
        <v>187</v>
      </c>
    </row>
    <row r="6" spans="2:9" ht="27" thickBot="1" x14ac:dyDescent="0.3">
      <c r="B6" s="167" t="s">
        <v>188</v>
      </c>
      <c r="C6" s="168"/>
      <c r="D6" s="188" t="s">
        <v>210</v>
      </c>
      <c r="E6" s="189"/>
      <c r="F6" s="189"/>
      <c r="G6" s="189"/>
      <c r="H6" s="189"/>
      <c r="I6" s="190"/>
    </row>
    <row r="7" spans="2:9" ht="24" customHeight="1" thickBot="1" x14ac:dyDescent="0.3">
      <c r="B7" s="167" t="s">
        <v>170</v>
      </c>
      <c r="C7" s="168"/>
      <c r="D7" s="169"/>
      <c r="E7" s="170"/>
      <c r="F7" s="170"/>
      <c r="G7" s="170"/>
      <c r="H7" s="170"/>
      <c r="I7" s="191"/>
    </row>
    <row r="8" spans="2:9" ht="4.5" customHeight="1" thickBot="1" x14ac:dyDescent="0.3">
      <c r="B8" s="2"/>
      <c r="C8" s="2"/>
      <c r="D8" s="3"/>
      <c r="E8" s="3"/>
      <c r="F8" s="3"/>
      <c r="G8" s="3"/>
      <c r="H8" s="3"/>
      <c r="I8" s="3"/>
    </row>
    <row r="9" spans="2:9" ht="15.75" hidden="1" thickBot="1" x14ac:dyDescent="0.3"/>
    <row r="10" spans="2:9" ht="20.25" customHeight="1" thickBot="1" x14ac:dyDescent="0.35">
      <c r="B10" s="61"/>
      <c r="C10" s="61"/>
      <c r="D10" s="61"/>
      <c r="E10" s="61"/>
      <c r="F10" s="61"/>
      <c r="G10" s="195" t="s">
        <v>0</v>
      </c>
      <c r="H10" s="196"/>
      <c r="I10" s="61"/>
    </row>
    <row r="11" spans="2:9" s="4" customFormat="1" ht="24" customHeight="1" thickBot="1" x14ac:dyDescent="0.3">
      <c r="B11" s="62" t="s">
        <v>1</v>
      </c>
      <c r="C11" s="197" t="s">
        <v>2</v>
      </c>
      <c r="D11" s="197"/>
      <c r="E11" s="198"/>
      <c r="F11" s="63" t="s">
        <v>3</v>
      </c>
      <c r="G11" s="64" t="s">
        <v>4</v>
      </c>
      <c r="H11" s="65" t="s">
        <v>5</v>
      </c>
      <c r="I11" s="66" t="s">
        <v>6</v>
      </c>
    </row>
    <row r="12" spans="2:9" s="4" customFormat="1" ht="43.5" customHeight="1" x14ac:dyDescent="0.3">
      <c r="B12" s="67">
        <v>1</v>
      </c>
      <c r="C12" s="199" t="s">
        <v>211</v>
      </c>
      <c r="D12" s="200"/>
      <c r="E12" s="201"/>
      <c r="F12" s="68"/>
      <c r="G12" s="69"/>
      <c r="H12" s="70"/>
      <c r="I12" s="71"/>
    </row>
    <row r="13" spans="2:9" s="4" customFormat="1" ht="44.25" customHeight="1" x14ac:dyDescent="0.3">
      <c r="B13" s="72">
        <f>B12+1</f>
        <v>2</v>
      </c>
      <c r="C13" s="192" t="s">
        <v>212</v>
      </c>
      <c r="D13" s="193"/>
      <c r="E13" s="194"/>
      <c r="F13" s="73"/>
      <c r="G13" s="74"/>
      <c r="H13" s="75"/>
      <c r="I13" s="76"/>
    </row>
    <row r="14" spans="2:9" s="4" customFormat="1" ht="48.75" customHeight="1" x14ac:dyDescent="0.3">
      <c r="B14" s="72">
        <f t="shared" ref="B14:B33" si="0">B13+1</f>
        <v>3</v>
      </c>
      <c r="C14" s="199" t="s">
        <v>213</v>
      </c>
      <c r="D14" s="200"/>
      <c r="E14" s="201"/>
      <c r="F14" s="73"/>
      <c r="G14" s="74"/>
      <c r="H14" s="75"/>
      <c r="I14" s="76"/>
    </row>
    <row r="15" spans="2:9" s="4" customFormat="1" ht="43.5" customHeight="1" x14ac:dyDescent="0.3">
      <c r="B15" s="72">
        <f t="shared" si="0"/>
        <v>4</v>
      </c>
      <c r="C15" s="199" t="s">
        <v>214</v>
      </c>
      <c r="D15" s="200"/>
      <c r="E15" s="201"/>
      <c r="F15" s="73"/>
      <c r="G15" s="74"/>
      <c r="H15" s="75"/>
      <c r="I15" s="76"/>
    </row>
    <row r="16" spans="2:9" s="4" customFormat="1" ht="46.5" customHeight="1" x14ac:dyDescent="0.3">
      <c r="B16" s="72">
        <f t="shared" si="0"/>
        <v>5</v>
      </c>
      <c r="C16" s="192" t="s">
        <v>215</v>
      </c>
      <c r="D16" s="193"/>
      <c r="E16" s="194"/>
      <c r="F16" s="73"/>
      <c r="G16" s="74"/>
      <c r="H16" s="75"/>
      <c r="I16" s="76"/>
    </row>
    <row r="17" spans="2:9" s="4" customFormat="1" ht="50.25" customHeight="1" x14ac:dyDescent="0.3">
      <c r="B17" s="72">
        <f t="shared" si="0"/>
        <v>6</v>
      </c>
      <c r="C17" s="192" t="s">
        <v>217</v>
      </c>
      <c r="D17" s="193"/>
      <c r="E17" s="194"/>
      <c r="F17" s="73"/>
      <c r="G17" s="74"/>
      <c r="H17" s="75"/>
      <c r="I17" s="76"/>
    </row>
    <row r="18" spans="2:9" s="4" customFormat="1" ht="54" customHeight="1" x14ac:dyDescent="0.3">
      <c r="B18" s="72">
        <f t="shared" si="0"/>
        <v>7</v>
      </c>
      <c r="C18" s="192" t="s">
        <v>216</v>
      </c>
      <c r="D18" s="193"/>
      <c r="E18" s="194"/>
      <c r="F18" s="73"/>
      <c r="G18" s="74"/>
      <c r="H18" s="75"/>
      <c r="I18" s="76"/>
    </row>
    <row r="19" spans="2:9" s="4" customFormat="1" ht="48" customHeight="1" x14ac:dyDescent="0.3">
      <c r="B19" s="72">
        <f t="shared" si="0"/>
        <v>8</v>
      </c>
      <c r="C19" s="192" t="s">
        <v>696</v>
      </c>
      <c r="D19" s="193"/>
      <c r="E19" s="194"/>
      <c r="F19" s="73"/>
      <c r="G19" s="74"/>
      <c r="H19" s="75"/>
      <c r="I19" s="77"/>
    </row>
    <row r="20" spans="2:9" s="4" customFormat="1" ht="70.5" customHeight="1" x14ac:dyDescent="0.3">
      <c r="B20" s="72">
        <f t="shared" si="0"/>
        <v>9</v>
      </c>
      <c r="C20" s="199"/>
      <c r="D20" s="200"/>
      <c r="E20" s="201"/>
      <c r="F20" s="73"/>
      <c r="G20" s="74"/>
      <c r="H20" s="75"/>
      <c r="I20" s="76"/>
    </row>
    <row r="21" spans="2:9" s="4" customFormat="1" ht="39.75" customHeight="1" x14ac:dyDescent="0.3">
      <c r="B21" s="72">
        <f t="shared" si="0"/>
        <v>10</v>
      </c>
      <c r="C21" s="199"/>
      <c r="D21" s="200"/>
      <c r="E21" s="201"/>
      <c r="F21" s="73"/>
      <c r="G21" s="74"/>
      <c r="H21" s="75"/>
      <c r="I21" s="76"/>
    </row>
    <row r="22" spans="2:9" s="4" customFormat="1" ht="34.5" customHeight="1" x14ac:dyDescent="0.3">
      <c r="B22" s="72">
        <f t="shared" si="0"/>
        <v>11</v>
      </c>
      <c r="C22" s="192"/>
      <c r="D22" s="193"/>
      <c r="E22" s="194"/>
      <c r="F22" s="73"/>
      <c r="G22" s="74"/>
      <c r="H22" s="75"/>
      <c r="I22" s="76"/>
    </row>
    <row r="23" spans="2:9" s="4" customFormat="1" ht="42" customHeight="1" x14ac:dyDescent="0.3">
      <c r="B23" s="72">
        <f t="shared" si="0"/>
        <v>12</v>
      </c>
      <c r="C23" s="192"/>
      <c r="D23" s="193"/>
      <c r="E23" s="194"/>
      <c r="F23" s="73"/>
      <c r="G23" s="74"/>
      <c r="H23" s="75"/>
      <c r="I23" s="76"/>
    </row>
    <row r="24" spans="2:9" s="4" customFormat="1" ht="38.25" customHeight="1" x14ac:dyDescent="0.3">
      <c r="B24" s="72">
        <f t="shared" si="0"/>
        <v>13</v>
      </c>
      <c r="C24" s="192"/>
      <c r="D24" s="193"/>
      <c r="E24" s="194"/>
      <c r="F24" s="73"/>
      <c r="G24" s="74"/>
      <c r="H24" s="75"/>
      <c r="I24" s="76"/>
    </row>
    <row r="25" spans="2:9" s="4" customFormat="1" ht="32.25" customHeight="1" x14ac:dyDescent="0.3">
      <c r="B25" s="72">
        <f t="shared" si="0"/>
        <v>14</v>
      </c>
      <c r="C25" s="192"/>
      <c r="D25" s="193"/>
      <c r="E25" s="194"/>
      <c r="F25" s="73"/>
      <c r="G25" s="74"/>
      <c r="H25" s="75"/>
      <c r="I25" s="76"/>
    </row>
    <row r="26" spans="2:9" s="4" customFormat="1" ht="38.25" customHeight="1" x14ac:dyDescent="0.3">
      <c r="B26" s="72">
        <f t="shared" si="0"/>
        <v>15</v>
      </c>
      <c r="C26" s="192"/>
      <c r="D26" s="193"/>
      <c r="E26" s="194"/>
      <c r="F26" s="73"/>
      <c r="G26" s="74"/>
      <c r="H26" s="75"/>
      <c r="I26" s="76"/>
    </row>
    <row r="27" spans="2:9" s="4" customFormat="1" ht="28.5" customHeight="1" x14ac:dyDescent="0.3">
      <c r="B27" s="72">
        <f t="shared" si="0"/>
        <v>16</v>
      </c>
      <c r="C27" s="199"/>
      <c r="D27" s="200"/>
      <c r="E27" s="201"/>
      <c r="F27" s="73"/>
      <c r="G27" s="74"/>
      <c r="H27" s="75"/>
      <c r="I27" s="76"/>
    </row>
    <row r="28" spans="2:9" s="4" customFormat="1" ht="37.5" customHeight="1" x14ac:dyDescent="0.3">
      <c r="B28" s="72">
        <f t="shared" si="0"/>
        <v>17</v>
      </c>
      <c r="C28" s="199"/>
      <c r="D28" s="200"/>
      <c r="E28" s="201"/>
      <c r="F28" s="73"/>
      <c r="G28" s="74"/>
      <c r="H28" s="75"/>
      <c r="I28" s="76"/>
    </row>
    <row r="29" spans="2:9" s="4" customFormat="1" ht="30.75" customHeight="1" x14ac:dyDescent="0.3">
      <c r="B29" s="72">
        <f t="shared" si="0"/>
        <v>18</v>
      </c>
      <c r="C29" s="199"/>
      <c r="D29" s="200"/>
      <c r="E29" s="201"/>
      <c r="F29" s="73"/>
      <c r="G29" s="74"/>
      <c r="H29" s="75"/>
      <c r="I29" s="76"/>
    </row>
    <row r="30" spans="2:9" s="4" customFormat="1" ht="32.25" customHeight="1" x14ac:dyDescent="0.3">
      <c r="B30" s="72">
        <f t="shared" si="0"/>
        <v>19</v>
      </c>
      <c r="C30" s="199"/>
      <c r="D30" s="200"/>
      <c r="E30" s="201"/>
      <c r="F30" s="73"/>
      <c r="G30" s="74"/>
      <c r="H30" s="75"/>
      <c r="I30" s="76"/>
    </row>
    <row r="31" spans="2:9" s="4" customFormat="1" ht="32.25" customHeight="1" x14ac:dyDescent="0.3">
      <c r="B31" s="72">
        <f t="shared" si="0"/>
        <v>20</v>
      </c>
      <c r="C31" s="199"/>
      <c r="D31" s="200"/>
      <c r="E31" s="201"/>
      <c r="F31" s="73"/>
      <c r="G31" s="74"/>
      <c r="H31" s="75"/>
      <c r="I31" s="76"/>
    </row>
    <row r="32" spans="2:9" s="4" customFormat="1" ht="27" customHeight="1" x14ac:dyDescent="0.3">
      <c r="B32" s="72">
        <f t="shared" si="0"/>
        <v>21</v>
      </c>
      <c r="C32" s="199"/>
      <c r="D32" s="200"/>
      <c r="E32" s="201"/>
      <c r="F32" s="73"/>
      <c r="G32" s="74"/>
      <c r="H32" s="75"/>
      <c r="I32" s="76"/>
    </row>
    <row r="33" spans="2:9" s="4" customFormat="1" ht="51" customHeight="1" thickBot="1" x14ac:dyDescent="0.35">
      <c r="B33" s="78">
        <f t="shared" si="0"/>
        <v>22</v>
      </c>
      <c r="C33" s="202"/>
      <c r="D33" s="203"/>
      <c r="E33" s="204"/>
      <c r="F33" s="79"/>
      <c r="G33" s="80"/>
      <c r="H33" s="81"/>
      <c r="I33" s="82"/>
    </row>
    <row r="34" spans="2:9" s="12" customFormat="1" ht="27" customHeight="1" thickBot="1" x14ac:dyDescent="0.3">
      <c r="B34" s="205" t="s">
        <v>7</v>
      </c>
      <c r="C34" s="206"/>
      <c r="D34" s="206"/>
      <c r="E34" s="206" t="s">
        <v>189</v>
      </c>
      <c r="F34" s="206"/>
      <c r="G34" s="207"/>
      <c r="H34" s="207"/>
      <c r="I34" s="83" t="s">
        <v>8</v>
      </c>
    </row>
    <row r="35" spans="2:9" x14ac:dyDescent="0.25">
      <c r="B35" s="153"/>
      <c r="C35" s="154"/>
      <c r="D35" s="208"/>
      <c r="E35" s="154"/>
      <c r="F35" s="154"/>
      <c r="G35" s="154"/>
      <c r="H35" s="154"/>
      <c r="I35" s="159"/>
    </row>
    <row r="36" spans="2:9" x14ac:dyDescent="0.25">
      <c r="B36" s="155"/>
      <c r="C36" s="156"/>
      <c r="D36" s="156"/>
      <c r="E36" s="156"/>
      <c r="F36" s="156"/>
      <c r="G36" s="156"/>
      <c r="H36" s="156"/>
      <c r="I36" s="160"/>
    </row>
    <row r="37" spans="2:9" x14ac:dyDescent="0.25">
      <c r="B37" s="155"/>
      <c r="C37" s="156"/>
      <c r="D37" s="156"/>
      <c r="E37" s="156"/>
      <c r="F37" s="156"/>
      <c r="G37" s="156"/>
      <c r="H37" s="156"/>
      <c r="I37" s="160"/>
    </row>
    <row r="38" spans="2:9" x14ac:dyDescent="0.25">
      <c r="B38" s="155"/>
      <c r="C38" s="156"/>
      <c r="D38" s="156"/>
      <c r="E38" s="156"/>
      <c r="F38" s="156"/>
      <c r="G38" s="156"/>
      <c r="H38" s="156"/>
      <c r="I38" s="160"/>
    </row>
    <row r="39" spans="2:9" ht="59.25" customHeight="1" thickBot="1" x14ac:dyDescent="0.3">
      <c r="B39" s="157"/>
      <c r="C39" s="158"/>
      <c r="D39" s="158"/>
      <c r="E39" s="158"/>
      <c r="F39" s="158"/>
      <c r="G39" s="158"/>
      <c r="H39" s="158"/>
      <c r="I39" s="161"/>
    </row>
  </sheetData>
  <sheetProtection selectLockedCells="1" selectUnlockedCells="1"/>
  <mergeCells count="35">
    <mergeCell ref="B34:D34"/>
    <mergeCell ref="E34:H34"/>
    <mergeCell ref="B35:D39"/>
    <mergeCell ref="E35:H39"/>
    <mergeCell ref="I35:I39"/>
    <mergeCell ref="C33:E33"/>
    <mergeCell ref="C22:E22"/>
    <mergeCell ref="C23:E23"/>
    <mergeCell ref="C24:E24"/>
    <mergeCell ref="C25:E25"/>
    <mergeCell ref="C26:E26"/>
    <mergeCell ref="C27:E27"/>
    <mergeCell ref="C28:E28"/>
    <mergeCell ref="C29:E29"/>
    <mergeCell ref="C30:E30"/>
    <mergeCell ref="C31:E31"/>
    <mergeCell ref="C32:E32"/>
    <mergeCell ref="C21:E21"/>
    <mergeCell ref="G10:H10"/>
    <mergeCell ref="C11:E11"/>
    <mergeCell ref="C12:E12"/>
    <mergeCell ref="C13:E13"/>
    <mergeCell ref="C14:E14"/>
    <mergeCell ref="C15:E15"/>
    <mergeCell ref="C16:E16"/>
    <mergeCell ref="C17:E17"/>
    <mergeCell ref="C18:E18"/>
    <mergeCell ref="C19:E19"/>
    <mergeCell ref="C20:E20"/>
    <mergeCell ref="B3:C5"/>
    <mergeCell ref="D3:H5"/>
    <mergeCell ref="B6:C6"/>
    <mergeCell ref="D6:I6"/>
    <mergeCell ref="B7:C7"/>
    <mergeCell ref="D7:I7"/>
  </mergeCells>
  <conditionalFormatting sqref="F12:F33">
    <cfRule type="cellIs" dxfId="125" priority="1" operator="equal">
      <formula>3</formula>
    </cfRule>
    <cfRule type="cellIs" dxfId="124"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rgb="FFFFC000"/>
    <pageSetUpPr fitToPage="1"/>
  </sheetPr>
  <dimension ref="B1:I39"/>
  <sheetViews>
    <sheetView view="pageBreakPreview" zoomScale="60" zoomScaleNormal="60" zoomScalePageLayoutView="70" workbookViewId="0">
      <selection activeCell="I14" sqref="I14"/>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9.7109375" style="1" customWidth="1"/>
    <col min="7" max="7" width="5.7109375" style="1" customWidth="1"/>
    <col min="8" max="8" width="6.28515625" style="1" customWidth="1"/>
    <col min="9" max="9" width="55.28515625" style="1" customWidth="1"/>
    <col min="10" max="10" width="6.5703125" style="1" customWidth="1"/>
    <col min="11" max="12" width="11.42578125" style="1" customWidth="1"/>
    <col min="13" max="13" width="8.85546875" style="1" customWidth="1"/>
    <col min="14" max="16" width="11.42578125" style="1" customWidth="1"/>
    <col min="17" max="17" width="2.140625" style="1" customWidth="1"/>
    <col min="18" max="16384" width="11.42578125" style="1"/>
  </cols>
  <sheetData>
    <row r="1" spans="2:9" ht="1.5" customHeight="1" x14ac:dyDescent="0.25"/>
    <row r="2" spans="2:9" ht="1.5" customHeight="1" thickBot="1" x14ac:dyDescent="0.3"/>
    <row r="3" spans="2:9" ht="19.7" customHeight="1" thickBot="1" x14ac:dyDescent="0.3">
      <c r="B3" s="178"/>
      <c r="C3" s="178"/>
      <c r="D3" s="179" t="s">
        <v>471</v>
      </c>
      <c r="E3" s="180"/>
      <c r="F3" s="180"/>
      <c r="G3" s="180"/>
      <c r="H3" s="181"/>
      <c r="I3" s="58" t="s">
        <v>186</v>
      </c>
    </row>
    <row r="4" spans="2:9" ht="19.7" customHeight="1" thickBot="1" x14ac:dyDescent="0.3">
      <c r="B4" s="178"/>
      <c r="C4" s="178"/>
      <c r="D4" s="182"/>
      <c r="E4" s="183"/>
      <c r="F4" s="183"/>
      <c r="G4" s="183"/>
      <c r="H4" s="184"/>
      <c r="I4" s="225" t="s">
        <v>763</v>
      </c>
    </row>
    <row r="5" spans="2:9" ht="19.7" customHeight="1" thickBot="1" x14ac:dyDescent="0.3">
      <c r="B5" s="178"/>
      <c r="C5" s="178"/>
      <c r="D5" s="185"/>
      <c r="E5" s="186"/>
      <c r="F5" s="186"/>
      <c r="G5" s="186"/>
      <c r="H5" s="187"/>
      <c r="I5" s="226"/>
    </row>
    <row r="6" spans="2:9" ht="27" thickBot="1" x14ac:dyDescent="0.3">
      <c r="B6" s="167" t="s">
        <v>188</v>
      </c>
      <c r="C6" s="168"/>
      <c r="D6" s="188" t="s">
        <v>171</v>
      </c>
      <c r="E6" s="189"/>
      <c r="F6" s="189"/>
      <c r="G6" s="189"/>
      <c r="H6" s="189"/>
      <c r="I6" s="190"/>
    </row>
    <row r="7" spans="2:9" ht="24" customHeight="1" thickBot="1" x14ac:dyDescent="0.3">
      <c r="B7" s="167" t="s">
        <v>170</v>
      </c>
      <c r="C7" s="168"/>
      <c r="D7" s="169" t="s">
        <v>614</v>
      </c>
      <c r="E7" s="170"/>
      <c r="F7" s="170"/>
      <c r="G7" s="170"/>
      <c r="H7" s="170"/>
      <c r="I7" s="191"/>
    </row>
    <row r="8" spans="2:9" ht="4.5" customHeight="1" thickBot="1" x14ac:dyDescent="0.3">
      <c r="B8" s="2"/>
      <c r="C8" s="2"/>
      <c r="D8" s="3"/>
      <c r="E8" s="3"/>
      <c r="F8" s="3"/>
      <c r="G8" s="3"/>
      <c r="H8" s="3"/>
      <c r="I8" s="3"/>
    </row>
    <row r="9" spans="2:9" ht="15.75" hidden="1" thickBot="1" x14ac:dyDescent="0.3"/>
    <row r="10" spans="2:9" ht="20.25" customHeight="1" thickBot="1" x14ac:dyDescent="0.35">
      <c r="B10" s="61"/>
      <c r="C10" s="61"/>
      <c r="D10" s="61"/>
      <c r="E10" s="61"/>
      <c r="F10" s="61"/>
      <c r="G10" s="195" t="s">
        <v>0</v>
      </c>
      <c r="H10" s="196"/>
      <c r="I10" s="61"/>
    </row>
    <row r="11" spans="2:9" s="4" customFormat="1" ht="24" customHeight="1" thickBot="1" x14ac:dyDescent="0.3">
      <c r="B11" s="62" t="s">
        <v>1</v>
      </c>
      <c r="C11" s="197" t="s">
        <v>2</v>
      </c>
      <c r="D11" s="197"/>
      <c r="E11" s="198"/>
      <c r="F11" s="63" t="s">
        <v>3</v>
      </c>
      <c r="G11" s="64" t="s">
        <v>4</v>
      </c>
      <c r="H11" s="65" t="s">
        <v>5</v>
      </c>
      <c r="I11" s="66" t="s">
        <v>6</v>
      </c>
    </row>
    <row r="12" spans="2:9" s="4" customFormat="1" ht="45" customHeight="1" x14ac:dyDescent="0.3">
      <c r="B12" s="67">
        <v>1</v>
      </c>
      <c r="C12" s="199" t="s">
        <v>236</v>
      </c>
      <c r="D12" s="200"/>
      <c r="E12" s="201"/>
      <c r="F12" s="68"/>
      <c r="G12" s="69"/>
      <c r="H12" s="70"/>
      <c r="I12" s="71"/>
    </row>
    <row r="13" spans="2:9" s="4" customFormat="1" ht="44.25" customHeight="1" x14ac:dyDescent="0.3">
      <c r="B13" s="72">
        <f>B12+1</f>
        <v>2</v>
      </c>
      <c r="C13" s="199" t="s">
        <v>238</v>
      </c>
      <c r="D13" s="200"/>
      <c r="E13" s="201"/>
      <c r="F13" s="73"/>
      <c r="G13" s="74"/>
      <c r="H13" s="75"/>
      <c r="I13" s="76"/>
    </row>
    <row r="14" spans="2:9" s="4" customFormat="1" ht="45.75" customHeight="1" x14ac:dyDescent="0.3">
      <c r="B14" s="72">
        <f t="shared" ref="B14:B33" si="0">B13+1</f>
        <v>3</v>
      </c>
      <c r="C14" s="199" t="s">
        <v>237</v>
      </c>
      <c r="D14" s="200"/>
      <c r="E14" s="201"/>
      <c r="F14" s="73"/>
      <c r="G14" s="74"/>
      <c r="H14" s="75"/>
      <c r="I14" s="76"/>
    </row>
    <row r="15" spans="2:9" s="4" customFormat="1" ht="45.75" customHeight="1" x14ac:dyDescent="0.3">
      <c r="B15" s="72">
        <f t="shared" si="0"/>
        <v>4</v>
      </c>
      <c r="C15" s="199" t="s">
        <v>449</v>
      </c>
      <c r="D15" s="200"/>
      <c r="E15" s="201"/>
      <c r="F15" s="73"/>
      <c r="G15" s="74"/>
      <c r="H15" s="75"/>
      <c r="I15" s="76"/>
    </row>
    <row r="16" spans="2:9" s="4" customFormat="1" ht="46.5" customHeight="1" x14ac:dyDescent="0.3">
      <c r="B16" s="72">
        <f t="shared" si="0"/>
        <v>5</v>
      </c>
      <c r="C16" s="192" t="s">
        <v>450</v>
      </c>
      <c r="D16" s="193"/>
      <c r="E16" s="194"/>
      <c r="F16" s="73"/>
      <c r="G16" s="74"/>
      <c r="H16" s="75"/>
      <c r="I16" s="76"/>
    </row>
    <row r="17" spans="2:9" s="4" customFormat="1" ht="45" customHeight="1" x14ac:dyDescent="0.3">
      <c r="B17" s="72">
        <f t="shared" si="0"/>
        <v>6</v>
      </c>
      <c r="C17" s="192"/>
      <c r="D17" s="193"/>
      <c r="E17" s="194"/>
      <c r="F17" s="73"/>
      <c r="G17" s="74"/>
      <c r="H17" s="75"/>
      <c r="I17" s="76"/>
    </row>
    <row r="18" spans="2:9" s="4" customFormat="1" ht="48.75" customHeight="1" x14ac:dyDescent="0.3">
      <c r="B18" s="72">
        <f t="shared" si="0"/>
        <v>7</v>
      </c>
      <c r="C18" s="192"/>
      <c r="D18" s="193"/>
      <c r="E18" s="194"/>
      <c r="F18" s="73"/>
      <c r="G18" s="74"/>
      <c r="H18" s="75"/>
      <c r="I18" s="76"/>
    </row>
    <row r="19" spans="2:9" s="4" customFormat="1" ht="55.5" customHeight="1" x14ac:dyDescent="0.3">
      <c r="B19" s="72">
        <f t="shared" si="0"/>
        <v>8</v>
      </c>
      <c r="C19" s="192"/>
      <c r="D19" s="193"/>
      <c r="E19" s="194"/>
      <c r="F19" s="73"/>
      <c r="G19" s="74"/>
      <c r="H19" s="75"/>
      <c r="I19" s="77"/>
    </row>
    <row r="20" spans="2:9" s="4" customFormat="1" ht="70.5" customHeight="1" x14ac:dyDescent="0.3">
      <c r="B20" s="72">
        <f t="shared" si="0"/>
        <v>9</v>
      </c>
      <c r="C20" s="199"/>
      <c r="D20" s="200"/>
      <c r="E20" s="201"/>
      <c r="F20" s="73"/>
      <c r="G20" s="74"/>
      <c r="H20" s="75"/>
      <c r="I20" s="76"/>
    </row>
    <row r="21" spans="2:9" s="4" customFormat="1" ht="39.75" customHeight="1" x14ac:dyDescent="0.3">
      <c r="B21" s="72">
        <f t="shared" si="0"/>
        <v>10</v>
      </c>
      <c r="C21" s="199"/>
      <c r="D21" s="200"/>
      <c r="E21" s="201"/>
      <c r="F21" s="73"/>
      <c r="G21" s="74"/>
      <c r="H21" s="75"/>
      <c r="I21" s="76"/>
    </row>
    <row r="22" spans="2:9" s="4" customFormat="1" ht="34.5" customHeight="1" x14ac:dyDescent="0.3">
      <c r="B22" s="72">
        <f t="shared" si="0"/>
        <v>11</v>
      </c>
      <c r="C22" s="192"/>
      <c r="D22" s="193"/>
      <c r="E22" s="194"/>
      <c r="F22" s="73"/>
      <c r="G22" s="74"/>
      <c r="H22" s="75"/>
      <c r="I22" s="76"/>
    </row>
    <row r="23" spans="2:9" s="4" customFormat="1" ht="42" customHeight="1" x14ac:dyDescent="0.3">
      <c r="B23" s="72">
        <f t="shared" si="0"/>
        <v>12</v>
      </c>
      <c r="C23" s="192"/>
      <c r="D23" s="193"/>
      <c r="E23" s="194"/>
      <c r="F23" s="73"/>
      <c r="G23" s="74"/>
      <c r="H23" s="75"/>
      <c r="I23" s="76"/>
    </row>
    <row r="24" spans="2:9" s="4" customFormat="1" ht="38.25" customHeight="1" x14ac:dyDescent="0.3">
      <c r="B24" s="72">
        <f t="shared" si="0"/>
        <v>13</v>
      </c>
      <c r="C24" s="192"/>
      <c r="D24" s="193"/>
      <c r="E24" s="194"/>
      <c r="F24" s="73"/>
      <c r="G24" s="74"/>
      <c r="H24" s="75"/>
      <c r="I24" s="76"/>
    </row>
    <row r="25" spans="2:9" s="4" customFormat="1" ht="32.25" customHeight="1" x14ac:dyDescent="0.3">
      <c r="B25" s="72">
        <f t="shared" si="0"/>
        <v>14</v>
      </c>
      <c r="C25" s="192"/>
      <c r="D25" s="193"/>
      <c r="E25" s="194"/>
      <c r="F25" s="73"/>
      <c r="G25" s="74"/>
      <c r="H25" s="75"/>
      <c r="I25" s="76"/>
    </row>
    <row r="26" spans="2:9" s="4" customFormat="1" ht="38.25" customHeight="1" x14ac:dyDescent="0.3">
      <c r="B26" s="72">
        <f t="shared" si="0"/>
        <v>15</v>
      </c>
      <c r="C26" s="192"/>
      <c r="D26" s="193"/>
      <c r="E26" s="194"/>
      <c r="F26" s="73"/>
      <c r="G26" s="74"/>
      <c r="H26" s="75"/>
      <c r="I26" s="76"/>
    </row>
    <row r="27" spans="2:9" s="4" customFormat="1" ht="28.5" customHeight="1" x14ac:dyDescent="0.3">
      <c r="B27" s="72">
        <f t="shared" si="0"/>
        <v>16</v>
      </c>
      <c r="C27" s="199"/>
      <c r="D27" s="200"/>
      <c r="E27" s="201"/>
      <c r="F27" s="73"/>
      <c r="G27" s="74"/>
      <c r="H27" s="75"/>
      <c r="I27" s="76"/>
    </row>
    <row r="28" spans="2:9" s="4" customFormat="1" ht="37.5" customHeight="1" x14ac:dyDescent="0.3">
      <c r="B28" s="72">
        <f t="shared" si="0"/>
        <v>17</v>
      </c>
      <c r="C28" s="199"/>
      <c r="D28" s="200"/>
      <c r="E28" s="201"/>
      <c r="F28" s="73"/>
      <c r="G28" s="74"/>
      <c r="H28" s="75"/>
      <c r="I28" s="76"/>
    </row>
    <row r="29" spans="2:9" s="4" customFormat="1" ht="30.75" customHeight="1" x14ac:dyDescent="0.3">
      <c r="B29" s="72">
        <f t="shared" si="0"/>
        <v>18</v>
      </c>
      <c r="C29" s="199"/>
      <c r="D29" s="200"/>
      <c r="E29" s="201"/>
      <c r="F29" s="73"/>
      <c r="G29" s="74"/>
      <c r="H29" s="75"/>
      <c r="I29" s="76"/>
    </row>
    <row r="30" spans="2:9" s="4" customFormat="1" ht="32.25" customHeight="1" x14ac:dyDescent="0.3">
      <c r="B30" s="72">
        <f t="shared" si="0"/>
        <v>19</v>
      </c>
      <c r="C30" s="199"/>
      <c r="D30" s="200"/>
      <c r="E30" s="201"/>
      <c r="F30" s="73"/>
      <c r="G30" s="74"/>
      <c r="H30" s="75"/>
      <c r="I30" s="76"/>
    </row>
    <row r="31" spans="2:9" s="4" customFormat="1" ht="32.25" customHeight="1" x14ac:dyDescent="0.3">
      <c r="B31" s="72">
        <f t="shared" si="0"/>
        <v>20</v>
      </c>
      <c r="C31" s="199"/>
      <c r="D31" s="200"/>
      <c r="E31" s="201"/>
      <c r="F31" s="73"/>
      <c r="G31" s="74"/>
      <c r="H31" s="75"/>
      <c r="I31" s="76"/>
    </row>
    <row r="32" spans="2:9" s="4" customFormat="1" ht="27" customHeight="1" x14ac:dyDescent="0.3">
      <c r="B32" s="72">
        <f t="shared" si="0"/>
        <v>21</v>
      </c>
      <c r="C32" s="199"/>
      <c r="D32" s="200"/>
      <c r="E32" s="201"/>
      <c r="F32" s="73"/>
      <c r="G32" s="74"/>
      <c r="H32" s="75"/>
      <c r="I32" s="76"/>
    </row>
    <row r="33" spans="2:9" s="4" customFormat="1" ht="51" customHeight="1" thickBot="1" x14ac:dyDescent="0.35">
      <c r="B33" s="78">
        <f t="shared" si="0"/>
        <v>22</v>
      </c>
      <c r="C33" s="202"/>
      <c r="D33" s="203"/>
      <c r="E33" s="204"/>
      <c r="F33" s="79"/>
      <c r="G33" s="80"/>
      <c r="H33" s="81"/>
      <c r="I33" s="82"/>
    </row>
    <row r="34" spans="2:9" s="12" customFormat="1" ht="27" customHeight="1" thickBot="1" x14ac:dyDescent="0.3">
      <c r="B34" s="205" t="s">
        <v>7</v>
      </c>
      <c r="C34" s="206"/>
      <c r="D34" s="206"/>
      <c r="E34" s="206" t="s">
        <v>189</v>
      </c>
      <c r="F34" s="206"/>
      <c r="G34" s="207"/>
      <c r="H34" s="207"/>
      <c r="I34" s="83" t="s">
        <v>8</v>
      </c>
    </row>
    <row r="35" spans="2:9" x14ac:dyDescent="0.25">
      <c r="B35" s="153"/>
      <c r="C35" s="154"/>
      <c r="D35" s="208"/>
      <c r="E35" s="154"/>
      <c r="F35" s="154"/>
      <c r="G35" s="154"/>
      <c r="H35" s="154"/>
      <c r="I35" s="159"/>
    </row>
    <row r="36" spans="2:9" x14ac:dyDescent="0.25">
      <c r="B36" s="155"/>
      <c r="C36" s="156"/>
      <c r="D36" s="156"/>
      <c r="E36" s="156"/>
      <c r="F36" s="156"/>
      <c r="G36" s="156"/>
      <c r="H36" s="156"/>
      <c r="I36" s="160"/>
    </row>
    <row r="37" spans="2:9" x14ac:dyDescent="0.25">
      <c r="B37" s="155"/>
      <c r="C37" s="156"/>
      <c r="D37" s="156"/>
      <c r="E37" s="156"/>
      <c r="F37" s="156"/>
      <c r="G37" s="156"/>
      <c r="H37" s="156"/>
      <c r="I37" s="160"/>
    </row>
    <row r="38" spans="2:9" x14ac:dyDescent="0.25">
      <c r="B38" s="155"/>
      <c r="C38" s="156"/>
      <c r="D38" s="156"/>
      <c r="E38" s="156"/>
      <c r="F38" s="156"/>
      <c r="G38" s="156"/>
      <c r="H38" s="156"/>
      <c r="I38" s="160"/>
    </row>
    <row r="39" spans="2:9" ht="59.25" customHeight="1" thickBot="1" x14ac:dyDescent="0.3">
      <c r="B39" s="157"/>
      <c r="C39" s="158"/>
      <c r="D39" s="158"/>
      <c r="E39" s="158"/>
      <c r="F39" s="158"/>
      <c r="G39" s="158"/>
      <c r="H39" s="158"/>
      <c r="I39" s="161"/>
    </row>
  </sheetData>
  <sheetProtection selectLockedCells="1" selectUnlockedCells="1"/>
  <mergeCells count="36">
    <mergeCell ref="B34:D34"/>
    <mergeCell ref="E34:H34"/>
    <mergeCell ref="B35:D39"/>
    <mergeCell ref="E35:H39"/>
    <mergeCell ref="I35:I39"/>
    <mergeCell ref="C33:E33"/>
    <mergeCell ref="C22:E22"/>
    <mergeCell ref="C23:E23"/>
    <mergeCell ref="C24:E24"/>
    <mergeCell ref="C25:E25"/>
    <mergeCell ref="C26:E26"/>
    <mergeCell ref="C27:E27"/>
    <mergeCell ref="C28:E28"/>
    <mergeCell ref="C29:E29"/>
    <mergeCell ref="C30:E30"/>
    <mergeCell ref="C31:E31"/>
    <mergeCell ref="C32:E32"/>
    <mergeCell ref="C21:E21"/>
    <mergeCell ref="G10:H10"/>
    <mergeCell ref="C11:E11"/>
    <mergeCell ref="C12:E12"/>
    <mergeCell ref="C13:E13"/>
    <mergeCell ref="C14:E14"/>
    <mergeCell ref="C15:E15"/>
    <mergeCell ref="C16:E16"/>
    <mergeCell ref="C17:E17"/>
    <mergeCell ref="C18:E18"/>
    <mergeCell ref="C19:E19"/>
    <mergeCell ref="C20:E20"/>
    <mergeCell ref="B3:C5"/>
    <mergeCell ref="D3:H5"/>
    <mergeCell ref="B6:C6"/>
    <mergeCell ref="D6:I6"/>
    <mergeCell ref="B7:C7"/>
    <mergeCell ref="D7:I7"/>
    <mergeCell ref="I4:I5"/>
  </mergeCells>
  <conditionalFormatting sqref="F12:F33">
    <cfRule type="cellIs" dxfId="123" priority="1" operator="equal">
      <formula>3</formula>
    </cfRule>
    <cfRule type="cellIs" dxfId="122"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7" orientation="portrait" blackAndWhite="1"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rgb="FFFFC000"/>
    <pageSetUpPr fitToPage="1"/>
  </sheetPr>
  <dimension ref="B1:I39"/>
  <sheetViews>
    <sheetView view="pageBreakPreview" zoomScale="60" zoomScaleNormal="60" zoomScalePageLayoutView="70" workbookViewId="0">
      <selection activeCell="E10" sqref="E10"/>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9.7109375" style="1" customWidth="1"/>
    <col min="7" max="7" width="5.7109375" style="1" customWidth="1"/>
    <col min="8" max="8" width="6.28515625" style="1" customWidth="1"/>
    <col min="9" max="9" width="55.28515625" style="1" customWidth="1"/>
    <col min="10" max="10" width="6.5703125" style="1" customWidth="1"/>
    <col min="11" max="11" width="7.85546875" style="1" customWidth="1"/>
    <col min="12" max="13" width="8.140625" style="1" customWidth="1"/>
    <col min="14" max="15" width="11.42578125" style="1" customWidth="1"/>
    <col min="16" max="16" width="8.85546875" style="1" customWidth="1"/>
    <col min="17" max="19" width="11.42578125" style="1" customWidth="1"/>
    <col min="20" max="20" width="2.140625" style="1" customWidth="1"/>
    <col min="21" max="16384" width="11.42578125" style="1"/>
  </cols>
  <sheetData>
    <row r="1" spans="2:9" ht="1.5" customHeight="1" x14ac:dyDescent="0.25"/>
    <row r="2" spans="2:9" ht="1.5" customHeight="1" thickBot="1" x14ac:dyDescent="0.3"/>
    <row r="3" spans="2:9" ht="19.7" customHeight="1" thickBot="1" x14ac:dyDescent="0.3">
      <c r="B3" s="178"/>
      <c r="C3" s="178"/>
      <c r="D3" s="179" t="s">
        <v>185</v>
      </c>
      <c r="E3" s="180"/>
      <c r="F3" s="180"/>
      <c r="G3" s="180"/>
      <c r="H3" s="181"/>
      <c r="I3" s="58" t="s">
        <v>186</v>
      </c>
    </row>
    <row r="4" spans="2:9" ht="19.7" customHeight="1" thickBot="1" x14ac:dyDescent="0.3">
      <c r="B4" s="178"/>
      <c r="C4" s="178"/>
      <c r="D4" s="182"/>
      <c r="E4" s="183"/>
      <c r="F4" s="183"/>
      <c r="G4" s="183"/>
      <c r="H4" s="184"/>
      <c r="I4" s="59" t="str">
        <f>Date!B2</f>
        <v>Week ... 2025</v>
      </c>
    </row>
    <row r="5" spans="2:9" ht="19.7" customHeight="1" thickBot="1" x14ac:dyDescent="0.3">
      <c r="B5" s="178"/>
      <c r="C5" s="178"/>
      <c r="D5" s="185"/>
      <c r="E5" s="186"/>
      <c r="F5" s="186"/>
      <c r="G5" s="186"/>
      <c r="H5" s="187"/>
      <c r="I5" s="60" t="s">
        <v>187</v>
      </c>
    </row>
    <row r="6" spans="2:9" ht="27" thickBot="1" x14ac:dyDescent="0.3">
      <c r="B6" s="167" t="s">
        <v>188</v>
      </c>
      <c r="C6" s="168"/>
      <c r="D6" s="188" t="s">
        <v>715</v>
      </c>
      <c r="E6" s="189"/>
      <c r="F6" s="189"/>
      <c r="G6" s="189"/>
      <c r="H6" s="189"/>
      <c r="I6" s="190"/>
    </row>
    <row r="7" spans="2:9" ht="24" customHeight="1" thickBot="1" x14ac:dyDescent="0.3">
      <c r="B7" s="167" t="s">
        <v>170</v>
      </c>
      <c r="C7" s="168"/>
      <c r="D7" s="169"/>
      <c r="E7" s="170"/>
      <c r="F7" s="170"/>
      <c r="G7" s="170"/>
      <c r="H7" s="170"/>
      <c r="I7" s="191"/>
    </row>
    <row r="8" spans="2:9" ht="4.5" customHeight="1" thickBot="1" x14ac:dyDescent="0.3">
      <c r="B8" s="2"/>
      <c r="C8" s="2"/>
      <c r="D8" s="3"/>
      <c r="E8" s="3"/>
      <c r="F8" s="3"/>
      <c r="G8" s="3"/>
      <c r="H8" s="3"/>
      <c r="I8" s="3"/>
    </row>
    <row r="9" spans="2:9" ht="15.75" hidden="1" thickBot="1" x14ac:dyDescent="0.3"/>
    <row r="10" spans="2:9" ht="20.25" customHeight="1" thickBot="1" x14ac:dyDescent="0.35">
      <c r="B10" s="61"/>
      <c r="C10" s="61"/>
      <c r="D10" s="61"/>
      <c r="E10" s="61"/>
      <c r="F10" s="61"/>
      <c r="G10" s="195" t="s">
        <v>0</v>
      </c>
      <c r="H10" s="196"/>
      <c r="I10" s="61"/>
    </row>
    <row r="11" spans="2:9" s="4" customFormat="1" ht="24" customHeight="1" thickBot="1" x14ac:dyDescent="0.3">
      <c r="B11" s="62" t="s">
        <v>1</v>
      </c>
      <c r="C11" s="197" t="s">
        <v>2</v>
      </c>
      <c r="D11" s="197"/>
      <c r="E11" s="198"/>
      <c r="F11" s="63" t="s">
        <v>3</v>
      </c>
      <c r="G11" s="64" t="s">
        <v>4</v>
      </c>
      <c r="H11" s="65" t="s">
        <v>5</v>
      </c>
      <c r="I11" s="66" t="s">
        <v>6</v>
      </c>
    </row>
    <row r="12" spans="2:9" s="4" customFormat="1" ht="45" customHeight="1" x14ac:dyDescent="0.3">
      <c r="B12" s="67">
        <v>1</v>
      </c>
      <c r="C12" s="199" t="s">
        <v>229</v>
      </c>
      <c r="D12" s="200"/>
      <c r="E12" s="201"/>
      <c r="F12" s="68"/>
      <c r="G12" s="69"/>
      <c r="H12" s="70"/>
      <c r="I12" s="71"/>
    </row>
    <row r="13" spans="2:9" s="4" customFormat="1" ht="44.25" customHeight="1" x14ac:dyDescent="0.3">
      <c r="B13" s="72">
        <f>B12+1</f>
        <v>2</v>
      </c>
      <c r="C13" s="199" t="s">
        <v>230</v>
      </c>
      <c r="D13" s="200"/>
      <c r="E13" s="201"/>
      <c r="F13" s="73"/>
      <c r="G13" s="74"/>
      <c r="H13" s="75"/>
      <c r="I13" s="76"/>
    </row>
    <row r="14" spans="2:9" s="4" customFormat="1" ht="45.75" customHeight="1" x14ac:dyDescent="0.3">
      <c r="B14" s="72">
        <f t="shared" ref="B14:B33" si="0">B13+1</f>
        <v>3</v>
      </c>
      <c r="C14" s="199" t="s">
        <v>231</v>
      </c>
      <c r="D14" s="200"/>
      <c r="E14" s="201"/>
      <c r="F14" s="73"/>
      <c r="G14" s="74"/>
      <c r="H14" s="75"/>
      <c r="I14" s="76"/>
    </row>
    <row r="15" spans="2:9" s="4" customFormat="1" ht="45.75" customHeight="1" x14ac:dyDescent="0.3">
      <c r="B15" s="72">
        <f t="shared" si="0"/>
        <v>4</v>
      </c>
      <c r="C15" s="199" t="s">
        <v>232</v>
      </c>
      <c r="D15" s="200"/>
      <c r="E15" s="201"/>
      <c r="F15" s="73"/>
      <c r="G15" s="74"/>
      <c r="H15" s="75"/>
      <c r="I15" s="76"/>
    </row>
    <row r="16" spans="2:9" s="4" customFormat="1" ht="46.5" customHeight="1" x14ac:dyDescent="0.3">
      <c r="B16" s="72">
        <f t="shared" si="0"/>
        <v>5</v>
      </c>
      <c r="C16" s="192" t="s">
        <v>233</v>
      </c>
      <c r="D16" s="193"/>
      <c r="E16" s="194"/>
      <c r="F16" s="73"/>
      <c r="G16" s="74"/>
      <c r="H16" s="75"/>
      <c r="I16" s="76"/>
    </row>
    <row r="17" spans="2:9" s="4" customFormat="1" ht="45" customHeight="1" x14ac:dyDescent="0.3">
      <c r="B17" s="72">
        <f t="shared" si="0"/>
        <v>6</v>
      </c>
      <c r="C17" s="192" t="s">
        <v>234</v>
      </c>
      <c r="D17" s="193"/>
      <c r="E17" s="194"/>
      <c r="F17" s="73"/>
      <c r="G17" s="74"/>
      <c r="H17" s="75"/>
      <c r="I17" s="76"/>
    </row>
    <row r="18" spans="2:9" s="4" customFormat="1" ht="48.75" customHeight="1" x14ac:dyDescent="0.3">
      <c r="B18" s="72">
        <f t="shared" si="0"/>
        <v>7</v>
      </c>
      <c r="C18" s="192" t="s">
        <v>235</v>
      </c>
      <c r="D18" s="193"/>
      <c r="E18" s="194"/>
      <c r="F18" s="73"/>
      <c r="G18" s="74"/>
      <c r="H18" s="75"/>
      <c r="I18" s="76"/>
    </row>
    <row r="19" spans="2:9" s="4" customFormat="1" ht="55.5" customHeight="1" x14ac:dyDescent="0.3">
      <c r="B19" s="72">
        <f t="shared" si="0"/>
        <v>8</v>
      </c>
      <c r="C19" s="192" t="s">
        <v>480</v>
      </c>
      <c r="D19" s="193"/>
      <c r="E19" s="194"/>
      <c r="F19" s="73"/>
      <c r="G19" s="74"/>
      <c r="H19" s="75"/>
      <c r="I19" s="77"/>
    </row>
    <row r="20" spans="2:9" s="4" customFormat="1" ht="59.25" customHeight="1" x14ac:dyDescent="0.3">
      <c r="B20" s="72">
        <f t="shared" si="0"/>
        <v>9</v>
      </c>
      <c r="C20" s="192" t="s">
        <v>481</v>
      </c>
      <c r="D20" s="193"/>
      <c r="E20" s="194"/>
      <c r="F20" s="73"/>
      <c r="G20" s="74"/>
      <c r="H20" s="75"/>
      <c r="I20" s="76"/>
    </row>
    <row r="21" spans="2:9" s="4" customFormat="1" ht="56.25" customHeight="1" x14ac:dyDescent="0.3">
      <c r="B21" s="72">
        <f t="shared" si="0"/>
        <v>10</v>
      </c>
      <c r="C21" s="192" t="s">
        <v>482</v>
      </c>
      <c r="D21" s="193"/>
      <c r="E21" s="194"/>
      <c r="F21" s="73"/>
      <c r="G21" s="74"/>
      <c r="H21" s="75"/>
      <c r="I21" s="76"/>
    </row>
    <row r="22" spans="2:9" s="4" customFormat="1" ht="56.25" customHeight="1" x14ac:dyDescent="0.3">
      <c r="B22" s="72">
        <f t="shared" si="0"/>
        <v>11</v>
      </c>
      <c r="C22" s="192" t="s">
        <v>483</v>
      </c>
      <c r="D22" s="193"/>
      <c r="E22" s="194"/>
      <c r="F22" s="73"/>
      <c r="G22" s="74"/>
      <c r="H22" s="75"/>
      <c r="I22" s="76"/>
    </row>
    <row r="23" spans="2:9" s="4" customFormat="1" ht="56.25" customHeight="1" x14ac:dyDescent="0.3">
      <c r="B23" s="72">
        <f t="shared" si="0"/>
        <v>12</v>
      </c>
      <c r="C23" s="192"/>
      <c r="D23" s="193"/>
      <c r="E23" s="194"/>
      <c r="F23" s="73"/>
      <c r="G23" s="74"/>
      <c r="H23" s="75"/>
      <c r="I23" s="76"/>
    </row>
    <row r="24" spans="2:9" s="4" customFormat="1" ht="56.25" customHeight="1" x14ac:dyDescent="0.3">
      <c r="B24" s="72">
        <f t="shared" si="0"/>
        <v>13</v>
      </c>
      <c r="C24" s="192"/>
      <c r="D24" s="193"/>
      <c r="E24" s="194"/>
      <c r="F24" s="73"/>
      <c r="G24" s="74"/>
      <c r="H24" s="75"/>
      <c r="I24" s="76"/>
    </row>
    <row r="25" spans="2:9" s="4" customFormat="1" ht="32.25" customHeight="1" x14ac:dyDescent="0.3">
      <c r="B25" s="72">
        <f t="shared" si="0"/>
        <v>14</v>
      </c>
      <c r="C25" s="192"/>
      <c r="D25" s="193"/>
      <c r="E25" s="194"/>
      <c r="F25" s="73"/>
      <c r="G25" s="74"/>
      <c r="H25" s="75"/>
      <c r="I25" s="76"/>
    </row>
    <row r="26" spans="2:9" s="4" customFormat="1" ht="38.25" customHeight="1" x14ac:dyDescent="0.3">
      <c r="B26" s="72">
        <f t="shared" si="0"/>
        <v>15</v>
      </c>
      <c r="C26" s="192"/>
      <c r="D26" s="193"/>
      <c r="E26" s="194"/>
      <c r="F26" s="73"/>
      <c r="G26" s="74"/>
      <c r="H26" s="75"/>
      <c r="I26" s="76"/>
    </row>
    <row r="27" spans="2:9" s="4" customFormat="1" ht="28.5" customHeight="1" x14ac:dyDescent="0.3">
      <c r="B27" s="72">
        <f t="shared" si="0"/>
        <v>16</v>
      </c>
      <c r="C27" s="192"/>
      <c r="D27" s="193"/>
      <c r="E27" s="194"/>
      <c r="F27" s="73"/>
      <c r="G27" s="74"/>
      <c r="H27" s="75"/>
      <c r="I27" s="76"/>
    </row>
    <row r="28" spans="2:9" s="4" customFormat="1" ht="37.5" customHeight="1" x14ac:dyDescent="0.3">
      <c r="B28" s="72">
        <f t="shared" si="0"/>
        <v>17</v>
      </c>
      <c r="C28" s="192"/>
      <c r="D28" s="193"/>
      <c r="E28" s="194"/>
      <c r="F28" s="73"/>
      <c r="G28" s="74"/>
      <c r="H28" s="75"/>
      <c r="I28" s="76"/>
    </row>
    <row r="29" spans="2:9" s="4" customFormat="1" ht="30.75" customHeight="1" x14ac:dyDescent="0.3">
      <c r="B29" s="72">
        <f t="shared" si="0"/>
        <v>18</v>
      </c>
      <c r="C29" s="192"/>
      <c r="D29" s="193"/>
      <c r="E29" s="194"/>
      <c r="F29" s="73"/>
      <c r="G29" s="74"/>
      <c r="H29" s="75"/>
      <c r="I29" s="76"/>
    </row>
    <row r="30" spans="2:9" s="4" customFormat="1" ht="32.25" customHeight="1" x14ac:dyDescent="0.3">
      <c r="B30" s="72">
        <f t="shared" si="0"/>
        <v>19</v>
      </c>
      <c r="C30" s="192"/>
      <c r="D30" s="193"/>
      <c r="E30" s="194"/>
      <c r="F30" s="73"/>
      <c r="G30" s="74"/>
      <c r="H30" s="75"/>
      <c r="I30" s="76"/>
    </row>
    <row r="31" spans="2:9" s="4" customFormat="1" ht="32.25" customHeight="1" x14ac:dyDescent="0.3">
      <c r="B31" s="72">
        <f t="shared" si="0"/>
        <v>20</v>
      </c>
      <c r="C31" s="192"/>
      <c r="D31" s="193"/>
      <c r="E31" s="194"/>
      <c r="F31" s="73"/>
      <c r="G31" s="74"/>
      <c r="H31" s="75"/>
      <c r="I31" s="76"/>
    </row>
    <row r="32" spans="2:9" s="4" customFormat="1" ht="27" customHeight="1" x14ac:dyDescent="0.3">
      <c r="B32" s="72">
        <f t="shared" si="0"/>
        <v>21</v>
      </c>
      <c r="C32" s="192"/>
      <c r="D32" s="193"/>
      <c r="E32" s="194"/>
      <c r="F32" s="73"/>
      <c r="G32" s="74"/>
      <c r="H32" s="75"/>
      <c r="I32" s="76"/>
    </row>
    <row r="33" spans="2:9" s="4" customFormat="1" ht="51" customHeight="1" thickBot="1" x14ac:dyDescent="0.35">
      <c r="B33" s="78">
        <f t="shared" si="0"/>
        <v>22</v>
      </c>
      <c r="C33" s="227"/>
      <c r="D33" s="228"/>
      <c r="E33" s="229"/>
      <c r="F33" s="79"/>
      <c r="G33" s="80"/>
      <c r="H33" s="81"/>
      <c r="I33" s="82"/>
    </row>
    <row r="34" spans="2:9" s="12" customFormat="1" ht="27" customHeight="1" thickBot="1" x14ac:dyDescent="0.3">
      <c r="B34" s="205" t="s">
        <v>7</v>
      </c>
      <c r="C34" s="206"/>
      <c r="D34" s="206"/>
      <c r="E34" s="206" t="s">
        <v>189</v>
      </c>
      <c r="F34" s="206"/>
      <c r="G34" s="207"/>
      <c r="H34" s="207"/>
      <c r="I34" s="83" t="s">
        <v>8</v>
      </c>
    </row>
    <row r="35" spans="2:9" x14ac:dyDescent="0.25">
      <c r="B35" s="153"/>
      <c r="C35" s="154"/>
      <c r="D35" s="208"/>
      <c r="E35" s="154"/>
      <c r="F35" s="154"/>
      <c r="G35" s="154"/>
      <c r="H35" s="154"/>
      <c r="I35" s="159"/>
    </row>
    <row r="36" spans="2:9" x14ac:dyDescent="0.25">
      <c r="B36" s="155"/>
      <c r="C36" s="156"/>
      <c r="D36" s="156"/>
      <c r="E36" s="156"/>
      <c r="F36" s="156"/>
      <c r="G36" s="156"/>
      <c r="H36" s="156"/>
      <c r="I36" s="160"/>
    </row>
    <row r="37" spans="2:9" x14ac:dyDescent="0.25">
      <c r="B37" s="155"/>
      <c r="C37" s="156"/>
      <c r="D37" s="156"/>
      <c r="E37" s="156"/>
      <c r="F37" s="156"/>
      <c r="G37" s="156"/>
      <c r="H37" s="156"/>
      <c r="I37" s="160"/>
    </row>
    <row r="38" spans="2:9" x14ac:dyDescent="0.25">
      <c r="B38" s="155"/>
      <c r="C38" s="156"/>
      <c r="D38" s="156"/>
      <c r="E38" s="156"/>
      <c r="F38" s="156"/>
      <c r="G38" s="156"/>
      <c r="H38" s="156"/>
      <c r="I38" s="160"/>
    </row>
    <row r="39" spans="2:9" ht="59.25" customHeight="1" thickBot="1" x14ac:dyDescent="0.3">
      <c r="B39" s="157"/>
      <c r="C39" s="158"/>
      <c r="D39" s="158"/>
      <c r="E39" s="158"/>
      <c r="F39" s="158"/>
      <c r="G39" s="158"/>
      <c r="H39" s="158"/>
      <c r="I39" s="161"/>
    </row>
  </sheetData>
  <sheetProtection selectLockedCells="1" selectUnlockedCells="1"/>
  <mergeCells count="35">
    <mergeCell ref="B34:D34"/>
    <mergeCell ref="E34:H34"/>
    <mergeCell ref="B35:D39"/>
    <mergeCell ref="E35:H39"/>
    <mergeCell ref="I35:I39"/>
    <mergeCell ref="C33:E33"/>
    <mergeCell ref="C22:E22"/>
    <mergeCell ref="C23:E23"/>
    <mergeCell ref="C24:E24"/>
    <mergeCell ref="C25:E25"/>
    <mergeCell ref="C26:E26"/>
    <mergeCell ref="C27:E27"/>
    <mergeCell ref="C28:E28"/>
    <mergeCell ref="C29:E29"/>
    <mergeCell ref="C30:E30"/>
    <mergeCell ref="C31:E31"/>
    <mergeCell ref="C32:E32"/>
    <mergeCell ref="C21:E21"/>
    <mergeCell ref="G10:H10"/>
    <mergeCell ref="C11:E11"/>
    <mergeCell ref="C12:E12"/>
    <mergeCell ref="C13:E13"/>
    <mergeCell ref="C14:E14"/>
    <mergeCell ref="C15:E15"/>
    <mergeCell ref="C16:E16"/>
    <mergeCell ref="C17:E17"/>
    <mergeCell ref="C18:E18"/>
    <mergeCell ref="C19:E19"/>
    <mergeCell ref="C20:E20"/>
    <mergeCell ref="B3:C5"/>
    <mergeCell ref="D3:H5"/>
    <mergeCell ref="B6:C6"/>
    <mergeCell ref="D6:I6"/>
    <mergeCell ref="B7:C7"/>
    <mergeCell ref="D7:I7"/>
  </mergeCells>
  <conditionalFormatting sqref="F12:F33">
    <cfRule type="cellIs" dxfId="121" priority="1" operator="equal">
      <formula>3</formula>
    </cfRule>
    <cfRule type="cellIs" dxfId="120"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7"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pageSetUpPr fitToPage="1"/>
  </sheetPr>
  <dimension ref="B1:J33"/>
  <sheetViews>
    <sheetView view="pageBreakPreview" zoomScale="60" zoomScaleNormal="60" zoomScalePageLayoutView="70" workbookViewId="0">
      <selection activeCell="J13" sqref="J13"/>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29" style="1" customWidth="1"/>
    <col min="7" max="7" width="9.7109375" style="1" customWidth="1"/>
    <col min="8" max="8" width="5.7109375" style="1" customWidth="1"/>
    <col min="9" max="9" width="6.28515625" style="1" customWidth="1"/>
    <col min="10" max="10" width="68.5703125" style="1" customWidth="1"/>
    <col min="11" max="11" width="6.5703125" style="1" customWidth="1"/>
    <col min="12" max="12" width="7.85546875" style="1" customWidth="1"/>
    <col min="13" max="14" width="8.140625" style="1" customWidth="1"/>
    <col min="15" max="16" width="11.42578125" style="1" customWidth="1"/>
    <col min="17" max="17" width="8.85546875" style="1" customWidth="1"/>
    <col min="18" max="20" width="11.42578125" style="1" customWidth="1"/>
    <col min="21" max="21" width="2.140625" style="1" customWidth="1"/>
    <col min="22" max="16384" width="11.42578125" style="1"/>
  </cols>
  <sheetData>
    <row r="1" spans="2:10" ht="1.5" customHeight="1" x14ac:dyDescent="0.25"/>
    <row r="2" spans="2:10" ht="1.5" customHeight="1" thickBot="1" x14ac:dyDescent="0.3"/>
    <row r="3" spans="2:10" ht="19.7" customHeight="1" thickBot="1" x14ac:dyDescent="0.3">
      <c r="B3" s="178"/>
      <c r="C3" s="178"/>
      <c r="D3" s="179" t="s">
        <v>729</v>
      </c>
      <c r="E3" s="180"/>
      <c r="F3" s="180"/>
      <c r="G3" s="180"/>
      <c r="H3" s="180"/>
      <c r="I3" s="181"/>
      <c r="J3" s="58" t="s">
        <v>187</v>
      </c>
    </row>
    <row r="4" spans="2:10" ht="19.7" customHeight="1" thickBot="1" x14ac:dyDescent="0.3">
      <c r="B4" s="178"/>
      <c r="C4" s="178"/>
      <c r="D4" s="182"/>
      <c r="E4" s="183"/>
      <c r="F4" s="183"/>
      <c r="G4" s="183"/>
      <c r="H4" s="183"/>
      <c r="I4" s="184"/>
      <c r="J4" s="59" t="s">
        <v>765</v>
      </c>
    </row>
    <row r="5" spans="2:10" ht="19.7" customHeight="1" thickBot="1" x14ac:dyDescent="0.3">
      <c r="B5" s="178"/>
      <c r="C5" s="178"/>
      <c r="D5" s="185"/>
      <c r="E5" s="186"/>
      <c r="F5" s="186"/>
      <c r="G5" s="186"/>
      <c r="H5" s="186"/>
      <c r="I5" s="187"/>
      <c r="J5" s="60" t="s">
        <v>636</v>
      </c>
    </row>
    <row r="6" spans="2:10" ht="27" thickBot="1" x14ac:dyDescent="0.3">
      <c r="B6" s="167" t="s">
        <v>188</v>
      </c>
      <c r="C6" s="168"/>
      <c r="D6" s="188" t="s">
        <v>730</v>
      </c>
      <c r="E6" s="189"/>
      <c r="F6" s="189"/>
      <c r="G6" s="189"/>
      <c r="H6" s="189"/>
      <c r="I6" s="189"/>
      <c r="J6" s="190"/>
    </row>
    <row r="7" spans="2:10" ht="24" customHeight="1" thickBot="1" x14ac:dyDescent="0.3">
      <c r="B7" s="167" t="s">
        <v>170</v>
      </c>
      <c r="C7" s="168"/>
      <c r="D7" s="169" t="s">
        <v>614</v>
      </c>
      <c r="E7" s="170"/>
      <c r="F7" s="170"/>
      <c r="G7" s="170"/>
      <c r="H7" s="170"/>
      <c r="I7" s="170"/>
      <c r="J7" s="191"/>
    </row>
    <row r="8" spans="2:10" ht="4.5" customHeight="1" thickBot="1" x14ac:dyDescent="0.3">
      <c r="B8" s="2"/>
      <c r="C8" s="2"/>
      <c r="D8" s="3"/>
      <c r="E8" s="3"/>
      <c r="F8" s="3"/>
      <c r="G8" s="3"/>
      <c r="H8" s="3"/>
      <c r="I8" s="3"/>
      <c r="J8" s="3"/>
    </row>
    <row r="9" spans="2:10" ht="15.75" hidden="1" thickBot="1" x14ac:dyDescent="0.3"/>
    <row r="10" spans="2:10" ht="20.25" customHeight="1" thickBot="1" x14ac:dyDescent="0.35">
      <c r="B10" s="61"/>
      <c r="C10" s="61"/>
      <c r="D10" s="61"/>
      <c r="E10" s="61"/>
      <c r="F10" s="61"/>
      <c r="G10" s="61"/>
      <c r="H10" s="195" t="s">
        <v>0</v>
      </c>
      <c r="I10" s="196"/>
      <c r="J10" s="61"/>
    </row>
    <row r="11" spans="2:10" s="4" customFormat="1" ht="24" customHeight="1" thickBot="1" x14ac:dyDescent="0.3">
      <c r="B11" s="62" t="s">
        <v>1</v>
      </c>
      <c r="C11" s="197" t="s">
        <v>731</v>
      </c>
      <c r="D11" s="197"/>
      <c r="E11" s="198"/>
      <c r="F11" s="143" t="s">
        <v>732</v>
      </c>
      <c r="G11" s="63" t="s">
        <v>3</v>
      </c>
      <c r="H11" s="64" t="s">
        <v>4</v>
      </c>
      <c r="I11" s="65" t="s">
        <v>5</v>
      </c>
      <c r="J11" s="66" t="s">
        <v>6</v>
      </c>
    </row>
    <row r="12" spans="2:10" s="4" customFormat="1" ht="45" customHeight="1" thickBot="1" x14ac:dyDescent="0.3">
      <c r="B12" s="67"/>
      <c r="C12" s="230" t="s">
        <v>733</v>
      </c>
      <c r="D12" s="231"/>
      <c r="E12" s="231"/>
      <c r="F12" s="231"/>
      <c r="G12" s="231"/>
      <c r="H12" s="231"/>
      <c r="I12" s="231"/>
      <c r="J12" s="232"/>
    </row>
    <row r="13" spans="2:10" s="4" customFormat="1" ht="44.25" customHeight="1" x14ac:dyDescent="0.3">
      <c r="B13" s="72">
        <f>B12+1</f>
        <v>1</v>
      </c>
      <c r="C13" s="199" t="s">
        <v>734</v>
      </c>
      <c r="D13" s="200"/>
      <c r="E13" s="201"/>
      <c r="F13" s="144" t="s">
        <v>735</v>
      </c>
      <c r="G13" s="73"/>
      <c r="H13" s="74"/>
      <c r="I13" s="75"/>
      <c r="J13" s="76"/>
    </row>
    <row r="14" spans="2:10" s="4" customFormat="1" ht="45.75" customHeight="1" x14ac:dyDescent="0.3">
      <c r="B14" s="72">
        <f>B13+1</f>
        <v>2</v>
      </c>
      <c r="C14" s="199" t="s">
        <v>736</v>
      </c>
      <c r="D14" s="200"/>
      <c r="E14" s="201"/>
      <c r="F14" s="144" t="s">
        <v>735</v>
      </c>
      <c r="G14" s="73"/>
      <c r="H14" s="74"/>
      <c r="I14" s="75"/>
      <c r="J14" s="76"/>
    </row>
    <row r="15" spans="2:10" s="4" customFormat="1" ht="45.75" customHeight="1" thickBot="1" x14ac:dyDescent="0.35">
      <c r="B15" s="72">
        <f>B14+1</f>
        <v>3</v>
      </c>
      <c r="C15" s="199" t="s">
        <v>737</v>
      </c>
      <c r="D15" s="200"/>
      <c r="E15" s="201"/>
      <c r="F15" s="144" t="s">
        <v>735</v>
      </c>
      <c r="G15" s="73"/>
      <c r="H15" s="74"/>
      <c r="I15" s="75"/>
      <c r="J15" s="76"/>
    </row>
    <row r="16" spans="2:10" s="4" customFormat="1" ht="55.5" customHeight="1" thickBot="1" x14ac:dyDescent="0.3">
      <c r="B16" s="72"/>
      <c r="C16" s="230" t="s">
        <v>738</v>
      </c>
      <c r="D16" s="231"/>
      <c r="E16" s="231"/>
      <c r="F16" s="231"/>
      <c r="G16" s="231"/>
      <c r="H16" s="231"/>
      <c r="I16" s="231"/>
      <c r="J16" s="232"/>
    </row>
    <row r="17" spans="2:10" s="4" customFormat="1" ht="42.75" customHeight="1" x14ac:dyDescent="0.3">
      <c r="B17" s="72">
        <f>B16+1</f>
        <v>1</v>
      </c>
      <c r="C17" s="199" t="s">
        <v>739</v>
      </c>
      <c r="D17" s="200"/>
      <c r="E17" s="201"/>
      <c r="F17" s="144" t="s">
        <v>735</v>
      </c>
      <c r="G17" s="73"/>
      <c r="H17" s="74"/>
      <c r="I17" s="75"/>
      <c r="J17" s="76"/>
    </row>
    <row r="18" spans="2:10" s="4" customFormat="1" ht="59.25" customHeight="1" x14ac:dyDescent="0.3">
      <c r="B18" s="72">
        <f>B17+1</f>
        <v>2</v>
      </c>
      <c r="C18" s="192" t="s">
        <v>740</v>
      </c>
      <c r="D18" s="193"/>
      <c r="E18" s="194"/>
      <c r="F18" s="144" t="s">
        <v>735</v>
      </c>
      <c r="G18" s="73"/>
      <c r="H18" s="74"/>
      <c r="I18" s="75"/>
      <c r="J18" s="76"/>
    </row>
    <row r="19" spans="2:10" s="4" customFormat="1" ht="53.25" customHeight="1" thickBot="1" x14ac:dyDescent="0.35">
      <c r="B19" s="72"/>
      <c r="C19" s="192"/>
      <c r="D19" s="193"/>
      <c r="E19" s="194"/>
      <c r="F19" s="141"/>
      <c r="G19" s="73"/>
      <c r="H19" s="74"/>
      <c r="I19" s="75"/>
      <c r="J19" s="76"/>
    </row>
    <row r="20" spans="2:10" s="4" customFormat="1" ht="94.5" customHeight="1" thickBot="1" x14ac:dyDescent="0.3">
      <c r="B20" s="72"/>
      <c r="C20" s="230" t="s">
        <v>741</v>
      </c>
      <c r="D20" s="231"/>
      <c r="E20" s="231"/>
      <c r="F20" s="231"/>
      <c r="G20" s="231"/>
      <c r="H20" s="231"/>
      <c r="I20" s="231"/>
      <c r="J20" s="232"/>
    </row>
    <row r="21" spans="2:10" s="4" customFormat="1" ht="49.5" customHeight="1" x14ac:dyDescent="0.3">
      <c r="B21" s="72">
        <v>1</v>
      </c>
      <c r="C21" s="199" t="s">
        <v>739</v>
      </c>
      <c r="D21" s="200"/>
      <c r="E21" s="201"/>
      <c r="F21" s="144" t="s">
        <v>735</v>
      </c>
      <c r="G21" s="123"/>
      <c r="H21" s="124"/>
      <c r="I21" s="125"/>
      <c r="J21" s="126"/>
    </row>
    <row r="22" spans="2:10" s="4" customFormat="1" ht="49.5" customHeight="1" x14ac:dyDescent="0.3">
      <c r="B22" s="72">
        <v>2</v>
      </c>
      <c r="C22" s="192" t="s">
        <v>740</v>
      </c>
      <c r="D22" s="193"/>
      <c r="E22" s="194"/>
      <c r="F22" s="144" t="s">
        <v>735</v>
      </c>
      <c r="G22" s="123"/>
      <c r="H22" s="124"/>
      <c r="I22" s="125"/>
      <c r="J22" s="126"/>
    </row>
    <row r="23" spans="2:10" s="4" customFormat="1" ht="49.5" customHeight="1" x14ac:dyDescent="0.3">
      <c r="B23" s="72">
        <v>3</v>
      </c>
      <c r="C23" s="199" t="s">
        <v>742</v>
      </c>
      <c r="D23" s="200"/>
      <c r="E23" s="201"/>
      <c r="F23" s="144" t="s">
        <v>735</v>
      </c>
      <c r="G23" s="123"/>
      <c r="H23" s="124"/>
      <c r="I23" s="125"/>
      <c r="J23" s="126"/>
    </row>
    <row r="24" spans="2:10" s="4" customFormat="1" ht="49.5" customHeight="1" x14ac:dyDescent="0.3">
      <c r="B24" s="72">
        <v>4</v>
      </c>
      <c r="C24" s="192" t="s">
        <v>743</v>
      </c>
      <c r="D24" s="193"/>
      <c r="E24" s="194"/>
      <c r="F24" s="144" t="s">
        <v>735</v>
      </c>
      <c r="G24" s="123"/>
      <c r="H24" s="124"/>
      <c r="I24" s="125"/>
      <c r="J24" s="126"/>
    </row>
    <row r="25" spans="2:10" s="4" customFormat="1" ht="49.5" customHeight="1" x14ac:dyDescent="0.3">
      <c r="B25" s="72">
        <v>5</v>
      </c>
      <c r="C25" s="199" t="s">
        <v>744</v>
      </c>
      <c r="D25" s="200"/>
      <c r="E25" s="201"/>
      <c r="F25" s="144" t="s">
        <v>735</v>
      </c>
      <c r="G25" s="123"/>
      <c r="H25" s="124"/>
      <c r="I25" s="125"/>
      <c r="J25" s="126"/>
    </row>
    <row r="26" spans="2:10" s="4" customFormat="1" ht="49.5" customHeight="1" x14ac:dyDescent="0.3">
      <c r="B26" s="72"/>
      <c r="C26" s="120"/>
      <c r="D26" s="121"/>
      <c r="E26" s="122"/>
      <c r="F26" s="122"/>
      <c r="G26" s="123"/>
      <c r="H26" s="124"/>
      <c r="I26" s="125"/>
      <c r="J26" s="126"/>
    </row>
    <row r="27" spans="2:10" s="4" customFormat="1" ht="49.5" customHeight="1" thickBot="1" x14ac:dyDescent="0.35">
      <c r="B27" s="72"/>
      <c r="C27" s="120"/>
      <c r="D27" s="121"/>
      <c r="E27" s="122"/>
      <c r="F27" s="122"/>
      <c r="G27" s="123"/>
      <c r="H27" s="124"/>
      <c r="I27" s="125"/>
      <c r="J27" s="126"/>
    </row>
    <row r="28" spans="2:10" s="12" customFormat="1" ht="27" customHeight="1" thickBot="1" x14ac:dyDescent="0.3">
      <c r="B28" s="205" t="s">
        <v>7</v>
      </c>
      <c r="C28" s="206"/>
      <c r="D28" s="206"/>
      <c r="E28" s="206" t="s">
        <v>189</v>
      </c>
      <c r="F28" s="206"/>
      <c r="G28" s="206"/>
      <c r="H28" s="207"/>
      <c r="I28" s="207"/>
      <c r="J28" s="83" t="s">
        <v>8</v>
      </c>
    </row>
    <row r="29" spans="2:10" x14ac:dyDescent="0.25">
      <c r="B29" s="153"/>
      <c r="C29" s="154"/>
      <c r="D29" s="208"/>
      <c r="E29" s="154"/>
      <c r="F29" s="154"/>
      <c r="G29" s="154"/>
      <c r="H29" s="154"/>
      <c r="I29" s="154"/>
      <c r="J29" s="159"/>
    </row>
    <row r="30" spans="2:10" x14ac:dyDescent="0.25">
      <c r="B30" s="155"/>
      <c r="C30" s="156"/>
      <c r="D30" s="156"/>
      <c r="E30" s="156"/>
      <c r="F30" s="156"/>
      <c r="G30" s="156"/>
      <c r="H30" s="156"/>
      <c r="I30" s="156"/>
      <c r="J30" s="160"/>
    </row>
    <row r="31" spans="2:10" x14ac:dyDescent="0.25">
      <c r="B31" s="155"/>
      <c r="C31" s="156"/>
      <c r="D31" s="156"/>
      <c r="E31" s="156"/>
      <c r="F31" s="156"/>
      <c r="G31" s="156"/>
      <c r="H31" s="156"/>
      <c r="I31" s="156"/>
      <c r="J31" s="160"/>
    </row>
    <row r="32" spans="2:10" x14ac:dyDescent="0.25">
      <c r="B32" s="155"/>
      <c r="C32" s="156"/>
      <c r="D32" s="156"/>
      <c r="E32" s="156"/>
      <c r="F32" s="156"/>
      <c r="G32" s="156"/>
      <c r="H32" s="156"/>
      <c r="I32" s="156"/>
      <c r="J32" s="160"/>
    </row>
    <row r="33" spans="2:10" ht="59.25" customHeight="1" thickBot="1" x14ac:dyDescent="0.3">
      <c r="B33" s="157"/>
      <c r="C33" s="158"/>
      <c r="D33" s="158"/>
      <c r="E33" s="158"/>
      <c r="F33" s="158"/>
      <c r="G33" s="158"/>
      <c r="H33" s="158"/>
      <c r="I33" s="158"/>
      <c r="J33" s="161"/>
    </row>
  </sheetData>
  <sheetProtection selectLockedCells="1" selectUnlockedCells="1"/>
  <mergeCells count="27">
    <mergeCell ref="B29:D33"/>
    <mergeCell ref="E29:I33"/>
    <mergeCell ref="J29:J33"/>
    <mergeCell ref="C22:E22"/>
    <mergeCell ref="C23:E23"/>
    <mergeCell ref="C24:E24"/>
    <mergeCell ref="C25:E25"/>
    <mergeCell ref="B28:D28"/>
    <mergeCell ref="E28:I28"/>
    <mergeCell ref="C21:E21"/>
    <mergeCell ref="H10:I10"/>
    <mergeCell ref="C11:E11"/>
    <mergeCell ref="C12:J12"/>
    <mergeCell ref="C13:E13"/>
    <mergeCell ref="C14:E14"/>
    <mergeCell ref="C15:E15"/>
    <mergeCell ref="C16:J16"/>
    <mergeCell ref="C17:E17"/>
    <mergeCell ref="C18:E18"/>
    <mergeCell ref="C19:E19"/>
    <mergeCell ref="C20:J20"/>
    <mergeCell ref="B3:C5"/>
    <mergeCell ref="D3:I5"/>
    <mergeCell ref="B6:C6"/>
    <mergeCell ref="D6:J6"/>
    <mergeCell ref="B7:C7"/>
    <mergeCell ref="D7:J7"/>
  </mergeCells>
  <conditionalFormatting sqref="G13:G15 G17:G19 G21:G27">
    <cfRule type="cellIs" dxfId="119" priority="1" operator="equal">
      <formula>3</formula>
    </cfRule>
    <cfRule type="cellIs" dxfId="118"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46"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pageSetUpPr fitToPage="1"/>
  </sheetPr>
  <dimension ref="B1:J39"/>
  <sheetViews>
    <sheetView view="pageBreakPreview" zoomScale="60" zoomScaleNormal="60" zoomScalePageLayoutView="70" workbookViewId="0">
      <selection activeCell="J4" sqref="J4"/>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47" style="1" customWidth="1"/>
    <col min="6" max="6" width="29" style="1" customWidth="1"/>
    <col min="7" max="7" width="9.7109375" style="1" customWidth="1"/>
    <col min="8" max="8" width="5.7109375" style="1" customWidth="1"/>
    <col min="9" max="9" width="6.28515625" style="1" customWidth="1"/>
    <col min="10" max="10" width="68.5703125" style="1" customWidth="1"/>
    <col min="11" max="11" width="6.5703125" style="1" customWidth="1"/>
    <col min="12" max="12" width="7.85546875" style="1" customWidth="1"/>
    <col min="13" max="14" width="8.140625" style="1" customWidth="1"/>
    <col min="15" max="16" width="11.42578125" style="1" customWidth="1"/>
    <col min="17" max="17" width="8.85546875" style="1" customWidth="1"/>
    <col min="18" max="20" width="11.42578125" style="1" customWidth="1"/>
    <col min="21" max="21" width="2.140625" style="1" customWidth="1"/>
    <col min="22" max="16384" width="11.42578125" style="1"/>
  </cols>
  <sheetData>
    <row r="1" spans="2:10" ht="1.5" customHeight="1" x14ac:dyDescent="0.25"/>
    <row r="2" spans="2:10" ht="1.5" customHeight="1" thickBot="1" x14ac:dyDescent="0.3"/>
    <row r="3" spans="2:10" ht="19.7" customHeight="1" thickBot="1" x14ac:dyDescent="0.3">
      <c r="B3" s="178"/>
      <c r="C3" s="178"/>
      <c r="D3" s="179" t="s">
        <v>759</v>
      </c>
      <c r="E3" s="180"/>
      <c r="F3" s="180"/>
      <c r="G3" s="180"/>
      <c r="H3" s="180"/>
      <c r="I3" s="181"/>
      <c r="J3" s="58" t="s">
        <v>187</v>
      </c>
    </row>
    <row r="4" spans="2:10" ht="19.7" customHeight="1" thickBot="1" x14ac:dyDescent="0.3">
      <c r="B4" s="178"/>
      <c r="C4" s="178"/>
      <c r="D4" s="182"/>
      <c r="E4" s="183"/>
      <c r="F4" s="183"/>
      <c r="G4" s="183"/>
      <c r="H4" s="183"/>
      <c r="I4" s="184"/>
      <c r="J4" s="59" t="str">
        <f>Date!B2</f>
        <v>Week ... 2025</v>
      </c>
    </row>
    <row r="5" spans="2:10" ht="19.7" customHeight="1" thickBot="1" x14ac:dyDescent="0.3">
      <c r="B5" s="178"/>
      <c r="C5" s="178"/>
      <c r="D5" s="185"/>
      <c r="E5" s="186"/>
      <c r="F5" s="186"/>
      <c r="G5" s="186"/>
      <c r="H5" s="186"/>
      <c r="I5" s="187"/>
      <c r="J5" s="60" t="s">
        <v>636</v>
      </c>
    </row>
    <row r="6" spans="2:10" ht="27" thickBot="1" x14ac:dyDescent="0.3">
      <c r="B6" s="167" t="s">
        <v>188</v>
      </c>
      <c r="C6" s="168"/>
      <c r="D6" s="188" t="s">
        <v>730</v>
      </c>
      <c r="E6" s="189"/>
      <c r="F6" s="189"/>
      <c r="G6" s="189"/>
      <c r="H6" s="189"/>
      <c r="I6" s="189"/>
      <c r="J6" s="190"/>
    </row>
    <row r="7" spans="2:10" ht="24" customHeight="1" thickBot="1" x14ac:dyDescent="0.3">
      <c r="B7" s="167" t="s">
        <v>170</v>
      </c>
      <c r="C7" s="168"/>
      <c r="D7" s="169" t="s">
        <v>614</v>
      </c>
      <c r="E7" s="170"/>
      <c r="F7" s="170"/>
      <c r="G7" s="170"/>
      <c r="H7" s="170"/>
      <c r="I7" s="170"/>
      <c r="J7" s="191"/>
    </row>
    <row r="8" spans="2:10" ht="4.5" customHeight="1" thickBot="1" x14ac:dyDescent="0.3">
      <c r="B8" s="2"/>
      <c r="C8" s="2"/>
      <c r="D8" s="3"/>
      <c r="E8" s="3"/>
      <c r="F8" s="3"/>
      <c r="G8" s="3"/>
      <c r="H8" s="3"/>
      <c r="I8" s="3"/>
      <c r="J8" s="3"/>
    </row>
    <row r="9" spans="2:10" ht="15.75" hidden="1" thickBot="1" x14ac:dyDescent="0.3"/>
    <row r="10" spans="2:10" ht="20.25" customHeight="1" thickBot="1" x14ac:dyDescent="0.35">
      <c r="B10" s="61"/>
      <c r="C10" s="61"/>
      <c r="D10" s="61"/>
      <c r="E10" s="61"/>
      <c r="F10" s="61"/>
      <c r="G10" s="61"/>
      <c r="H10" s="195" t="s">
        <v>0</v>
      </c>
      <c r="I10" s="196"/>
      <c r="J10" s="61"/>
    </row>
    <row r="11" spans="2:10" s="4" customFormat="1" ht="24" customHeight="1" thickBot="1" x14ac:dyDescent="0.3">
      <c r="B11" s="62" t="s">
        <v>1</v>
      </c>
      <c r="C11" s="197" t="s">
        <v>731</v>
      </c>
      <c r="D11" s="197"/>
      <c r="E11" s="198"/>
      <c r="F11" s="149" t="s">
        <v>732</v>
      </c>
      <c r="G11" s="63" t="s">
        <v>3</v>
      </c>
      <c r="H11" s="62" t="s">
        <v>4</v>
      </c>
      <c r="I11" s="150" t="s">
        <v>5</v>
      </c>
      <c r="J11" s="151" t="s">
        <v>6</v>
      </c>
    </row>
    <row r="12" spans="2:10" s="4" customFormat="1" ht="45" customHeight="1" thickBot="1" x14ac:dyDescent="0.3">
      <c r="B12" s="67">
        <v>1</v>
      </c>
      <c r="C12" s="230" t="s">
        <v>760</v>
      </c>
      <c r="D12" s="231"/>
      <c r="E12" s="231"/>
      <c r="F12" s="231"/>
      <c r="G12" s="231"/>
      <c r="H12" s="231"/>
      <c r="I12" s="231"/>
      <c r="J12" s="232"/>
    </row>
    <row r="13" spans="2:10" s="4" customFormat="1" ht="44.25" customHeight="1" x14ac:dyDescent="0.3">
      <c r="B13" s="72">
        <f>B12+1</f>
        <v>2</v>
      </c>
      <c r="C13" s="236" t="s">
        <v>761</v>
      </c>
      <c r="D13" s="237"/>
      <c r="E13" s="238"/>
      <c r="F13" s="144" t="s">
        <v>762</v>
      </c>
      <c r="G13" s="145"/>
      <c r="H13" s="146"/>
      <c r="I13" s="147"/>
      <c r="J13" s="148"/>
    </row>
    <row r="14" spans="2:10" s="4" customFormat="1" ht="45.75" customHeight="1" x14ac:dyDescent="0.3">
      <c r="B14" s="72">
        <f t="shared" ref="B14:B23" si="0">B13+1</f>
        <v>3</v>
      </c>
      <c r="C14" s="199"/>
      <c r="D14" s="200"/>
      <c r="E14" s="201"/>
      <c r="F14" s="141"/>
      <c r="G14" s="73"/>
      <c r="H14" s="74"/>
      <c r="I14" s="75"/>
      <c r="J14" s="76"/>
    </row>
    <row r="15" spans="2:10" s="4" customFormat="1" ht="45.75" customHeight="1" x14ac:dyDescent="0.3">
      <c r="B15" s="72">
        <f t="shared" si="0"/>
        <v>4</v>
      </c>
      <c r="C15" s="192"/>
      <c r="D15" s="193"/>
      <c r="E15" s="194"/>
      <c r="F15" s="141"/>
      <c r="G15" s="73"/>
      <c r="H15" s="74"/>
      <c r="I15" s="75"/>
      <c r="J15" s="76"/>
    </row>
    <row r="16" spans="2:10" s="4" customFormat="1" ht="46.5" customHeight="1" x14ac:dyDescent="0.3">
      <c r="B16" s="72">
        <f t="shared" si="0"/>
        <v>5</v>
      </c>
      <c r="C16" s="199"/>
      <c r="D16" s="200"/>
      <c r="E16" s="201"/>
      <c r="F16" s="141"/>
      <c r="G16" s="73"/>
      <c r="H16" s="74"/>
      <c r="I16" s="75"/>
      <c r="J16" s="76"/>
    </row>
    <row r="17" spans="2:10" s="4" customFormat="1" ht="45" customHeight="1" x14ac:dyDescent="0.3">
      <c r="B17" s="72">
        <f t="shared" si="0"/>
        <v>6</v>
      </c>
      <c r="C17" s="192"/>
      <c r="D17" s="193"/>
      <c r="E17" s="194"/>
      <c r="F17" s="141"/>
      <c r="G17" s="73"/>
      <c r="H17" s="74"/>
      <c r="I17" s="75"/>
      <c r="J17" s="76"/>
    </row>
    <row r="18" spans="2:10" s="4" customFormat="1" ht="48.75" customHeight="1" x14ac:dyDescent="0.3">
      <c r="B18" s="72">
        <f t="shared" si="0"/>
        <v>7</v>
      </c>
      <c r="C18" s="192"/>
      <c r="D18" s="193"/>
      <c r="E18" s="194"/>
      <c r="F18" s="141"/>
      <c r="G18" s="73"/>
      <c r="H18" s="74"/>
      <c r="I18" s="75"/>
      <c r="J18" s="76"/>
    </row>
    <row r="19" spans="2:10" s="4" customFormat="1" ht="55.5" customHeight="1" x14ac:dyDescent="0.3">
      <c r="B19" s="72">
        <f t="shared" si="0"/>
        <v>8</v>
      </c>
      <c r="C19" s="199"/>
      <c r="D19" s="200"/>
      <c r="E19" s="201"/>
      <c r="F19" s="141"/>
      <c r="G19" s="73"/>
      <c r="H19" s="74"/>
      <c r="I19" s="75"/>
      <c r="J19" s="77"/>
    </row>
    <row r="20" spans="2:10" s="4" customFormat="1" ht="42.75" customHeight="1" x14ac:dyDescent="0.3">
      <c r="B20" s="72">
        <f t="shared" si="0"/>
        <v>9</v>
      </c>
      <c r="C20" s="199"/>
      <c r="D20" s="200"/>
      <c r="E20" s="201"/>
      <c r="F20" s="141"/>
      <c r="G20" s="73"/>
      <c r="H20" s="74"/>
      <c r="I20" s="75"/>
      <c r="J20" s="76"/>
    </row>
    <row r="21" spans="2:10" s="4" customFormat="1" ht="81.75" customHeight="1" x14ac:dyDescent="0.3">
      <c r="B21" s="72">
        <f t="shared" si="0"/>
        <v>10</v>
      </c>
      <c r="C21" s="192"/>
      <c r="D21" s="193"/>
      <c r="E21" s="194"/>
      <c r="F21" s="141"/>
      <c r="G21" s="73"/>
      <c r="H21" s="74"/>
      <c r="I21" s="75"/>
      <c r="J21" s="76"/>
    </row>
    <row r="22" spans="2:10" s="4" customFormat="1" ht="53.25" customHeight="1" x14ac:dyDescent="0.3">
      <c r="B22" s="72">
        <f t="shared" si="0"/>
        <v>11</v>
      </c>
      <c r="C22" s="192"/>
      <c r="D22" s="193"/>
      <c r="E22" s="194"/>
      <c r="F22" s="141"/>
      <c r="G22" s="73"/>
      <c r="H22" s="74"/>
      <c r="I22" s="75"/>
      <c r="J22" s="76"/>
    </row>
    <row r="23" spans="2:10" s="4" customFormat="1" ht="49.5" customHeight="1" x14ac:dyDescent="0.3">
      <c r="B23" s="72">
        <f t="shared" si="0"/>
        <v>12</v>
      </c>
      <c r="C23" s="192"/>
      <c r="D23" s="193"/>
      <c r="E23" s="194"/>
      <c r="F23" s="141"/>
      <c r="G23" s="73"/>
      <c r="H23" s="74"/>
      <c r="I23" s="75"/>
      <c r="J23" s="76"/>
    </row>
    <row r="24" spans="2:10" s="4" customFormat="1" ht="49.5" customHeight="1" x14ac:dyDescent="0.3">
      <c r="B24" s="72"/>
      <c r="C24" s="192"/>
      <c r="D24" s="193"/>
      <c r="E24" s="194"/>
      <c r="F24" s="122"/>
      <c r="G24" s="123"/>
      <c r="H24" s="124"/>
      <c r="I24" s="125"/>
      <c r="J24" s="126"/>
    </row>
    <row r="25" spans="2:10" s="4" customFormat="1" ht="49.5" customHeight="1" x14ac:dyDescent="0.3">
      <c r="B25" s="72"/>
      <c r="C25" s="192"/>
      <c r="D25" s="193"/>
      <c r="E25" s="194"/>
      <c r="F25" s="122"/>
      <c r="G25" s="123"/>
      <c r="H25" s="124"/>
      <c r="I25" s="125"/>
      <c r="J25" s="126"/>
    </row>
    <row r="26" spans="2:10" s="4" customFormat="1" ht="49.5" customHeight="1" x14ac:dyDescent="0.3">
      <c r="B26" s="72"/>
      <c r="C26" s="192"/>
      <c r="D26" s="193"/>
      <c r="E26" s="194"/>
      <c r="F26" s="122"/>
      <c r="G26" s="123"/>
      <c r="H26" s="124"/>
      <c r="I26" s="125"/>
      <c r="J26" s="126"/>
    </row>
    <row r="27" spans="2:10" s="4" customFormat="1" ht="49.5" customHeight="1" x14ac:dyDescent="0.3">
      <c r="B27" s="72"/>
      <c r="C27" s="192"/>
      <c r="D27" s="193"/>
      <c r="E27" s="194"/>
      <c r="F27" s="122"/>
      <c r="G27" s="123"/>
      <c r="H27" s="124"/>
      <c r="I27" s="125"/>
      <c r="J27" s="126"/>
    </row>
    <row r="28" spans="2:10" s="4" customFormat="1" ht="49.5" customHeight="1" x14ac:dyDescent="0.3">
      <c r="B28" s="72"/>
      <c r="C28" s="192"/>
      <c r="D28" s="193"/>
      <c r="E28" s="194"/>
      <c r="F28" s="122"/>
      <c r="G28" s="123"/>
      <c r="H28" s="124"/>
      <c r="I28" s="125"/>
      <c r="J28" s="126"/>
    </row>
    <row r="29" spans="2:10" s="4" customFormat="1" ht="49.5" customHeight="1" x14ac:dyDescent="0.3">
      <c r="B29" s="72"/>
      <c r="C29" s="120"/>
      <c r="D29" s="121"/>
      <c r="E29" s="122"/>
      <c r="F29" s="122"/>
      <c r="G29" s="123"/>
      <c r="H29" s="124"/>
      <c r="I29" s="125"/>
      <c r="J29" s="126"/>
    </row>
    <row r="30" spans="2:10" s="4" customFormat="1" ht="49.5" customHeight="1" x14ac:dyDescent="0.3">
      <c r="B30" s="72"/>
      <c r="C30" s="120"/>
      <c r="D30" s="121"/>
      <c r="E30" s="122"/>
      <c r="F30" s="122"/>
      <c r="G30" s="123"/>
      <c r="H30" s="124"/>
      <c r="I30" s="125"/>
      <c r="J30" s="126"/>
    </row>
    <row r="31" spans="2:10" s="4" customFormat="1" ht="49.5" customHeight="1" x14ac:dyDescent="0.3">
      <c r="B31" s="72"/>
      <c r="C31" s="120"/>
      <c r="D31" s="121"/>
      <c r="E31" s="122"/>
      <c r="F31" s="122"/>
      <c r="G31" s="123"/>
      <c r="H31" s="124"/>
      <c r="I31" s="125"/>
      <c r="J31" s="126"/>
    </row>
    <row r="32" spans="2:10" s="4" customFormat="1" ht="49.5" customHeight="1" x14ac:dyDescent="0.3">
      <c r="B32" s="72"/>
      <c r="C32" s="120"/>
      <c r="D32" s="121"/>
      <c r="E32" s="122"/>
      <c r="F32" s="122"/>
      <c r="G32" s="123"/>
      <c r="H32" s="124"/>
      <c r="I32" s="125"/>
      <c r="J32" s="126"/>
    </row>
    <row r="33" spans="2:10" s="4" customFormat="1" ht="51" customHeight="1" thickBot="1" x14ac:dyDescent="0.35">
      <c r="B33" s="72">
        <f>B23+1</f>
        <v>13</v>
      </c>
      <c r="C33" s="202"/>
      <c r="D33" s="203"/>
      <c r="E33" s="204"/>
      <c r="F33" s="142"/>
      <c r="G33" s="79"/>
      <c r="H33" s="80"/>
      <c r="I33" s="81"/>
      <c r="J33" s="82"/>
    </row>
    <row r="34" spans="2:10" s="12" customFormat="1" ht="27" customHeight="1" thickBot="1" x14ac:dyDescent="0.3">
      <c r="B34" s="205" t="s">
        <v>7</v>
      </c>
      <c r="C34" s="206"/>
      <c r="D34" s="206"/>
      <c r="E34" s="206" t="s">
        <v>189</v>
      </c>
      <c r="F34" s="206"/>
      <c r="G34" s="206"/>
      <c r="H34" s="207"/>
      <c r="I34" s="207"/>
      <c r="J34" s="83" t="s">
        <v>8</v>
      </c>
    </row>
    <row r="35" spans="2:10" x14ac:dyDescent="0.25">
      <c r="B35" s="153"/>
      <c r="C35" s="154"/>
      <c r="D35" s="208"/>
      <c r="E35" s="154"/>
      <c r="F35" s="154"/>
      <c r="G35" s="154"/>
      <c r="H35" s="154"/>
      <c r="I35" s="154"/>
      <c r="J35" s="159"/>
    </row>
    <row r="36" spans="2:10" x14ac:dyDescent="0.25">
      <c r="B36" s="155"/>
      <c r="C36" s="156"/>
      <c r="D36" s="156"/>
      <c r="E36" s="156"/>
      <c r="F36" s="156"/>
      <c r="G36" s="156"/>
      <c r="H36" s="156"/>
      <c r="I36" s="156"/>
      <c r="J36" s="160"/>
    </row>
    <row r="37" spans="2:10" x14ac:dyDescent="0.25">
      <c r="B37" s="155"/>
      <c r="C37" s="156"/>
      <c r="D37" s="156"/>
      <c r="E37" s="156"/>
      <c r="F37" s="156"/>
      <c r="G37" s="156"/>
      <c r="H37" s="156"/>
      <c r="I37" s="156"/>
      <c r="J37" s="160"/>
    </row>
    <row r="38" spans="2:10" x14ac:dyDescent="0.25">
      <c r="B38" s="155"/>
      <c r="C38" s="156"/>
      <c r="D38" s="156"/>
      <c r="E38" s="156"/>
      <c r="F38" s="156"/>
      <c r="G38" s="156"/>
      <c r="H38" s="156"/>
      <c r="I38" s="156"/>
      <c r="J38" s="160"/>
    </row>
    <row r="39" spans="2:10" ht="59.25" customHeight="1" thickBot="1" x14ac:dyDescent="0.3">
      <c r="B39" s="157"/>
      <c r="C39" s="158"/>
      <c r="D39" s="158"/>
      <c r="E39" s="158"/>
      <c r="F39" s="158"/>
      <c r="G39" s="158"/>
      <c r="H39" s="158"/>
      <c r="I39" s="158"/>
      <c r="J39" s="161"/>
    </row>
  </sheetData>
  <sheetProtection selectLockedCells="1" selectUnlockedCells="1"/>
  <mergeCells count="31">
    <mergeCell ref="J35:J39"/>
    <mergeCell ref="C28:E28"/>
    <mergeCell ref="C33:E33"/>
    <mergeCell ref="B34:D34"/>
    <mergeCell ref="E34:I34"/>
    <mergeCell ref="B35:D39"/>
    <mergeCell ref="E35:I39"/>
    <mergeCell ref="C27:E27"/>
    <mergeCell ref="C16:E16"/>
    <mergeCell ref="C17:E17"/>
    <mergeCell ref="C18:E18"/>
    <mergeCell ref="C19:E19"/>
    <mergeCell ref="C20:E20"/>
    <mergeCell ref="C21:E21"/>
    <mergeCell ref="C22:E22"/>
    <mergeCell ref="C23:E23"/>
    <mergeCell ref="C24:E24"/>
    <mergeCell ref="C25:E25"/>
    <mergeCell ref="C26:E26"/>
    <mergeCell ref="C15:E15"/>
    <mergeCell ref="B3:C5"/>
    <mergeCell ref="D3:I5"/>
    <mergeCell ref="B6:C6"/>
    <mergeCell ref="D6:J6"/>
    <mergeCell ref="B7:C7"/>
    <mergeCell ref="D7:J7"/>
    <mergeCell ref="H10:I10"/>
    <mergeCell ref="C11:E11"/>
    <mergeCell ref="C12:J12"/>
    <mergeCell ref="C13:E13"/>
    <mergeCell ref="C14:E14"/>
  </mergeCells>
  <conditionalFormatting sqref="G13:G33">
    <cfRule type="cellIs" dxfId="117" priority="1" operator="equal">
      <formula>3</formula>
    </cfRule>
    <cfRule type="cellIs" dxfId="116"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pageSetUpPr fitToPage="1"/>
  </sheetPr>
  <dimension ref="B1:J35"/>
  <sheetViews>
    <sheetView view="pageBreakPreview" zoomScale="60" zoomScaleNormal="60" zoomScalePageLayoutView="70" workbookViewId="0">
      <selection activeCell="C15" sqref="C15:E15"/>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29" style="1" customWidth="1"/>
    <col min="7" max="7" width="9.7109375" style="1" customWidth="1"/>
    <col min="8" max="8" width="5.7109375" style="1" customWidth="1"/>
    <col min="9" max="9" width="6.28515625" style="1" customWidth="1"/>
    <col min="10" max="10" width="68.5703125" style="1" customWidth="1"/>
    <col min="11" max="11" width="6.5703125" style="1" customWidth="1"/>
    <col min="12" max="12" width="7.85546875" style="1" customWidth="1"/>
    <col min="13" max="14" width="8.140625" style="1" customWidth="1"/>
    <col min="15" max="16" width="11.42578125" style="1" customWidth="1"/>
    <col min="17" max="17" width="8.85546875" style="1" customWidth="1"/>
    <col min="18" max="20" width="11.42578125" style="1" customWidth="1"/>
    <col min="21" max="21" width="2.140625" style="1" customWidth="1"/>
    <col min="22" max="16384" width="11.42578125" style="1"/>
  </cols>
  <sheetData>
    <row r="1" spans="2:10" ht="1.5" customHeight="1" x14ac:dyDescent="0.25"/>
    <row r="2" spans="2:10" ht="1.5" customHeight="1" thickBot="1" x14ac:dyDescent="0.3"/>
    <row r="3" spans="2:10" ht="19.7" customHeight="1" thickBot="1" x14ac:dyDescent="0.3">
      <c r="B3" s="178"/>
      <c r="C3" s="178"/>
      <c r="D3" s="179" t="s">
        <v>745</v>
      </c>
      <c r="E3" s="180"/>
      <c r="F3" s="180"/>
      <c r="G3" s="180"/>
      <c r="H3" s="180"/>
      <c r="I3" s="181"/>
      <c r="J3" s="58" t="s">
        <v>187</v>
      </c>
    </row>
    <row r="4" spans="2:10" ht="19.7" customHeight="1" thickBot="1" x14ac:dyDescent="0.3">
      <c r="B4" s="178"/>
      <c r="C4" s="178"/>
      <c r="D4" s="182"/>
      <c r="E4" s="183"/>
      <c r="F4" s="183"/>
      <c r="G4" s="183"/>
      <c r="H4" s="183"/>
      <c r="I4" s="184"/>
      <c r="J4" s="59" t="str">
        <f>Date!B2</f>
        <v>Week ... 2025</v>
      </c>
    </row>
    <row r="5" spans="2:10" ht="19.7" customHeight="1" thickBot="1" x14ac:dyDescent="0.3">
      <c r="B5" s="178"/>
      <c r="C5" s="178"/>
      <c r="D5" s="185"/>
      <c r="E5" s="186"/>
      <c r="F5" s="186"/>
      <c r="G5" s="186"/>
      <c r="H5" s="186"/>
      <c r="I5" s="187"/>
      <c r="J5" s="60" t="s">
        <v>636</v>
      </c>
    </row>
    <row r="6" spans="2:10" ht="27" thickBot="1" x14ac:dyDescent="0.3">
      <c r="B6" s="167" t="s">
        <v>188</v>
      </c>
      <c r="C6" s="168"/>
      <c r="D6" s="188" t="s">
        <v>730</v>
      </c>
      <c r="E6" s="189"/>
      <c r="F6" s="189"/>
      <c r="G6" s="189"/>
      <c r="H6" s="189"/>
      <c r="I6" s="189"/>
      <c r="J6" s="190"/>
    </row>
    <row r="7" spans="2:10" ht="24" customHeight="1" thickBot="1" x14ac:dyDescent="0.3">
      <c r="B7" s="167" t="s">
        <v>170</v>
      </c>
      <c r="C7" s="168"/>
      <c r="D7" s="169" t="s">
        <v>614</v>
      </c>
      <c r="E7" s="170"/>
      <c r="F7" s="170"/>
      <c r="G7" s="170"/>
      <c r="H7" s="170"/>
      <c r="I7" s="170"/>
      <c r="J7" s="191"/>
    </row>
    <row r="8" spans="2:10" ht="4.5" customHeight="1" thickBot="1" x14ac:dyDescent="0.3">
      <c r="B8" s="2"/>
      <c r="C8" s="2"/>
      <c r="D8" s="3"/>
      <c r="E8" s="3"/>
      <c r="F8" s="3"/>
      <c r="G8" s="3"/>
      <c r="H8" s="3"/>
      <c r="I8" s="3"/>
      <c r="J8" s="3"/>
    </row>
    <row r="9" spans="2:10" ht="15.75" hidden="1" thickBot="1" x14ac:dyDescent="0.3"/>
    <row r="10" spans="2:10" ht="20.25" customHeight="1" thickBot="1" x14ac:dyDescent="0.35">
      <c r="B10" s="61"/>
      <c r="C10" s="61"/>
      <c r="D10" s="61"/>
      <c r="E10" s="61"/>
      <c r="F10" s="61"/>
      <c r="G10" s="61"/>
      <c r="H10" s="195" t="s">
        <v>0</v>
      </c>
      <c r="I10" s="196"/>
      <c r="J10" s="61"/>
    </row>
    <row r="11" spans="2:10" s="4" customFormat="1" ht="24" customHeight="1" thickBot="1" x14ac:dyDescent="0.3">
      <c r="B11" s="62" t="s">
        <v>1</v>
      </c>
      <c r="C11" s="197" t="s">
        <v>731</v>
      </c>
      <c r="D11" s="197"/>
      <c r="E11" s="198"/>
      <c r="F11" s="143" t="s">
        <v>732</v>
      </c>
      <c r="G11" s="63" t="s">
        <v>3</v>
      </c>
      <c r="H11" s="64" t="s">
        <v>4</v>
      </c>
      <c r="I11" s="65" t="s">
        <v>5</v>
      </c>
      <c r="J11" s="66" t="s">
        <v>6</v>
      </c>
    </row>
    <row r="12" spans="2:10" s="4" customFormat="1" ht="45" customHeight="1" thickBot="1" x14ac:dyDescent="0.3">
      <c r="B12" s="67">
        <v>1</v>
      </c>
      <c r="C12" s="230" t="s">
        <v>746</v>
      </c>
      <c r="D12" s="231"/>
      <c r="E12" s="231"/>
      <c r="F12" s="231"/>
      <c r="G12" s="231"/>
      <c r="H12" s="231"/>
      <c r="I12" s="231"/>
      <c r="J12" s="232"/>
    </row>
    <row r="13" spans="2:10" s="4" customFormat="1" ht="44.25" customHeight="1" x14ac:dyDescent="0.3">
      <c r="B13" s="72">
        <f>B12+1</f>
        <v>2</v>
      </c>
      <c r="C13" s="199" t="s">
        <v>747</v>
      </c>
      <c r="D13" s="200"/>
      <c r="E13" s="201"/>
      <c r="F13" s="141" t="s">
        <v>735</v>
      </c>
      <c r="G13" s="145"/>
      <c r="H13" s="146"/>
      <c r="I13" s="147"/>
      <c r="J13" s="148"/>
    </row>
    <row r="14" spans="2:10" s="4" customFormat="1" ht="45.75" customHeight="1" x14ac:dyDescent="0.3">
      <c r="B14" s="72">
        <f t="shared" ref="B14:B19" si="0">B13+1</f>
        <v>3</v>
      </c>
      <c r="C14" s="192" t="s">
        <v>748</v>
      </c>
      <c r="D14" s="193"/>
      <c r="E14" s="194"/>
      <c r="F14" s="141" t="s">
        <v>735</v>
      </c>
      <c r="G14" s="73"/>
      <c r="H14" s="74"/>
      <c r="I14" s="75"/>
      <c r="J14" s="76"/>
    </row>
    <row r="15" spans="2:10" s="4" customFormat="1" ht="45.75" customHeight="1" thickBot="1" x14ac:dyDescent="0.35">
      <c r="B15" s="72">
        <f t="shared" si="0"/>
        <v>4</v>
      </c>
      <c r="C15" s="192"/>
      <c r="D15" s="193"/>
      <c r="E15" s="194"/>
      <c r="F15" s="141"/>
      <c r="G15" s="73"/>
      <c r="H15" s="74"/>
      <c r="I15" s="75"/>
      <c r="J15" s="76"/>
    </row>
    <row r="16" spans="2:10" s="4" customFormat="1" ht="55.5" customHeight="1" thickBot="1" x14ac:dyDescent="0.3">
      <c r="B16" s="72"/>
      <c r="C16" s="230" t="s">
        <v>738</v>
      </c>
      <c r="D16" s="231"/>
      <c r="E16" s="231"/>
      <c r="F16" s="231"/>
      <c r="G16" s="231"/>
      <c r="H16" s="231"/>
      <c r="I16" s="231"/>
      <c r="J16" s="232"/>
    </row>
    <row r="17" spans="2:10" s="4" customFormat="1" ht="42.75" customHeight="1" x14ac:dyDescent="0.3">
      <c r="B17" s="72">
        <f t="shared" si="0"/>
        <v>1</v>
      </c>
      <c r="C17" s="199" t="s">
        <v>742</v>
      </c>
      <c r="D17" s="200"/>
      <c r="E17" s="201"/>
      <c r="F17" s="141" t="s">
        <v>735</v>
      </c>
      <c r="G17" s="73"/>
      <c r="H17" s="74"/>
      <c r="I17" s="75"/>
      <c r="J17" s="76"/>
    </row>
    <row r="18" spans="2:10" s="4" customFormat="1" ht="71.25" customHeight="1" x14ac:dyDescent="0.3">
      <c r="B18" s="72">
        <f t="shared" si="0"/>
        <v>2</v>
      </c>
      <c r="C18" s="192" t="s">
        <v>743</v>
      </c>
      <c r="D18" s="193"/>
      <c r="E18" s="194"/>
      <c r="F18" s="141" t="s">
        <v>735</v>
      </c>
      <c r="G18" s="73"/>
      <c r="H18" s="74"/>
      <c r="I18" s="75"/>
      <c r="J18" s="76"/>
    </row>
    <row r="19" spans="2:10" s="4" customFormat="1" ht="53.25" customHeight="1" thickBot="1" x14ac:dyDescent="0.35">
      <c r="B19" s="72">
        <f t="shared" si="0"/>
        <v>3</v>
      </c>
      <c r="C19" s="199" t="s">
        <v>744</v>
      </c>
      <c r="D19" s="200"/>
      <c r="E19" s="201"/>
      <c r="F19" s="141" t="s">
        <v>735</v>
      </c>
      <c r="G19" s="73"/>
      <c r="H19" s="74"/>
      <c r="I19" s="75"/>
      <c r="J19" s="76"/>
    </row>
    <row r="20" spans="2:10" s="4" customFormat="1" ht="49.5" customHeight="1" thickBot="1" x14ac:dyDescent="0.3">
      <c r="B20" s="72"/>
      <c r="C20" s="230" t="s">
        <v>749</v>
      </c>
      <c r="D20" s="231"/>
      <c r="E20" s="231"/>
      <c r="F20" s="231"/>
      <c r="G20" s="231"/>
      <c r="H20" s="231"/>
      <c r="I20" s="231"/>
      <c r="J20" s="232"/>
    </row>
    <row r="21" spans="2:10" s="4" customFormat="1" ht="69.75" customHeight="1" x14ac:dyDescent="0.3">
      <c r="B21" s="72">
        <v>1</v>
      </c>
      <c r="C21" s="192" t="s">
        <v>750</v>
      </c>
      <c r="D21" s="193"/>
      <c r="E21" s="194"/>
      <c r="F21" s="122" t="s">
        <v>751</v>
      </c>
      <c r="G21" s="123"/>
      <c r="H21" s="124"/>
      <c r="I21" s="125"/>
      <c r="J21" s="126"/>
    </row>
    <row r="22" spans="2:10" s="4" customFormat="1" ht="49.5" customHeight="1" x14ac:dyDescent="0.3">
      <c r="B22" s="72">
        <v>2</v>
      </c>
      <c r="C22" s="192" t="s">
        <v>752</v>
      </c>
      <c r="D22" s="193"/>
      <c r="E22" s="194"/>
      <c r="F22" s="122" t="s">
        <v>751</v>
      </c>
      <c r="G22" s="123"/>
      <c r="H22" s="124"/>
      <c r="I22" s="125"/>
      <c r="J22" s="126"/>
    </row>
    <row r="23" spans="2:10" s="4" customFormat="1" ht="49.5" customHeight="1" x14ac:dyDescent="0.3">
      <c r="B23" s="72">
        <v>3</v>
      </c>
      <c r="C23" s="192" t="s">
        <v>753</v>
      </c>
      <c r="D23" s="193"/>
      <c r="E23" s="194"/>
      <c r="F23" s="122" t="s">
        <v>751</v>
      </c>
      <c r="G23" s="123"/>
      <c r="H23" s="124"/>
      <c r="I23" s="125"/>
      <c r="J23" s="126"/>
    </row>
    <row r="24" spans="2:10" s="4" customFormat="1" ht="49.5" customHeight="1" x14ac:dyDescent="0.3">
      <c r="B24" s="72">
        <v>4</v>
      </c>
      <c r="C24" s="192" t="s">
        <v>754</v>
      </c>
      <c r="D24" s="193"/>
      <c r="E24" s="194"/>
      <c r="F24" s="122" t="s">
        <v>751</v>
      </c>
      <c r="G24" s="123"/>
      <c r="H24" s="124"/>
      <c r="I24" s="125"/>
      <c r="J24" s="126"/>
    </row>
    <row r="25" spans="2:10" s="4" customFormat="1" ht="49.5" customHeight="1" x14ac:dyDescent="0.3">
      <c r="B25" s="72">
        <v>5</v>
      </c>
      <c r="C25" s="192" t="s">
        <v>755</v>
      </c>
      <c r="D25" s="193"/>
      <c r="E25" s="194"/>
      <c r="F25" s="122" t="s">
        <v>751</v>
      </c>
      <c r="G25" s="123"/>
      <c r="H25" s="124"/>
      <c r="I25" s="125"/>
      <c r="J25" s="126"/>
    </row>
    <row r="26" spans="2:10" s="4" customFormat="1" ht="49.5" customHeight="1" x14ac:dyDescent="0.3">
      <c r="B26" s="72">
        <v>6</v>
      </c>
      <c r="C26" s="192" t="s">
        <v>756</v>
      </c>
      <c r="D26" s="193"/>
      <c r="E26" s="194"/>
      <c r="F26" s="122" t="s">
        <v>751</v>
      </c>
      <c r="G26" s="123"/>
      <c r="H26" s="124"/>
      <c r="I26" s="125"/>
      <c r="J26" s="126"/>
    </row>
    <row r="27" spans="2:10" s="4" customFormat="1" ht="49.5" customHeight="1" x14ac:dyDescent="0.3">
      <c r="B27" s="72">
        <v>7</v>
      </c>
      <c r="C27" s="192" t="s">
        <v>757</v>
      </c>
      <c r="D27" s="193"/>
      <c r="E27" s="194"/>
      <c r="F27" s="122" t="s">
        <v>751</v>
      </c>
      <c r="G27" s="123"/>
      <c r="H27" s="124"/>
      <c r="I27" s="125"/>
      <c r="J27" s="126"/>
    </row>
    <row r="28" spans="2:10" s="4" customFormat="1" ht="49.5" customHeight="1" x14ac:dyDescent="0.3">
      <c r="B28" s="72">
        <v>8</v>
      </c>
      <c r="C28" s="192" t="s">
        <v>758</v>
      </c>
      <c r="D28" s="193"/>
      <c r="E28" s="194"/>
      <c r="F28" s="122" t="s">
        <v>751</v>
      </c>
      <c r="G28" s="123"/>
      <c r="H28" s="124"/>
      <c r="I28" s="125"/>
      <c r="J28" s="126"/>
    </row>
    <row r="29" spans="2:10" s="4" customFormat="1" ht="49.5" customHeight="1" thickBot="1" x14ac:dyDescent="0.35">
      <c r="B29" s="72">
        <v>9</v>
      </c>
      <c r="C29" s="233"/>
      <c r="D29" s="234"/>
      <c r="E29" s="235"/>
      <c r="F29" s="122"/>
      <c r="G29" s="123"/>
      <c r="H29" s="124"/>
      <c r="I29" s="125"/>
      <c r="J29" s="126"/>
    </row>
    <row r="30" spans="2:10" s="12" customFormat="1" ht="27" customHeight="1" thickBot="1" x14ac:dyDescent="0.3">
      <c r="B30" s="205" t="s">
        <v>7</v>
      </c>
      <c r="C30" s="206"/>
      <c r="D30" s="206"/>
      <c r="E30" s="206" t="s">
        <v>189</v>
      </c>
      <c r="F30" s="206"/>
      <c r="G30" s="206"/>
      <c r="H30" s="207"/>
      <c r="I30" s="207"/>
      <c r="J30" s="83" t="s">
        <v>8</v>
      </c>
    </row>
    <row r="31" spans="2:10" x14ac:dyDescent="0.25">
      <c r="B31" s="153"/>
      <c r="C31" s="154"/>
      <c r="D31" s="208"/>
      <c r="E31" s="154"/>
      <c r="F31" s="154"/>
      <c r="G31" s="154"/>
      <c r="H31" s="154"/>
      <c r="I31" s="154"/>
      <c r="J31" s="159"/>
    </row>
    <row r="32" spans="2:10" x14ac:dyDescent="0.25">
      <c r="B32" s="155"/>
      <c r="C32" s="156"/>
      <c r="D32" s="156"/>
      <c r="E32" s="156"/>
      <c r="F32" s="156"/>
      <c r="G32" s="156"/>
      <c r="H32" s="156"/>
      <c r="I32" s="156"/>
      <c r="J32" s="160"/>
    </row>
    <row r="33" spans="2:10" x14ac:dyDescent="0.25">
      <c r="B33" s="155"/>
      <c r="C33" s="156"/>
      <c r="D33" s="156"/>
      <c r="E33" s="156"/>
      <c r="F33" s="156"/>
      <c r="G33" s="156"/>
      <c r="H33" s="156"/>
      <c r="I33" s="156"/>
      <c r="J33" s="160"/>
    </row>
    <row r="34" spans="2:10" x14ac:dyDescent="0.25">
      <c r="B34" s="155"/>
      <c r="C34" s="156"/>
      <c r="D34" s="156"/>
      <c r="E34" s="156"/>
      <c r="F34" s="156"/>
      <c r="G34" s="156"/>
      <c r="H34" s="156"/>
      <c r="I34" s="156"/>
      <c r="J34" s="160"/>
    </row>
    <row r="35" spans="2:10" ht="59.25" customHeight="1" thickBot="1" x14ac:dyDescent="0.3">
      <c r="B35" s="157"/>
      <c r="C35" s="158"/>
      <c r="D35" s="158"/>
      <c r="E35" s="158"/>
      <c r="F35" s="158"/>
      <c r="G35" s="158"/>
      <c r="H35" s="158"/>
      <c r="I35" s="158"/>
      <c r="J35" s="161"/>
    </row>
  </sheetData>
  <sheetProtection selectLockedCells="1" selectUnlockedCells="1"/>
  <mergeCells count="31">
    <mergeCell ref="J31:J35"/>
    <mergeCell ref="C28:E28"/>
    <mergeCell ref="C29:E29"/>
    <mergeCell ref="B30:D30"/>
    <mergeCell ref="E30:I30"/>
    <mergeCell ref="B31:D35"/>
    <mergeCell ref="E31:I35"/>
    <mergeCell ref="C27:E27"/>
    <mergeCell ref="C16:J16"/>
    <mergeCell ref="C17:E17"/>
    <mergeCell ref="C18:E18"/>
    <mergeCell ref="C19:E19"/>
    <mergeCell ref="C20:J20"/>
    <mergeCell ref="C21:E21"/>
    <mergeCell ref="C22:E22"/>
    <mergeCell ref="C23:E23"/>
    <mergeCell ref="C24:E24"/>
    <mergeCell ref="C25:E25"/>
    <mergeCell ref="C26:E26"/>
    <mergeCell ref="C15:E15"/>
    <mergeCell ref="B3:C5"/>
    <mergeCell ref="D3:I5"/>
    <mergeCell ref="B6:C6"/>
    <mergeCell ref="D6:J6"/>
    <mergeCell ref="B7:C7"/>
    <mergeCell ref="D7:J7"/>
    <mergeCell ref="H10:I10"/>
    <mergeCell ref="C11:E11"/>
    <mergeCell ref="C12:J12"/>
    <mergeCell ref="C13:E13"/>
    <mergeCell ref="C14:E14"/>
  </mergeCells>
  <conditionalFormatting sqref="G13:G15">
    <cfRule type="cellIs" dxfId="115" priority="1" operator="equal">
      <formula>3</formula>
    </cfRule>
    <cfRule type="cellIs" dxfId="114" priority="2" operator="equal">
      <formula>4</formula>
    </cfRule>
  </conditionalFormatting>
  <conditionalFormatting sqref="G17:G19 G21:G29">
    <cfRule type="cellIs" dxfId="113" priority="3" operator="equal">
      <formula>3</formula>
    </cfRule>
    <cfRule type="cellIs" dxfId="112"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46"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5">
    <tabColor rgb="FFFFC000"/>
    <pageSetUpPr fitToPage="1"/>
  </sheetPr>
  <dimension ref="B1:I20"/>
  <sheetViews>
    <sheetView view="pageBreakPreview" zoomScale="60" zoomScaleNormal="60" zoomScalePageLayoutView="70" workbookViewId="0">
      <selection activeCell="B16" sqref="B16:H20"/>
    </sheetView>
  </sheetViews>
  <sheetFormatPr baseColWidth="10" defaultColWidth="11.42578125" defaultRowHeight="15" x14ac:dyDescent="0.25"/>
  <cols>
    <col min="1" max="1" width="0.28515625" style="1" customWidth="1"/>
    <col min="2" max="2" width="5.7109375" style="1" customWidth="1"/>
    <col min="3" max="3" width="10.140625" style="1" customWidth="1"/>
    <col min="4" max="4" width="14.85546875" style="1" customWidth="1"/>
    <col min="5" max="5" width="63.28515625" style="1" customWidth="1"/>
    <col min="6" max="6" width="9.7109375" style="1" customWidth="1"/>
    <col min="7" max="7" width="5.7109375" style="1" customWidth="1"/>
    <col min="8" max="8" width="6.28515625" style="1" customWidth="1"/>
    <col min="9" max="9" width="55.28515625" style="1" customWidth="1"/>
    <col min="10" max="10" width="6.5703125" style="1" customWidth="1"/>
    <col min="11" max="11" width="7.85546875" style="1" customWidth="1"/>
    <col min="12" max="13" width="8.140625" style="1" customWidth="1"/>
    <col min="14" max="15" width="11.42578125" style="1" customWidth="1"/>
    <col min="16" max="16" width="8.85546875" style="1" customWidth="1"/>
    <col min="17" max="19" width="11.42578125" style="1" customWidth="1"/>
    <col min="20" max="20" width="2.140625" style="1" customWidth="1"/>
    <col min="21" max="16384" width="11.42578125" style="1"/>
  </cols>
  <sheetData>
    <row r="1" spans="2:9" ht="1.5" customHeight="1" x14ac:dyDescent="0.25"/>
    <row r="2" spans="2:9" ht="1.5" customHeight="1" thickBot="1" x14ac:dyDescent="0.3"/>
    <row r="3" spans="2:9" ht="19.7" customHeight="1" thickBot="1" x14ac:dyDescent="0.3">
      <c r="B3" s="178"/>
      <c r="C3" s="178"/>
      <c r="D3" s="179" t="s">
        <v>617</v>
      </c>
      <c r="E3" s="180"/>
      <c r="F3" s="180"/>
      <c r="G3" s="180"/>
      <c r="H3" s="181"/>
      <c r="I3" s="58" t="s">
        <v>186</v>
      </c>
    </row>
    <row r="4" spans="2:9" ht="19.7" customHeight="1" thickBot="1" x14ac:dyDescent="0.3">
      <c r="B4" s="178"/>
      <c r="C4" s="178"/>
      <c r="D4" s="182"/>
      <c r="E4" s="183"/>
      <c r="F4" s="183"/>
      <c r="G4" s="183"/>
      <c r="H4" s="184"/>
      <c r="I4" s="59" t="str">
        <f>Date!B2</f>
        <v>Week ... 2025</v>
      </c>
    </row>
    <row r="5" spans="2:9" ht="19.7" customHeight="1" thickBot="1" x14ac:dyDescent="0.3">
      <c r="B5" s="178"/>
      <c r="C5" s="178"/>
      <c r="D5" s="185"/>
      <c r="E5" s="186"/>
      <c r="F5" s="186"/>
      <c r="G5" s="186"/>
      <c r="H5" s="187"/>
      <c r="I5" s="60" t="s">
        <v>187</v>
      </c>
    </row>
    <row r="6" spans="2:9" ht="27" thickBot="1" x14ac:dyDescent="0.3">
      <c r="B6" s="167" t="s">
        <v>188</v>
      </c>
      <c r="C6" s="168"/>
      <c r="D6" s="188" t="s">
        <v>172</v>
      </c>
      <c r="E6" s="189"/>
      <c r="F6" s="189"/>
      <c r="G6" s="189"/>
      <c r="H6" s="189"/>
      <c r="I6" s="190"/>
    </row>
    <row r="7" spans="2:9" ht="24" customHeight="1" thickBot="1" x14ac:dyDescent="0.3">
      <c r="B7" s="167" t="s">
        <v>170</v>
      </c>
      <c r="C7" s="168"/>
      <c r="D7" s="169" t="s">
        <v>182</v>
      </c>
      <c r="E7" s="170"/>
      <c r="F7" s="170"/>
      <c r="G7" s="170"/>
      <c r="H7" s="170"/>
      <c r="I7" s="191"/>
    </row>
    <row r="8" spans="2:9" ht="4.5" customHeight="1" thickBot="1" x14ac:dyDescent="0.3">
      <c r="B8" s="2"/>
      <c r="C8" s="2"/>
      <c r="D8" s="3"/>
      <c r="E8" s="3"/>
      <c r="F8" s="3"/>
      <c r="G8" s="3"/>
      <c r="H8" s="3"/>
      <c r="I8" s="3"/>
    </row>
    <row r="9" spans="2:9" ht="15.75" hidden="1" thickBot="1" x14ac:dyDescent="0.3"/>
    <row r="10" spans="2:9" ht="20.25" customHeight="1" thickBot="1" x14ac:dyDescent="0.35">
      <c r="B10" s="61"/>
      <c r="C10" s="61"/>
      <c r="D10" s="61"/>
      <c r="E10" s="61"/>
      <c r="F10" s="61"/>
      <c r="G10" s="195" t="s">
        <v>0</v>
      </c>
      <c r="H10" s="196"/>
      <c r="I10" s="61"/>
    </row>
    <row r="11" spans="2:9" s="4" customFormat="1" ht="24" customHeight="1" thickBot="1" x14ac:dyDescent="0.3">
      <c r="B11" s="62" t="s">
        <v>1</v>
      </c>
      <c r="C11" s="197" t="s">
        <v>2</v>
      </c>
      <c r="D11" s="197"/>
      <c r="E11" s="198"/>
      <c r="F11" s="63" t="s">
        <v>3</v>
      </c>
      <c r="G11" s="64" t="s">
        <v>4</v>
      </c>
      <c r="H11" s="65" t="s">
        <v>5</v>
      </c>
      <c r="I11" s="66" t="s">
        <v>6</v>
      </c>
    </row>
    <row r="12" spans="2:9" s="4" customFormat="1" ht="57.75" customHeight="1" x14ac:dyDescent="0.3">
      <c r="B12" s="67">
        <v>1</v>
      </c>
      <c r="C12" s="199" t="s">
        <v>618</v>
      </c>
      <c r="D12" s="200"/>
      <c r="E12" s="201"/>
      <c r="F12" s="68"/>
      <c r="G12" s="69"/>
      <c r="H12" s="70"/>
      <c r="I12" s="71"/>
    </row>
    <row r="13" spans="2:9" s="4" customFormat="1" ht="44.25" customHeight="1" x14ac:dyDescent="0.3">
      <c r="B13" s="72">
        <f>B12+1</f>
        <v>2</v>
      </c>
      <c r="C13" s="199"/>
      <c r="D13" s="200"/>
      <c r="E13" s="201"/>
      <c r="F13" s="73"/>
      <c r="G13" s="74"/>
      <c r="H13" s="75"/>
      <c r="I13" s="76"/>
    </row>
    <row r="14" spans="2:9" s="4" customFormat="1" ht="45.75" customHeight="1" thickBot="1" x14ac:dyDescent="0.35">
      <c r="B14" s="72">
        <f>B13+1</f>
        <v>3</v>
      </c>
      <c r="C14" s="199"/>
      <c r="D14" s="200"/>
      <c r="E14" s="201"/>
      <c r="F14" s="73"/>
      <c r="G14" s="74"/>
      <c r="H14" s="75"/>
      <c r="I14" s="76"/>
    </row>
    <row r="15" spans="2:9" s="12" customFormat="1" ht="27" customHeight="1" thickBot="1" x14ac:dyDescent="0.3">
      <c r="B15" s="205" t="s">
        <v>7</v>
      </c>
      <c r="C15" s="206"/>
      <c r="D15" s="206"/>
      <c r="E15" s="206" t="s">
        <v>189</v>
      </c>
      <c r="F15" s="206"/>
      <c r="G15" s="207"/>
      <c r="H15" s="207"/>
      <c r="I15" s="83" t="s">
        <v>8</v>
      </c>
    </row>
    <row r="16" spans="2:9" x14ac:dyDescent="0.25">
      <c r="B16" s="153"/>
      <c r="C16" s="154"/>
      <c r="D16" s="208"/>
      <c r="E16" s="154"/>
      <c r="F16" s="154"/>
      <c r="G16" s="154"/>
      <c r="H16" s="154"/>
      <c r="I16" s="159"/>
    </row>
    <row r="17" spans="2:9" x14ac:dyDescent="0.25">
      <c r="B17" s="155"/>
      <c r="C17" s="156"/>
      <c r="D17" s="156"/>
      <c r="E17" s="156"/>
      <c r="F17" s="156"/>
      <c r="G17" s="156"/>
      <c r="H17" s="156"/>
      <c r="I17" s="160"/>
    </row>
    <row r="18" spans="2:9" x14ac:dyDescent="0.25">
      <c r="B18" s="155"/>
      <c r="C18" s="156"/>
      <c r="D18" s="156"/>
      <c r="E18" s="156"/>
      <c r="F18" s="156"/>
      <c r="G18" s="156"/>
      <c r="H18" s="156"/>
      <c r="I18" s="160"/>
    </row>
    <row r="19" spans="2:9" x14ac:dyDescent="0.25">
      <c r="B19" s="155"/>
      <c r="C19" s="156"/>
      <c r="D19" s="156"/>
      <c r="E19" s="156"/>
      <c r="F19" s="156"/>
      <c r="G19" s="156"/>
      <c r="H19" s="156"/>
      <c r="I19" s="160"/>
    </row>
    <row r="20" spans="2:9" ht="59.25" customHeight="1" thickBot="1" x14ac:dyDescent="0.3">
      <c r="B20" s="157"/>
      <c r="C20" s="158"/>
      <c r="D20" s="158"/>
      <c r="E20" s="158"/>
      <c r="F20" s="158"/>
      <c r="G20" s="158"/>
      <c r="H20" s="158"/>
      <c r="I20" s="161"/>
    </row>
  </sheetData>
  <sheetProtection selectLockedCells="1" selectUnlockedCells="1"/>
  <mergeCells count="16">
    <mergeCell ref="I16:I20"/>
    <mergeCell ref="B15:D15"/>
    <mergeCell ref="E15:H15"/>
    <mergeCell ref="B16:D20"/>
    <mergeCell ref="E16:H20"/>
    <mergeCell ref="G10:H10"/>
    <mergeCell ref="C11:E11"/>
    <mergeCell ref="C12:E12"/>
    <mergeCell ref="C13:E13"/>
    <mergeCell ref="C14:E14"/>
    <mergeCell ref="B3:C5"/>
    <mergeCell ref="D3:H5"/>
    <mergeCell ref="B6:C6"/>
    <mergeCell ref="D6:I6"/>
    <mergeCell ref="B7:C7"/>
    <mergeCell ref="D7:I7"/>
  </mergeCells>
  <conditionalFormatting sqref="F12:F14">
    <cfRule type="cellIs" dxfId="111" priority="1" operator="equal">
      <formula>3</formula>
    </cfRule>
    <cfRule type="cellIs" dxfId="110"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7"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0">
    <tabColor theme="0" tint="-0.14999847407452621"/>
    <pageSetUpPr fitToPage="1"/>
  </sheetPr>
  <dimension ref="B1:G32"/>
  <sheetViews>
    <sheetView view="pageBreakPreview" topLeftCell="B1" zoomScale="55" zoomScaleNormal="55" zoomScaleSheetLayoutView="55" zoomScalePageLayoutView="70" workbookViewId="0">
      <selection activeCell="G12" sqref="G12"/>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163</v>
      </c>
      <c r="D4" s="165" t="str">
        <f>+'Line &amp; frequency'!C1</f>
        <v>CHAINE 5</v>
      </c>
      <c r="E4" s="166"/>
      <c r="F4" s="166"/>
      <c r="G4" s="31" t="str">
        <f>+'Line &amp; frequency'!C2</f>
        <v>HEBDOMADAIRE</v>
      </c>
    </row>
    <row r="5" spans="2:7" ht="39" customHeight="1" thickBot="1" x14ac:dyDescent="0.3">
      <c r="B5" s="167" t="s">
        <v>170</v>
      </c>
      <c r="C5" s="168"/>
      <c r="D5" s="169" t="s">
        <v>764</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16" t="s">
        <v>23</v>
      </c>
      <c r="D8" s="21"/>
      <c r="E8" s="19"/>
      <c r="F8" s="20"/>
      <c r="G8" s="32"/>
    </row>
    <row r="9" spans="2:7" s="4" customFormat="1" ht="64.5" customHeight="1" x14ac:dyDescent="0.25">
      <c r="B9" s="6">
        <f>B8+1</f>
        <v>2</v>
      </c>
      <c r="C9" s="36" t="s">
        <v>119</v>
      </c>
      <c r="D9" s="21"/>
      <c r="E9" s="19"/>
      <c r="F9" s="20"/>
      <c r="G9" s="32"/>
    </row>
    <row r="10" spans="2:7" s="4" customFormat="1" ht="64.5" customHeight="1" x14ac:dyDescent="0.25">
      <c r="B10" s="35">
        <f>+B9+1</f>
        <v>3</v>
      </c>
      <c r="C10" s="36" t="s">
        <v>665</v>
      </c>
      <c r="D10" s="21"/>
      <c r="E10" s="19"/>
      <c r="F10" s="20"/>
      <c r="G10" s="32"/>
    </row>
    <row r="11" spans="2:7" s="4" customFormat="1" ht="64.5" customHeight="1" x14ac:dyDescent="0.25">
      <c r="B11" s="6">
        <f>B10+1</f>
        <v>4</v>
      </c>
      <c r="C11" s="36" t="s">
        <v>195</v>
      </c>
      <c r="D11" s="21"/>
      <c r="E11" s="19"/>
      <c r="F11" s="20"/>
      <c r="G11" s="32"/>
    </row>
    <row r="12" spans="2:7" s="4" customFormat="1" ht="64.5" customHeight="1" x14ac:dyDescent="0.25">
      <c r="B12" s="6">
        <f>B11+1</f>
        <v>5</v>
      </c>
      <c r="C12" s="36" t="s">
        <v>687</v>
      </c>
      <c r="D12" s="21"/>
      <c r="E12" s="19"/>
      <c r="F12" s="20"/>
      <c r="G12" s="32"/>
    </row>
    <row r="13" spans="2:7" s="4" customFormat="1" ht="64.5" customHeight="1" x14ac:dyDescent="0.25">
      <c r="B13" s="6">
        <f t="shared" ref="B13:B26" si="0">B12+1</f>
        <v>6</v>
      </c>
      <c r="C13" s="36" t="s">
        <v>666</v>
      </c>
      <c r="D13" s="21"/>
      <c r="E13" s="19"/>
      <c r="F13" s="20"/>
      <c r="G13" s="32"/>
    </row>
    <row r="14" spans="2:7" s="4" customFormat="1" ht="64.5" customHeight="1" x14ac:dyDescent="0.25">
      <c r="B14" s="6">
        <f t="shared" si="0"/>
        <v>7</v>
      </c>
      <c r="C14" s="36" t="s">
        <v>667</v>
      </c>
      <c r="D14" s="21"/>
      <c r="E14" s="19"/>
      <c r="F14" s="20"/>
      <c r="G14" s="32"/>
    </row>
    <row r="15" spans="2:7" s="4" customFormat="1" ht="64.5" customHeight="1" x14ac:dyDescent="0.25">
      <c r="B15" s="6">
        <f t="shared" si="0"/>
        <v>8</v>
      </c>
      <c r="C15" s="36" t="s">
        <v>668</v>
      </c>
      <c r="D15" s="21"/>
      <c r="E15" s="19"/>
      <c r="F15" s="20"/>
      <c r="G15" s="32"/>
    </row>
    <row r="16" spans="2:7" s="4" customFormat="1" ht="64.5" customHeight="1" x14ac:dyDescent="0.25">
      <c r="B16" s="6">
        <f t="shared" si="0"/>
        <v>9</v>
      </c>
      <c r="C16" s="36" t="s">
        <v>669</v>
      </c>
      <c r="D16" s="21"/>
      <c r="E16" s="19"/>
      <c r="F16" s="20"/>
      <c r="G16" s="32"/>
    </row>
    <row r="17" spans="2:7" s="4" customFormat="1" ht="64.5" customHeight="1" x14ac:dyDescent="0.25">
      <c r="B17" s="6">
        <f t="shared" si="0"/>
        <v>10</v>
      </c>
      <c r="C17" s="36" t="s">
        <v>120</v>
      </c>
      <c r="D17" s="21"/>
      <c r="E17" s="19"/>
      <c r="F17" s="20"/>
      <c r="G17" s="32"/>
    </row>
    <row r="18" spans="2:7" s="4" customFormat="1" ht="64.5" customHeight="1" x14ac:dyDescent="0.25">
      <c r="B18" s="6">
        <f t="shared" si="0"/>
        <v>11</v>
      </c>
      <c r="C18" s="36" t="s">
        <v>121</v>
      </c>
      <c r="D18" s="21"/>
      <c r="E18" s="19"/>
      <c r="F18" s="20"/>
      <c r="G18" s="32"/>
    </row>
    <row r="19" spans="2:7" s="4" customFormat="1" ht="64.5" customHeight="1" x14ac:dyDescent="0.25">
      <c r="B19" s="6">
        <f t="shared" si="0"/>
        <v>12</v>
      </c>
      <c r="C19" s="36" t="s">
        <v>122</v>
      </c>
      <c r="D19" s="21"/>
      <c r="E19" s="19"/>
      <c r="F19" s="20"/>
      <c r="G19" s="32"/>
    </row>
    <row r="20" spans="2:7" s="4" customFormat="1" ht="64.5" customHeight="1" x14ac:dyDescent="0.25">
      <c r="B20" s="6">
        <f t="shared" si="0"/>
        <v>13</v>
      </c>
      <c r="C20" s="36" t="s">
        <v>123</v>
      </c>
      <c r="D20" s="21"/>
      <c r="E20" s="19"/>
      <c r="F20" s="20"/>
      <c r="G20" s="32"/>
    </row>
    <row r="21" spans="2:7" s="4" customFormat="1" ht="64.5" customHeight="1" x14ac:dyDescent="0.25">
      <c r="B21" s="6">
        <f t="shared" si="0"/>
        <v>14</v>
      </c>
      <c r="C21" s="36" t="s">
        <v>124</v>
      </c>
      <c r="D21" s="21"/>
      <c r="E21" s="19"/>
      <c r="F21" s="20"/>
      <c r="G21" s="32"/>
    </row>
    <row r="22" spans="2:7" s="4" customFormat="1" ht="64.5" customHeight="1" x14ac:dyDescent="0.25">
      <c r="B22" s="6">
        <f t="shared" si="0"/>
        <v>15</v>
      </c>
      <c r="C22" s="36" t="s">
        <v>196</v>
      </c>
      <c r="D22" s="21"/>
      <c r="E22" s="19"/>
      <c r="F22" s="20"/>
      <c r="G22" s="32"/>
    </row>
    <row r="23" spans="2:7" s="4" customFormat="1" ht="53.25" customHeight="1" x14ac:dyDescent="0.25">
      <c r="B23" s="6">
        <f t="shared" si="0"/>
        <v>16</v>
      </c>
      <c r="C23" s="36" t="s">
        <v>125</v>
      </c>
      <c r="D23" s="21"/>
      <c r="E23" s="19"/>
      <c r="F23" s="20"/>
      <c r="G23" s="32"/>
    </row>
    <row r="24" spans="2:7" s="4" customFormat="1" ht="64.5" customHeight="1" x14ac:dyDescent="0.25">
      <c r="B24" s="6">
        <f t="shared" si="0"/>
        <v>17</v>
      </c>
      <c r="C24" s="17" t="s">
        <v>190</v>
      </c>
      <c r="D24" s="21"/>
      <c r="E24" s="19"/>
      <c r="F24" s="20"/>
      <c r="G24" s="32"/>
    </row>
    <row r="25" spans="2:7" s="4" customFormat="1" ht="81" customHeight="1" x14ac:dyDescent="0.25">
      <c r="B25" s="6">
        <f t="shared" si="0"/>
        <v>18</v>
      </c>
      <c r="C25" s="36" t="s">
        <v>194</v>
      </c>
      <c r="D25" s="21"/>
      <c r="E25" s="19"/>
      <c r="F25" s="20"/>
      <c r="G25" s="32"/>
    </row>
    <row r="26" spans="2:7" s="4" customFormat="1" ht="68.25" customHeight="1" thickBot="1" x14ac:dyDescent="0.3">
      <c r="B26" s="6">
        <f t="shared" si="0"/>
        <v>19</v>
      </c>
      <c r="C26" s="43" t="s">
        <v>197</v>
      </c>
      <c r="D26" s="44"/>
      <c r="E26" s="45"/>
      <c r="F26" s="46"/>
      <c r="G26" s="47"/>
    </row>
    <row r="27" spans="2:7" ht="18.75" thickBot="1" x14ac:dyDescent="0.3">
      <c r="B27" s="173" t="s">
        <v>13</v>
      </c>
      <c r="C27" s="174"/>
      <c r="D27" s="175" t="s">
        <v>7</v>
      </c>
      <c r="E27" s="176"/>
      <c r="F27" s="177"/>
      <c r="G27" s="24" t="s">
        <v>8</v>
      </c>
    </row>
    <row r="28" spans="2:7" x14ac:dyDescent="0.25">
      <c r="B28" s="153"/>
      <c r="C28" s="154"/>
      <c r="D28" s="154"/>
      <c r="E28" s="154"/>
      <c r="F28" s="154"/>
      <c r="G28" s="159"/>
    </row>
    <row r="29" spans="2:7" x14ac:dyDescent="0.25">
      <c r="B29" s="155"/>
      <c r="C29" s="156"/>
      <c r="D29" s="156"/>
      <c r="E29" s="156"/>
      <c r="F29" s="156"/>
      <c r="G29" s="160"/>
    </row>
    <row r="30" spans="2:7" x14ac:dyDescent="0.25">
      <c r="B30" s="155"/>
      <c r="C30" s="156"/>
      <c r="D30" s="156"/>
      <c r="E30" s="156"/>
      <c r="F30" s="156"/>
      <c r="G30" s="160"/>
    </row>
    <row r="31" spans="2:7" x14ac:dyDescent="0.25">
      <c r="B31" s="155"/>
      <c r="C31" s="156"/>
      <c r="D31" s="156"/>
      <c r="E31" s="156"/>
      <c r="F31" s="156"/>
      <c r="G31" s="160"/>
    </row>
    <row r="32" spans="2:7" ht="15.75" thickBot="1" x14ac:dyDescent="0.3">
      <c r="B32" s="157"/>
      <c r="C32" s="158"/>
      <c r="D32" s="158"/>
      <c r="E32" s="158"/>
      <c r="F32" s="158"/>
      <c r="G32" s="161"/>
    </row>
  </sheetData>
  <sheetProtection selectLockedCells="1"/>
  <mergeCells count="10">
    <mergeCell ref="B28:C32"/>
    <mergeCell ref="D28:F32"/>
    <mergeCell ref="G28:G32"/>
    <mergeCell ref="B3:F3"/>
    <mergeCell ref="D4:F4"/>
    <mergeCell ref="E6:F6"/>
    <mergeCell ref="B27:C27"/>
    <mergeCell ref="D27:F27"/>
    <mergeCell ref="B5:C5"/>
    <mergeCell ref="D5:G5"/>
  </mergeCells>
  <conditionalFormatting sqref="D8:D26">
    <cfRule type="cellIs" dxfId="109" priority="3" operator="equal">
      <formula>3</formula>
    </cfRule>
    <cfRule type="cellIs" dxfId="108"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5"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3">
    <tabColor theme="0" tint="-0.14999847407452621"/>
    <pageSetUpPr fitToPage="1"/>
  </sheetPr>
  <dimension ref="B1:G31"/>
  <sheetViews>
    <sheetView view="pageBreakPreview" zoomScale="60" zoomScaleNormal="55" zoomScalePageLayoutView="70" workbookViewId="0">
      <selection activeCell="G15" sqref="G15"/>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163</v>
      </c>
      <c r="D4" s="165" t="str">
        <f>+'Line &amp; frequency'!C1</f>
        <v>CHAINE 5</v>
      </c>
      <c r="E4" s="166"/>
      <c r="F4" s="166"/>
      <c r="G4" s="31" t="s">
        <v>368</v>
      </c>
    </row>
    <row r="5" spans="2:7" ht="39" customHeight="1" thickBot="1" x14ac:dyDescent="0.3">
      <c r="B5" s="167" t="s">
        <v>170</v>
      </c>
      <c r="C5" s="168"/>
      <c r="D5" s="169" t="s">
        <v>704</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36" t="s">
        <v>380</v>
      </c>
      <c r="D8" s="21"/>
      <c r="E8" s="19"/>
      <c r="F8" s="20"/>
      <c r="G8" s="32"/>
    </row>
    <row r="9" spans="2:7" s="4" customFormat="1" ht="64.5" customHeight="1" x14ac:dyDescent="0.25">
      <c r="B9" s="6">
        <f>B8+1</f>
        <v>2</v>
      </c>
      <c r="C9" s="36" t="s">
        <v>381</v>
      </c>
      <c r="D9" s="21"/>
      <c r="E9" s="19"/>
      <c r="F9" s="20"/>
      <c r="G9" s="32"/>
    </row>
    <row r="10" spans="2:7" s="4" customFormat="1" ht="64.5" customHeight="1" x14ac:dyDescent="0.25">
      <c r="B10" s="35">
        <f>+B9+1</f>
        <v>3</v>
      </c>
      <c r="C10" s="36" t="s">
        <v>382</v>
      </c>
      <c r="D10" s="21"/>
      <c r="E10" s="19"/>
      <c r="F10" s="20"/>
      <c r="G10" s="32"/>
    </row>
    <row r="11" spans="2:7" s="4" customFormat="1" ht="64.5" customHeight="1" x14ac:dyDescent="0.25">
      <c r="B11" s="6">
        <f>B10+1</f>
        <v>4</v>
      </c>
      <c r="C11" s="36" t="s">
        <v>383</v>
      </c>
      <c r="D11" s="21"/>
      <c r="E11" s="19"/>
      <c r="F11" s="20"/>
      <c r="G11" s="32"/>
    </row>
    <row r="12" spans="2:7" s="4" customFormat="1" ht="64.5" customHeight="1" x14ac:dyDescent="0.25">
      <c r="B12" s="35">
        <f>+B11+1</f>
        <v>5</v>
      </c>
      <c r="C12" s="36" t="s">
        <v>384</v>
      </c>
      <c r="D12" s="21"/>
      <c r="E12" s="19"/>
      <c r="F12" s="20"/>
      <c r="G12" s="32"/>
    </row>
    <row r="13" spans="2:7" s="4" customFormat="1" ht="64.5" customHeight="1" x14ac:dyDescent="0.25">
      <c r="B13" s="6">
        <f>B12+1</f>
        <v>6</v>
      </c>
      <c r="C13" s="36" t="s">
        <v>680</v>
      </c>
      <c r="D13" s="21"/>
      <c r="E13" s="19"/>
      <c r="F13" s="20"/>
      <c r="G13" s="32"/>
    </row>
    <row r="14" spans="2:7" s="4" customFormat="1" ht="64.5" customHeight="1" x14ac:dyDescent="0.25">
      <c r="B14" s="35">
        <f>+B13+1</f>
        <v>7</v>
      </c>
      <c r="C14" s="36"/>
      <c r="D14" s="21"/>
      <c r="E14" s="19"/>
      <c r="F14" s="20"/>
      <c r="G14" s="32"/>
    </row>
    <row r="15" spans="2:7" s="4" customFormat="1" ht="64.5" customHeight="1" x14ac:dyDescent="0.25">
      <c r="B15" s="6">
        <f>B14+1</f>
        <v>8</v>
      </c>
      <c r="C15" s="36"/>
      <c r="D15" s="21"/>
      <c r="E15" s="19"/>
      <c r="F15" s="20"/>
      <c r="G15" s="32"/>
    </row>
    <row r="16" spans="2:7" s="4" customFormat="1" ht="64.5" customHeight="1" x14ac:dyDescent="0.25">
      <c r="B16" s="35">
        <f>+B15+1</f>
        <v>9</v>
      </c>
      <c r="C16" s="36"/>
      <c r="D16" s="21"/>
      <c r="E16" s="19"/>
      <c r="F16" s="20"/>
      <c r="G16" s="32"/>
    </row>
    <row r="17" spans="2:7" s="4" customFormat="1" ht="64.5" customHeight="1" x14ac:dyDescent="0.25">
      <c r="B17" s="6">
        <f>B16+1</f>
        <v>10</v>
      </c>
      <c r="C17" s="36"/>
      <c r="D17" s="21"/>
      <c r="E17" s="19"/>
      <c r="F17" s="20"/>
      <c r="G17" s="32"/>
    </row>
    <row r="18" spans="2:7" s="4" customFormat="1" ht="64.5" customHeight="1" x14ac:dyDescent="0.25">
      <c r="B18" s="35">
        <f>+B17+1</f>
        <v>11</v>
      </c>
      <c r="C18" s="36"/>
      <c r="D18" s="21"/>
      <c r="E18" s="19"/>
      <c r="F18" s="20"/>
      <c r="G18" s="32"/>
    </row>
    <row r="19" spans="2:7" s="4" customFormat="1" ht="64.5" customHeight="1" x14ac:dyDescent="0.25">
      <c r="B19" s="6">
        <f>B18+1</f>
        <v>12</v>
      </c>
      <c r="C19" s="36"/>
      <c r="D19" s="21"/>
      <c r="E19" s="19"/>
      <c r="F19" s="20"/>
      <c r="G19" s="32"/>
    </row>
    <row r="20" spans="2:7" s="4" customFormat="1" ht="64.5" customHeight="1" x14ac:dyDescent="0.25">
      <c r="B20" s="35">
        <f>+B19+1</f>
        <v>13</v>
      </c>
      <c r="C20" s="36"/>
      <c r="D20" s="21"/>
      <c r="E20" s="19"/>
      <c r="F20" s="20"/>
      <c r="G20" s="32"/>
    </row>
    <row r="21" spans="2:7" s="4" customFormat="1" ht="64.5" customHeight="1" x14ac:dyDescent="0.25">
      <c r="B21" s="6">
        <f>B20+1</f>
        <v>14</v>
      </c>
      <c r="C21" s="36"/>
      <c r="D21" s="21"/>
      <c r="E21" s="19"/>
      <c r="F21" s="20"/>
      <c r="G21" s="32"/>
    </row>
    <row r="22" spans="2:7" s="4" customFormat="1" ht="53.25" customHeight="1" x14ac:dyDescent="0.25">
      <c r="B22" s="35">
        <f>+B21+1</f>
        <v>15</v>
      </c>
      <c r="C22" s="36"/>
      <c r="D22" s="21"/>
      <c r="E22" s="19"/>
      <c r="F22" s="20"/>
      <c r="G22" s="32"/>
    </row>
    <row r="23" spans="2:7" s="4" customFormat="1" ht="64.5" customHeight="1" x14ac:dyDescent="0.25">
      <c r="B23" s="6">
        <f>B22+1</f>
        <v>16</v>
      </c>
      <c r="C23" s="17"/>
      <c r="D23" s="21"/>
      <c r="E23" s="19"/>
      <c r="F23" s="20"/>
      <c r="G23" s="32"/>
    </row>
    <row r="24" spans="2:7" s="4" customFormat="1" ht="81" customHeight="1" x14ac:dyDescent="0.25">
      <c r="B24" s="35">
        <f>+B23+1</f>
        <v>17</v>
      </c>
      <c r="C24" s="36"/>
      <c r="D24" s="21"/>
      <c r="E24" s="19"/>
      <c r="F24" s="20"/>
      <c r="G24" s="32"/>
    </row>
    <row r="25" spans="2:7" s="4" customFormat="1" ht="68.25" customHeight="1" thickBot="1" x14ac:dyDescent="0.3">
      <c r="B25" s="42">
        <f>B24+1</f>
        <v>18</v>
      </c>
      <c r="C25" s="43"/>
      <c r="D25" s="44"/>
      <c r="E25" s="45"/>
      <c r="F25" s="46"/>
      <c r="G25" s="47"/>
    </row>
    <row r="26" spans="2:7" ht="18.75" thickBot="1" x14ac:dyDescent="0.3">
      <c r="B26" s="173" t="s">
        <v>13</v>
      </c>
      <c r="C26" s="174"/>
      <c r="D26" s="175" t="s">
        <v>7</v>
      </c>
      <c r="E26" s="176"/>
      <c r="F26" s="177"/>
      <c r="G26" s="24" t="s">
        <v>8</v>
      </c>
    </row>
    <row r="27" spans="2:7" x14ac:dyDescent="0.25">
      <c r="B27" s="153"/>
      <c r="C27" s="154"/>
      <c r="D27" s="154"/>
      <c r="E27" s="154"/>
      <c r="F27" s="154"/>
      <c r="G27" s="159"/>
    </row>
    <row r="28" spans="2:7" x14ac:dyDescent="0.25">
      <c r="B28" s="155"/>
      <c r="C28" s="156"/>
      <c r="D28" s="156"/>
      <c r="E28" s="156"/>
      <c r="F28" s="156"/>
      <c r="G28" s="160"/>
    </row>
    <row r="29" spans="2:7" x14ac:dyDescent="0.25">
      <c r="B29" s="155"/>
      <c r="C29" s="156"/>
      <c r="D29" s="156"/>
      <c r="E29" s="156"/>
      <c r="F29" s="156"/>
      <c r="G29" s="160"/>
    </row>
    <row r="30" spans="2:7" x14ac:dyDescent="0.25">
      <c r="B30" s="155"/>
      <c r="C30" s="156"/>
      <c r="D30" s="156"/>
      <c r="E30" s="156"/>
      <c r="F30" s="156"/>
      <c r="G30" s="160"/>
    </row>
    <row r="31" spans="2:7" ht="15.75" thickBot="1" x14ac:dyDescent="0.3">
      <c r="B31" s="157"/>
      <c r="C31" s="158"/>
      <c r="D31" s="158"/>
      <c r="E31" s="158"/>
      <c r="F31" s="158"/>
      <c r="G31" s="161"/>
    </row>
  </sheetData>
  <sheetProtection selectLockedCells="1"/>
  <mergeCells count="10">
    <mergeCell ref="B27:C31"/>
    <mergeCell ref="D27:F31"/>
    <mergeCell ref="G27:G31"/>
    <mergeCell ref="B3:F3"/>
    <mergeCell ref="D4:F4"/>
    <mergeCell ref="B5:C5"/>
    <mergeCell ref="D5:G5"/>
    <mergeCell ref="E6:F6"/>
    <mergeCell ref="B26:C26"/>
    <mergeCell ref="D26:F26"/>
  </mergeCells>
  <conditionalFormatting sqref="D8:D25">
    <cfRule type="cellIs" dxfId="107" priority="1" operator="equal">
      <formula>3</formula>
    </cfRule>
    <cfRule type="cellIs" dxfId="106"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6"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1">
    <tabColor theme="0" tint="-0.14999847407452621"/>
    <pageSetUpPr fitToPage="1"/>
  </sheetPr>
  <dimension ref="B1:G32"/>
  <sheetViews>
    <sheetView view="pageBreakPreview" zoomScale="60" zoomScaleNormal="55" zoomScalePageLayoutView="70" workbookViewId="0">
      <selection activeCell="G15" sqref="G15"/>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164</v>
      </c>
      <c r="D4" s="165" t="str">
        <f>+'Line &amp; frequency'!C1</f>
        <v>CHAINE 5</v>
      </c>
      <c r="E4" s="166"/>
      <c r="F4" s="166"/>
      <c r="G4" s="31" t="str">
        <f>+'Line &amp; frequency'!C2</f>
        <v>HEBDOMADAIRE</v>
      </c>
    </row>
    <row r="5" spans="2:7" ht="39" customHeight="1" thickBot="1" x14ac:dyDescent="0.3">
      <c r="B5" s="167" t="s">
        <v>170</v>
      </c>
      <c r="C5" s="168"/>
      <c r="D5" s="169"/>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16" t="s">
        <v>23</v>
      </c>
      <c r="D8" s="21"/>
      <c r="E8" s="19"/>
      <c r="F8" s="20"/>
      <c r="G8" s="32"/>
    </row>
    <row r="9" spans="2:7" s="4" customFormat="1" ht="64.5" customHeight="1" x14ac:dyDescent="0.25">
      <c r="B9" s="6">
        <f>B8+1</f>
        <v>2</v>
      </c>
      <c r="C9" s="36" t="s">
        <v>119</v>
      </c>
      <c r="D9" s="21"/>
      <c r="E9" s="19"/>
      <c r="F9" s="20"/>
      <c r="G9" s="32"/>
    </row>
    <row r="10" spans="2:7" s="4" customFormat="1" ht="64.5" customHeight="1" x14ac:dyDescent="0.25">
      <c r="B10" s="35">
        <f>+B9+1</f>
        <v>3</v>
      </c>
      <c r="C10" s="36" t="s">
        <v>665</v>
      </c>
      <c r="D10" s="21"/>
      <c r="E10" s="19"/>
      <c r="F10" s="20"/>
      <c r="G10" s="32"/>
    </row>
    <row r="11" spans="2:7" s="4" customFormat="1" ht="64.5" customHeight="1" x14ac:dyDescent="0.25">
      <c r="B11" s="6">
        <f>B10+1</f>
        <v>4</v>
      </c>
      <c r="C11" s="36" t="s">
        <v>195</v>
      </c>
      <c r="D11" s="21"/>
      <c r="E11" s="19"/>
      <c r="F11" s="20"/>
      <c r="G11" s="32"/>
    </row>
    <row r="12" spans="2:7" s="4" customFormat="1" ht="64.5" customHeight="1" x14ac:dyDescent="0.25">
      <c r="B12" s="6">
        <f t="shared" ref="B12:B26" si="0">B11+1</f>
        <v>5</v>
      </c>
      <c r="C12" s="36" t="s">
        <v>687</v>
      </c>
      <c r="D12" s="21"/>
      <c r="E12" s="19"/>
      <c r="F12" s="20"/>
      <c r="G12" s="32"/>
    </row>
    <row r="13" spans="2:7" s="4" customFormat="1" ht="64.5" customHeight="1" x14ac:dyDescent="0.25">
      <c r="B13" s="6">
        <f t="shared" si="0"/>
        <v>6</v>
      </c>
      <c r="C13" s="36" t="s">
        <v>666</v>
      </c>
      <c r="D13" s="21"/>
      <c r="E13" s="19"/>
      <c r="F13" s="20"/>
      <c r="G13" s="32"/>
    </row>
    <row r="14" spans="2:7" s="4" customFormat="1" ht="64.5" customHeight="1" x14ac:dyDescent="0.25">
      <c r="B14" s="6">
        <f t="shared" si="0"/>
        <v>7</v>
      </c>
      <c r="C14" s="36" t="s">
        <v>667</v>
      </c>
      <c r="D14" s="21"/>
      <c r="E14" s="19"/>
      <c r="F14" s="20"/>
      <c r="G14" s="32"/>
    </row>
    <row r="15" spans="2:7" s="4" customFormat="1" ht="64.5" customHeight="1" x14ac:dyDescent="0.25">
      <c r="B15" s="6">
        <f t="shared" si="0"/>
        <v>8</v>
      </c>
      <c r="C15" s="36" t="s">
        <v>668</v>
      </c>
      <c r="D15" s="21"/>
      <c r="E15" s="19"/>
      <c r="F15" s="20"/>
      <c r="G15" s="32"/>
    </row>
    <row r="16" spans="2:7" s="4" customFormat="1" ht="64.5" customHeight="1" x14ac:dyDescent="0.25">
      <c r="B16" s="6">
        <f t="shared" si="0"/>
        <v>9</v>
      </c>
      <c r="C16" s="36" t="s">
        <v>669</v>
      </c>
      <c r="D16" s="21"/>
      <c r="E16" s="19"/>
      <c r="F16" s="20"/>
      <c r="G16" s="32"/>
    </row>
    <row r="17" spans="2:7" s="4" customFormat="1" ht="64.5" customHeight="1" x14ac:dyDescent="0.25">
      <c r="B17" s="6">
        <f t="shared" si="0"/>
        <v>10</v>
      </c>
      <c r="C17" s="36" t="s">
        <v>120</v>
      </c>
      <c r="D17" s="21"/>
      <c r="E17" s="19"/>
      <c r="F17" s="20"/>
      <c r="G17" s="32"/>
    </row>
    <row r="18" spans="2:7" s="4" customFormat="1" ht="64.5" customHeight="1" x14ac:dyDescent="0.25">
      <c r="B18" s="6">
        <f t="shared" si="0"/>
        <v>11</v>
      </c>
      <c r="C18" s="36" t="s">
        <v>121</v>
      </c>
      <c r="D18" s="21"/>
      <c r="E18" s="19"/>
      <c r="F18" s="20"/>
      <c r="G18" s="32"/>
    </row>
    <row r="19" spans="2:7" s="4" customFormat="1" ht="64.5" customHeight="1" x14ac:dyDescent="0.25">
      <c r="B19" s="6">
        <f t="shared" si="0"/>
        <v>12</v>
      </c>
      <c r="C19" s="36" t="s">
        <v>122</v>
      </c>
      <c r="D19" s="21"/>
      <c r="E19" s="19"/>
      <c r="F19" s="20"/>
      <c r="G19" s="32"/>
    </row>
    <row r="20" spans="2:7" s="4" customFormat="1" ht="64.5" customHeight="1" x14ac:dyDescent="0.25">
      <c r="B20" s="6">
        <f t="shared" si="0"/>
        <v>13</v>
      </c>
      <c r="C20" s="36" t="s">
        <v>123</v>
      </c>
      <c r="D20" s="21"/>
      <c r="E20" s="19"/>
      <c r="F20" s="20"/>
      <c r="G20" s="32"/>
    </row>
    <row r="21" spans="2:7" s="4" customFormat="1" ht="64.5" customHeight="1" x14ac:dyDescent="0.25">
      <c r="B21" s="6">
        <f t="shared" si="0"/>
        <v>14</v>
      </c>
      <c r="C21" s="36" t="s">
        <v>124</v>
      </c>
      <c r="D21" s="21"/>
      <c r="E21" s="19"/>
      <c r="F21" s="20"/>
      <c r="G21" s="32"/>
    </row>
    <row r="22" spans="2:7" s="4" customFormat="1" ht="64.5" customHeight="1" x14ac:dyDescent="0.25">
      <c r="B22" s="6">
        <f t="shared" si="0"/>
        <v>15</v>
      </c>
      <c r="C22" s="36" t="s">
        <v>196</v>
      </c>
      <c r="D22" s="21"/>
      <c r="E22" s="19"/>
      <c r="F22" s="20"/>
      <c r="G22" s="32"/>
    </row>
    <row r="23" spans="2:7" s="4" customFormat="1" ht="53.25" customHeight="1" x14ac:dyDescent="0.25">
      <c r="B23" s="6">
        <f t="shared" si="0"/>
        <v>16</v>
      </c>
      <c r="C23" s="36" t="s">
        <v>125</v>
      </c>
      <c r="D23" s="21"/>
      <c r="E23" s="19"/>
      <c r="F23" s="20"/>
      <c r="G23" s="32"/>
    </row>
    <row r="24" spans="2:7" s="4" customFormat="1" ht="64.5" customHeight="1" x14ac:dyDescent="0.25">
      <c r="B24" s="6">
        <f t="shared" si="0"/>
        <v>17</v>
      </c>
      <c r="C24" s="17" t="s">
        <v>190</v>
      </c>
      <c r="D24" s="21"/>
      <c r="E24" s="19"/>
      <c r="F24" s="20"/>
      <c r="G24" s="32"/>
    </row>
    <row r="25" spans="2:7" s="4" customFormat="1" ht="89.25" customHeight="1" x14ac:dyDescent="0.25">
      <c r="B25" s="6">
        <f t="shared" si="0"/>
        <v>18</v>
      </c>
      <c r="C25" s="36" t="s">
        <v>194</v>
      </c>
      <c r="D25" s="21"/>
      <c r="E25" s="19"/>
      <c r="F25" s="20"/>
      <c r="G25" s="47"/>
    </row>
    <row r="26" spans="2:7" s="4" customFormat="1" ht="72" customHeight="1" thickBot="1" x14ac:dyDescent="0.3">
      <c r="B26" s="6">
        <f t="shared" si="0"/>
        <v>19</v>
      </c>
      <c r="C26" s="43" t="s">
        <v>197</v>
      </c>
      <c r="D26" s="44"/>
      <c r="E26" s="45"/>
      <c r="F26" s="46"/>
      <c r="G26" s="47"/>
    </row>
    <row r="27" spans="2:7" ht="68.25" customHeight="1" thickBot="1" x14ac:dyDescent="0.3">
      <c r="B27" s="173" t="s">
        <v>13</v>
      </c>
      <c r="C27" s="174"/>
      <c r="D27" s="175" t="s">
        <v>7</v>
      </c>
      <c r="E27" s="176"/>
      <c r="F27" s="177"/>
      <c r="G27" s="24" t="s">
        <v>8</v>
      </c>
    </row>
    <row r="28" spans="2:7" x14ac:dyDescent="0.25">
      <c r="B28" s="153"/>
      <c r="C28" s="154"/>
      <c r="D28" s="154"/>
      <c r="E28" s="154"/>
      <c r="F28" s="154"/>
      <c r="G28" s="159"/>
    </row>
    <row r="29" spans="2:7" x14ac:dyDescent="0.25">
      <c r="B29" s="155"/>
      <c r="C29" s="156"/>
      <c r="D29" s="156"/>
      <c r="E29" s="156"/>
      <c r="F29" s="156"/>
      <c r="G29" s="160"/>
    </row>
    <row r="30" spans="2:7" x14ac:dyDescent="0.25">
      <c r="B30" s="155"/>
      <c r="C30" s="156"/>
      <c r="D30" s="156"/>
      <c r="E30" s="156"/>
      <c r="F30" s="156"/>
      <c r="G30" s="160"/>
    </row>
    <row r="31" spans="2:7" x14ac:dyDescent="0.25">
      <c r="B31" s="155"/>
      <c r="C31" s="156"/>
      <c r="D31" s="156"/>
      <c r="E31" s="156"/>
      <c r="F31" s="156"/>
      <c r="G31" s="160"/>
    </row>
    <row r="32" spans="2:7" ht="15.75" thickBot="1" x14ac:dyDescent="0.3">
      <c r="B32" s="157"/>
      <c r="C32" s="158"/>
      <c r="D32" s="158"/>
      <c r="E32" s="158"/>
      <c r="F32" s="158"/>
      <c r="G32" s="161"/>
    </row>
  </sheetData>
  <sheetProtection selectLockedCells="1"/>
  <mergeCells count="10">
    <mergeCell ref="G28:G32"/>
    <mergeCell ref="B3:F3"/>
    <mergeCell ref="D4:F4"/>
    <mergeCell ref="E6:F6"/>
    <mergeCell ref="B27:C27"/>
    <mergeCell ref="D27:F27"/>
    <mergeCell ref="B28:C32"/>
    <mergeCell ref="D28:F32"/>
    <mergeCell ref="B5:C5"/>
    <mergeCell ref="D5:G5"/>
  </mergeCells>
  <conditionalFormatting sqref="D8:D26">
    <cfRule type="cellIs" dxfId="105" priority="1" operator="equal">
      <formula>3</formula>
    </cfRule>
    <cfRule type="cellIs" dxfId="104"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3"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4">
    <tabColor theme="0" tint="-0.14999847407452621"/>
    <pageSetUpPr fitToPage="1"/>
  </sheetPr>
  <dimension ref="B1:G31"/>
  <sheetViews>
    <sheetView view="pageBreakPreview" topLeftCell="A4" zoomScale="60" zoomScaleNormal="55" zoomScalePageLayoutView="70" workbookViewId="0">
      <selection activeCell="G8" sqref="G8"/>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164</v>
      </c>
      <c r="D4" s="165" t="str">
        <f>+'Line &amp; frequency'!C1</f>
        <v>CHAINE 5</v>
      </c>
      <c r="E4" s="166"/>
      <c r="F4" s="166"/>
      <c r="G4" s="31" t="s">
        <v>368</v>
      </c>
    </row>
    <row r="5" spans="2:7" ht="39" customHeight="1" thickBot="1" x14ac:dyDescent="0.3">
      <c r="B5" s="167" t="s">
        <v>170</v>
      </c>
      <c r="C5" s="168"/>
      <c r="D5" s="169"/>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36" t="s">
        <v>380</v>
      </c>
      <c r="D8" s="21"/>
      <c r="E8" s="19"/>
      <c r="F8" s="20"/>
      <c r="G8" s="32"/>
    </row>
    <row r="9" spans="2:7" s="4" customFormat="1" ht="64.5" customHeight="1" x14ac:dyDescent="0.25">
      <c r="B9" s="6">
        <f>B8+1</f>
        <v>2</v>
      </c>
      <c r="C9" s="36" t="s">
        <v>381</v>
      </c>
      <c r="D9" s="21"/>
      <c r="E9" s="19"/>
      <c r="F9" s="20"/>
      <c r="G9" s="32"/>
    </row>
    <row r="10" spans="2:7" s="4" customFormat="1" ht="64.5" customHeight="1" x14ac:dyDescent="0.25">
      <c r="B10" s="35">
        <f>+B9+1</f>
        <v>3</v>
      </c>
      <c r="C10" s="36" t="s">
        <v>382</v>
      </c>
      <c r="D10" s="21"/>
      <c r="E10" s="19"/>
      <c r="F10" s="20"/>
      <c r="G10" s="32"/>
    </row>
    <row r="11" spans="2:7" s="4" customFormat="1" ht="64.5" customHeight="1" x14ac:dyDescent="0.25">
      <c r="B11" s="6">
        <f>B10+1</f>
        <v>4</v>
      </c>
      <c r="C11" s="36" t="s">
        <v>383</v>
      </c>
      <c r="D11" s="21"/>
      <c r="E11" s="19"/>
      <c r="F11" s="20"/>
      <c r="G11" s="32"/>
    </row>
    <row r="12" spans="2:7" s="4" customFormat="1" ht="64.5" customHeight="1" x14ac:dyDescent="0.25">
      <c r="B12" s="35">
        <f>+B11+1</f>
        <v>5</v>
      </c>
      <c r="C12" s="36" t="s">
        <v>384</v>
      </c>
      <c r="D12" s="21"/>
      <c r="E12" s="19"/>
      <c r="F12" s="20"/>
      <c r="G12" s="32"/>
    </row>
    <row r="13" spans="2:7" s="4" customFormat="1" ht="64.5" customHeight="1" x14ac:dyDescent="0.25">
      <c r="B13" s="6">
        <f>B12+1</f>
        <v>6</v>
      </c>
      <c r="C13" s="36" t="s">
        <v>633</v>
      </c>
      <c r="D13" s="21"/>
      <c r="E13" s="19"/>
      <c r="F13" s="20"/>
      <c r="G13" s="32"/>
    </row>
    <row r="14" spans="2:7" s="4" customFormat="1" ht="64.5" customHeight="1" x14ac:dyDescent="0.25">
      <c r="B14" s="35">
        <f>+B13+1</f>
        <v>7</v>
      </c>
      <c r="C14" s="36"/>
      <c r="D14" s="21"/>
      <c r="E14" s="19"/>
      <c r="F14" s="20"/>
      <c r="G14" s="32"/>
    </row>
    <row r="15" spans="2:7" s="4" customFormat="1" ht="64.5" customHeight="1" x14ac:dyDescent="0.25">
      <c r="B15" s="6">
        <f>B14+1</f>
        <v>8</v>
      </c>
      <c r="C15" s="36"/>
      <c r="D15" s="21"/>
      <c r="E15" s="19"/>
      <c r="F15" s="20"/>
      <c r="G15" s="32"/>
    </row>
    <row r="16" spans="2:7" s="4" customFormat="1" ht="64.5" customHeight="1" x14ac:dyDescent="0.25">
      <c r="B16" s="35">
        <f>+B15+1</f>
        <v>9</v>
      </c>
      <c r="C16" s="36"/>
      <c r="D16" s="21"/>
      <c r="E16" s="19"/>
      <c r="F16" s="20"/>
      <c r="G16" s="32"/>
    </row>
    <row r="17" spans="2:7" s="4" customFormat="1" ht="64.5" customHeight="1" x14ac:dyDescent="0.25">
      <c r="B17" s="6">
        <f>B16+1</f>
        <v>10</v>
      </c>
      <c r="C17" s="36"/>
      <c r="D17" s="21"/>
      <c r="E17" s="19"/>
      <c r="F17" s="20"/>
      <c r="G17" s="32"/>
    </row>
    <row r="18" spans="2:7" s="4" customFormat="1" ht="64.5" customHeight="1" x14ac:dyDescent="0.25">
      <c r="B18" s="35">
        <f>+B17+1</f>
        <v>11</v>
      </c>
      <c r="C18" s="36"/>
      <c r="D18" s="21"/>
      <c r="E18" s="19"/>
      <c r="F18" s="20"/>
      <c r="G18" s="32"/>
    </row>
    <row r="19" spans="2:7" s="4" customFormat="1" ht="64.5" customHeight="1" x14ac:dyDescent="0.25">
      <c r="B19" s="6">
        <f>B18+1</f>
        <v>12</v>
      </c>
      <c r="C19" s="36"/>
      <c r="D19" s="21"/>
      <c r="E19" s="19"/>
      <c r="F19" s="20"/>
      <c r="G19" s="32"/>
    </row>
    <row r="20" spans="2:7" s="4" customFormat="1" ht="64.5" customHeight="1" x14ac:dyDescent="0.25">
      <c r="B20" s="35">
        <f>+B19+1</f>
        <v>13</v>
      </c>
      <c r="C20" s="36"/>
      <c r="D20" s="21"/>
      <c r="E20" s="19"/>
      <c r="F20" s="20"/>
      <c r="G20" s="32"/>
    </row>
    <row r="21" spans="2:7" s="4" customFormat="1" ht="64.5" customHeight="1" x14ac:dyDescent="0.25">
      <c r="B21" s="6">
        <f>B20+1</f>
        <v>14</v>
      </c>
      <c r="C21" s="36"/>
      <c r="D21" s="21"/>
      <c r="E21" s="19"/>
      <c r="F21" s="20"/>
      <c r="G21" s="32"/>
    </row>
    <row r="22" spans="2:7" s="4" customFormat="1" ht="53.25" customHeight="1" x14ac:dyDescent="0.25">
      <c r="B22" s="35">
        <f>+B21+1</f>
        <v>15</v>
      </c>
      <c r="C22" s="36"/>
      <c r="D22" s="21"/>
      <c r="E22" s="19"/>
      <c r="F22" s="20"/>
      <c r="G22" s="32"/>
    </row>
    <row r="23" spans="2:7" s="4" customFormat="1" ht="64.5" customHeight="1" x14ac:dyDescent="0.25">
      <c r="B23" s="6">
        <f>B22+1</f>
        <v>16</v>
      </c>
      <c r="C23" s="17"/>
      <c r="D23" s="21"/>
      <c r="E23" s="19"/>
      <c r="F23" s="20"/>
      <c r="G23" s="32"/>
    </row>
    <row r="24" spans="2:7" s="4" customFormat="1" ht="81" customHeight="1" x14ac:dyDescent="0.25">
      <c r="B24" s="35">
        <f>+B23+1</f>
        <v>17</v>
      </c>
      <c r="C24" s="36"/>
      <c r="D24" s="21"/>
      <c r="E24" s="19"/>
      <c r="F24" s="20"/>
      <c r="G24" s="32"/>
    </row>
    <row r="25" spans="2:7" s="4" customFormat="1" ht="68.25" customHeight="1" thickBot="1" x14ac:dyDescent="0.3">
      <c r="B25" s="42">
        <f>B24+1</f>
        <v>18</v>
      </c>
      <c r="C25" s="43"/>
      <c r="D25" s="44"/>
      <c r="E25" s="45"/>
      <c r="F25" s="46"/>
      <c r="G25" s="47"/>
    </row>
    <row r="26" spans="2:7" ht="18.75" thickBot="1" x14ac:dyDescent="0.3">
      <c r="B26" s="173" t="s">
        <v>13</v>
      </c>
      <c r="C26" s="174"/>
      <c r="D26" s="175" t="s">
        <v>7</v>
      </c>
      <c r="E26" s="176"/>
      <c r="F26" s="177"/>
      <c r="G26" s="24" t="s">
        <v>8</v>
      </c>
    </row>
    <row r="27" spans="2:7" x14ac:dyDescent="0.25">
      <c r="B27" s="153"/>
      <c r="C27" s="154"/>
      <c r="D27" s="154"/>
      <c r="E27" s="154"/>
      <c r="F27" s="154"/>
      <c r="G27" s="159"/>
    </row>
    <row r="28" spans="2:7" x14ac:dyDescent="0.25">
      <c r="B28" s="155"/>
      <c r="C28" s="156"/>
      <c r="D28" s="156"/>
      <c r="E28" s="156"/>
      <c r="F28" s="156"/>
      <c r="G28" s="160"/>
    </row>
    <row r="29" spans="2:7" x14ac:dyDescent="0.25">
      <c r="B29" s="155"/>
      <c r="C29" s="156"/>
      <c r="D29" s="156"/>
      <c r="E29" s="156"/>
      <c r="F29" s="156"/>
      <c r="G29" s="160"/>
    </row>
    <row r="30" spans="2:7" x14ac:dyDescent="0.25">
      <c r="B30" s="155"/>
      <c r="C30" s="156"/>
      <c r="D30" s="156"/>
      <c r="E30" s="156"/>
      <c r="F30" s="156"/>
      <c r="G30" s="160"/>
    </row>
    <row r="31" spans="2:7" ht="15.75" thickBot="1" x14ac:dyDescent="0.3">
      <c r="B31" s="157"/>
      <c r="C31" s="158"/>
      <c r="D31" s="158"/>
      <c r="E31" s="158"/>
      <c r="F31" s="158"/>
      <c r="G31" s="161"/>
    </row>
  </sheetData>
  <sheetProtection selectLockedCells="1"/>
  <mergeCells count="10">
    <mergeCell ref="B27:C31"/>
    <mergeCell ref="D27:F31"/>
    <mergeCell ref="G27:G31"/>
    <mergeCell ref="B3:F3"/>
    <mergeCell ref="D4:F4"/>
    <mergeCell ref="B5:C5"/>
    <mergeCell ref="D5:G5"/>
    <mergeCell ref="E6:F6"/>
    <mergeCell ref="B26:C26"/>
    <mergeCell ref="D26:F26"/>
  </mergeCells>
  <conditionalFormatting sqref="D8:D25">
    <cfRule type="cellIs" dxfId="103" priority="1" operator="equal">
      <formula>3</formula>
    </cfRule>
    <cfRule type="cellIs" dxfId="102"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6"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62">
    <tabColor theme="0" tint="-0.14999847407452621"/>
    <pageSetUpPr fitToPage="1"/>
  </sheetPr>
  <dimension ref="B1:M34"/>
  <sheetViews>
    <sheetView view="pageBreakPreview" topLeftCell="A10" zoomScale="55" zoomScaleNormal="55" zoomScaleSheetLayoutView="55" zoomScalePageLayoutView="70" workbookViewId="0">
      <selection activeCell="G18" sqref="G18"/>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13" ht="1.5" customHeight="1" x14ac:dyDescent="0.25"/>
    <row r="2" spans="2:13" ht="1.5" customHeight="1" thickBot="1" x14ac:dyDescent="0.3"/>
    <row r="3" spans="2:13" ht="62.25" customHeight="1" thickBot="1" x14ac:dyDescent="0.3">
      <c r="B3" s="162" t="s">
        <v>11</v>
      </c>
      <c r="C3" s="163"/>
      <c r="D3" s="163"/>
      <c r="E3" s="163"/>
      <c r="F3" s="164"/>
      <c r="G3" s="49" t="str">
        <f>Date!B2</f>
        <v>Week ... 2025</v>
      </c>
    </row>
    <row r="4" spans="2:13" ht="24" thickBot="1" x14ac:dyDescent="0.3">
      <c r="B4" s="14"/>
      <c r="C4" s="15" t="s">
        <v>165</v>
      </c>
      <c r="D4" s="165" t="str">
        <f>+'Line &amp; frequency'!C1</f>
        <v>CHAINE 5</v>
      </c>
      <c r="E4" s="166"/>
      <c r="F4" s="166"/>
      <c r="G4" s="31" t="str">
        <f>+'Line &amp; frequency'!C2</f>
        <v>HEBDOMADAIRE</v>
      </c>
    </row>
    <row r="5" spans="2:13" ht="39" customHeight="1" thickBot="1" x14ac:dyDescent="0.3">
      <c r="B5" s="167" t="s">
        <v>170</v>
      </c>
      <c r="C5" s="168"/>
      <c r="D5" s="169"/>
      <c r="E5" s="170"/>
      <c r="F5" s="170"/>
      <c r="G5" s="170"/>
    </row>
    <row r="6" spans="2:13" ht="20.25" customHeight="1" thickBot="1" x14ac:dyDescent="0.3">
      <c r="C6" s="50" t="s">
        <v>167</v>
      </c>
      <c r="E6" s="171" t="s">
        <v>0</v>
      </c>
      <c r="F6" s="172"/>
    </row>
    <row r="7" spans="2:13" s="4" customFormat="1" ht="24" customHeight="1" thickBot="1" x14ac:dyDescent="0.3">
      <c r="B7" s="25" t="s">
        <v>1</v>
      </c>
      <c r="C7" s="26" t="s">
        <v>2</v>
      </c>
      <c r="D7" s="27" t="s">
        <v>3</v>
      </c>
      <c r="E7" s="29" t="s">
        <v>4</v>
      </c>
      <c r="F7" s="30" t="s">
        <v>5</v>
      </c>
      <c r="G7" s="28" t="s">
        <v>6</v>
      </c>
    </row>
    <row r="8" spans="2:13" s="4" customFormat="1" ht="64.5" customHeight="1" x14ac:dyDescent="0.25">
      <c r="B8" s="5">
        <v>1</v>
      </c>
      <c r="C8" s="16" t="s">
        <v>23</v>
      </c>
      <c r="D8" s="21"/>
      <c r="E8" s="19"/>
      <c r="F8" s="20"/>
      <c r="G8" s="32"/>
      <c r="J8" s="1"/>
      <c r="K8" s="1"/>
      <c r="L8" s="1"/>
      <c r="M8" s="1"/>
    </row>
    <row r="9" spans="2:13" s="4" customFormat="1" ht="64.5" customHeight="1" x14ac:dyDescent="0.25">
      <c r="B9" s="6">
        <f>B8+1</f>
        <v>2</v>
      </c>
      <c r="C9" s="36" t="s">
        <v>119</v>
      </c>
      <c r="D9" s="21"/>
      <c r="E9" s="19"/>
      <c r="F9" s="20"/>
      <c r="G9" s="32"/>
    </row>
    <row r="10" spans="2:13" s="4" customFormat="1" ht="64.5" customHeight="1" x14ac:dyDescent="0.25">
      <c r="B10" s="35">
        <f>+B9+1</f>
        <v>3</v>
      </c>
      <c r="C10" s="36" t="s">
        <v>665</v>
      </c>
      <c r="D10" s="21"/>
      <c r="E10" s="19"/>
      <c r="F10" s="20"/>
      <c r="G10" s="32"/>
    </row>
    <row r="11" spans="2:13" s="4" customFormat="1" ht="75.75" customHeight="1" x14ac:dyDescent="0.25">
      <c r="B11" s="6">
        <f>B10+1</f>
        <v>4</v>
      </c>
      <c r="C11" s="36" t="s">
        <v>195</v>
      </c>
      <c r="D11" s="21"/>
      <c r="E11" s="19"/>
      <c r="F11" s="20"/>
      <c r="G11" s="32"/>
    </row>
    <row r="12" spans="2:13" s="4" customFormat="1" ht="75.75" customHeight="1" x14ac:dyDescent="0.25">
      <c r="B12" s="6">
        <f t="shared" ref="B12:B28" si="0">B11+1</f>
        <v>5</v>
      </c>
      <c r="C12" s="36" t="s">
        <v>687</v>
      </c>
      <c r="D12" s="21"/>
      <c r="E12" s="19"/>
      <c r="F12" s="20"/>
      <c r="G12" s="32"/>
    </row>
    <row r="13" spans="2:13" s="4" customFormat="1" ht="71.25" customHeight="1" x14ac:dyDescent="0.25">
      <c r="B13" s="6">
        <f t="shared" si="0"/>
        <v>6</v>
      </c>
      <c r="C13" s="36" t="s">
        <v>666</v>
      </c>
      <c r="D13" s="21"/>
      <c r="E13" s="19"/>
      <c r="F13" s="20"/>
      <c r="G13" s="32"/>
    </row>
    <row r="14" spans="2:13" s="4" customFormat="1" ht="64.5" customHeight="1" x14ac:dyDescent="0.25">
      <c r="B14" s="6">
        <f t="shared" si="0"/>
        <v>7</v>
      </c>
      <c r="C14" s="36" t="s">
        <v>667</v>
      </c>
      <c r="D14" s="21"/>
      <c r="E14" s="19"/>
      <c r="F14" s="20"/>
      <c r="G14" s="32"/>
    </row>
    <row r="15" spans="2:13" s="4" customFormat="1" ht="64.5" customHeight="1" x14ac:dyDescent="0.25">
      <c r="B15" s="6">
        <f t="shared" si="0"/>
        <v>8</v>
      </c>
      <c r="C15" s="36" t="s">
        <v>668</v>
      </c>
      <c r="D15" s="21"/>
      <c r="E15" s="19"/>
      <c r="F15" s="20"/>
      <c r="G15" s="32"/>
    </row>
    <row r="16" spans="2:13" s="4" customFormat="1" ht="64.5" customHeight="1" x14ac:dyDescent="0.25">
      <c r="B16" s="6">
        <f t="shared" si="0"/>
        <v>9</v>
      </c>
      <c r="C16" s="36" t="s">
        <v>669</v>
      </c>
      <c r="D16" s="21"/>
      <c r="E16" s="19"/>
      <c r="F16" s="20"/>
      <c r="G16" s="32"/>
    </row>
    <row r="17" spans="2:7" s="4" customFormat="1" ht="64.5" customHeight="1" x14ac:dyDescent="0.25">
      <c r="B17" s="6">
        <f t="shared" si="0"/>
        <v>10</v>
      </c>
      <c r="C17" s="36" t="s">
        <v>120</v>
      </c>
      <c r="D17" s="21"/>
      <c r="E17" s="19"/>
      <c r="F17" s="20"/>
      <c r="G17" s="32"/>
    </row>
    <row r="18" spans="2:7" s="4" customFormat="1" ht="64.5" customHeight="1" x14ac:dyDescent="0.25">
      <c r="B18" s="6">
        <f t="shared" si="0"/>
        <v>11</v>
      </c>
      <c r="C18" s="36" t="s">
        <v>121</v>
      </c>
      <c r="D18" s="21"/>
      <c r="E18" s="19"/>
      <c r="F18" s="20"/>
      <c r="G18" s="32"/>
    </row>
    <row r="19" spans="2:7" s="4" customFormat="1" ht="64.5" customHeight="1" x14ac:dyDescent="0.25">
      <c r="B19" s="6">
        <f t="shared" si="0"/>
        <v>12</v>
      </c>
      <c r="C19" s="36" t="s">
        <v>122</v>
      </c>
      <c r="D19" s="21"/>
      <c r="E19" s="19"/>
      <c r="F19" s="20"/>
      <c r="G19" s="32"/>
    </row>
    <row r="20" spans="2:7" s="4" customFormat="1" ht="64.5" customHeight="1" x14ac:dyDescent="0.25">
      <c r="B20" s="6">
        <f t="shared" si="0"/>
        <v>13</v>
      </c>
      <c r="C20" s="36" t="s">
        <v>123</v>
      </c>
      <c r="D20" s="21"/>
      <c r="E20" s="19"/>
      <c r="F20" s="20"/>
      <c r="G20" s="32"/>
    </row>
    <row r="21" spans="2:7" s="4" customFormat="1" ht="64.5" customHeight="1" x14ac:dyDescent="0.25">
      <c r="B21" s="6">
        <f t="shared" si="0"/>
        <v>14</v>
      </c>
      <c r="C21" s="36" t="s">
        <v>124</v>
      </c>
      <c r="D21" s="21"/>
      <c r="E21" s="19"/>
      <c r="F21" s="20"/>
      <c r="G21" s="32"/>
    </row>
    <row r="22" spans="2:7" s="4" customFormat="1" ht="64.5" customHeight="1" x14ac:dyDescent="0.25">
      <c r="B22" s="6">
        <f t="shared" si="0"/>
        <v>15</v>
      </c>
      <c r="C22" s="36" t="s">
        <v>196</v>
      </c>
      <c r="D22" s="21"/>
      <c r="E22" s="19"/>
      <c r="F22" s="20"/>
      <c r="G22" s="32"/>
    </row>
    <row r="23" spans="2:7" s="4" customFormat="1" ht="53.25" customHeight="1" x14ac:dyDescent="0.25">
      <c r="B23" s="6">
        <f t="shared" si="0"/>
        <v>16</v>
      </c>
      <c r="C23" s="36" t="s">
        <v>125</v>
      </c>
      <c r="D23" s="21"/>
      <c r="E23" s="19"/>
      <c r="F23" s="20"/>
      <c r="G23" s="32"/>
    </row>
    <row r="24" spans="2:7" s="4" customFormat="1" ht="64.5" customHeight="1" x14ac:dyDescent="0.25">
      <c r="B24" s="6">
        <f t="shared" si="0"/>
        <v>17</v>
      </c>
      <c r="C24" s="17" t="s">
        <v>190</v>
      </c>
      <c r="D24" s="21"/>
      <c r="E24" s="19"/>
      <c r="F24" s="20"/>
      <c r="G24" s="32"/>
    </row>
    <row r="25" spans="2:7" s="4" customFormat="1" ht="81.75" customHeight="1" x14ac:dyDescent="0.25">
      <c r="B25" s="6">
        <f t="shared" si="0"/>
        <v>18</v>
      </c>
      <c r="C25" s="36" t="s">
        <v>194</v>
      </c>
      <c r="D25" s="21"/>
      <c r="E25" s="19"/>
      <c r="F25" s="20"/>
      <c r="G25" s="32"/>
    </row>
    <row r="26" spans="2:7" s="4" customFormat="1" ht="68.25" customHeight="1" x14ac:dyDescent="0.25">
      <c r="B26" s="6">
        <f t="shared" si="0"/>
        <v>19</v>
      </c>
      <c r="C26" s="43" t="s">
        <v>197</v>
      </c>
      <c r="D26" s="21"/>
      <c r="E26" s="19"/>
      <c r="F26" s="20"/>
      <c r="G26" s="32"/>
    </row>
    <row r="27" spans="2:7" s="4" customFormat="1" ht="57.75" customHeight="1" x14ac:dyDescent="0.25">
      <c r="B27" s="6">
        <f t="shared" si="0"/>
        <v>20</v>
      </c>
      <c r="C27" s="36" t="s">
        <v>657</v>
      </c>
      <c r="D27" s="21"/>
      <c r="E27" s="19"/>
      <c r="F27" s="20"/>
      <c r="G27" s="32"/>
    </row>
    <row r="28" spans="2:7" s="4" customFormat="1" ht="64.5" customHeight="1" thickBot="1" x14ac:dyDescent="0.3">
      <c r="B28" s="6">
        <f t="shared" si="0"/>
        <v>21</v>
      </c>
      <c r="C28" s="43" t="s">
        <v>658</v>
      </c>
      <c r="D28" s="44"/>
      <c r="E28" s="45"/>
      <c r="F28" s="46"/>
      <c r="G28" s="47"/>
    </row>
    <row r="29" spans="2:7" ht="18.75" thickBot="1" x14ac:dyDescent="0.3">
      <c r="B29" s="173" t="s">
        <v>13</v>
      </c>
      <c r="C29" s="174"/>
      <c r="D29" s="175" t="s">
        <v>7</v>
      </c>
      <c r="E29" s="176"/>
      <c r="F29" s="177"/>
      <c r="G29" s="24" t="s">
        <v>8</v>
      </c>
    </row>
    <row r="30" spans="2:7" x14ac:dyDescent="0.25">
      <c r="B30" s="153"/>
      <c r="C30" s="154"/>
      <c r="D30" s="154"/>
      <c r="E30" s="154"/>
      <c r="F30" s="154"/>
      <c r="G30" s="159"/>
    </row>
    <row r="31" spans="2:7" x14ac:dyDescent="0.25">
      <c r="B31" s="155"/>
      <c r="C31" s="156"/>
      <c r="D31" s="156"/>
      <c r="E31" s="156"/>
      <c r="F31" s="156"/>
      <c r="G31" s="160"/>
    </row>
    <row r="32" spans="2:7" x14ac:dyDescent="0.25">
      <c r="B32" s="155"/>
      <c r="C32" s="156"/>
      <c r="D32" s="156"/>
      <c r="E32" s="156"/>
      <c r="F32" s="156"/>
      <c r="G32" s="160"/>
    </row>
    <row r="33" spans="2:7" x14ac:dyDescent="0.25">
      <c r="B33" s="155"/>
      <c r="C33" s="156"/>
      <c r="D33" s="156"/>
      <c r="E33" s="156"/>
      <c r="F33" s="156"/>
      <c r="G33" s="160"/>
    </row>
    <row r="34" spans="2:7" ht="15.75" thickBot="1" x14ac:dyDescent="0.3">
      <c r="B34" s="157"/>
      <c r="C34" s="158"/>
      <c r="D34" s="158"/>
      <c r="E34" s="158"/>
      <c r="F34" s="158"/>
      <c r="G34" s="161"/>
    </row>
  </sheetData>
  <sheetProtection selectLockedCells="1"/>
  <mergeCells count="10">
    <mergeCell ref="G30:G34"/>
    <mergeCell ref="B3:F3"/>
    <mergeCell ref="D4:F4"/>
    <mergeCell ref="E6:F6"/>
    <mergeCell ref="B29:C29"/>
    <mergeCell ref="D29:F29"/>
    <mergeCell ref="B30:C34"/>
    <mergeCell ref="D30:F34"/>
    <mergeCell ref="B5:C5"/>
    <mergeCell ref="D5:G5"/>
  </mergeCells>
  <conditionalFormatting sqref="D8:D28">
    <cfRule type="cellIs" dxfId="101" priority="1" operator="equal">
      <formula>3</formula>
    </cfRule>
    <cfRule type="cellIs" dxfId="100"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65">
    <tabColor theme="0" tint="-0.14999847407452621"/>
    <pageSetUpPr fitToPage="1"/>
  </sheetPr>
  <dimension ref="B1:G31"/>
  <sheetViews>
    <sheetView view="pageBreakPreview" zoomScale="60" zoomScaleNormal="55" zoomScalePageLayoutView="70" workbookViewId="0">
      <selection activeCell="G12" sqref="G12"/>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165</v>
      </c>
      <c r="D4" s="165" t="str">
        <f>+'Line &amp; frequency'!C1</f>
        <v>CHAINE 5</v>
      </c>
      <c r="E4" s="166"/>
      <c r="F4" s="166"/>
      <c r="G4" s="31" t="s">
        <v>368</v>
      </c>
    </row>
    <row r="5" spans="2:7" ht="39" customHeight="1" thickBot="1" x14ac:dyDescent="0.3">
      <c r="B5" s="167" t="s">
        <v>170</v>
      </c>
      <c r="C5" s="168"/>
      <c r="D5" s="169"/>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36" t="s">
        <v>380</v>
      </c>
      <c r="D8" s="21"/>
      <c r="E8" s="19"/>
      <c r="F8" s="20"/>
      <c r="G8" s="32"/>
    </row>
    <row r="9" spans="2:7" s="4" customFormat="1" ht="64.5" customHeight="1" x14ac:dyDescent="0.25">
      <c r="B9" s="6">
        <f>B8+1</f>
        <v>2</v>
      </c>
      <c r="C9" s="36" t="s">
        <v>381</v>
      </c>
      <c r="D9" s="21"/>
      <c r="E9" s="19"/>
      <c r="F9" s="20"/>
      <c r="G9" s="32"/>
    </row>
    <row r="10" spans="2:7" s="4" customFormat="1" ht="64.5" customHeight="1" x14ac:dyDescent="0.25">
      <c r="B10" s="35">
        <f>+B9+1</f>
        <v>3</v>
      </c>
      <c r="C10" s="36" t="s">
        <v>382</v>
      </c>
      <c r="D10" s="21"/>
      <c r="E10" s="19"/>
      <c r="F10" s="20"/>
      <c r="G10" s="32"/>
    </row>
    <row r="11" spans="2:7" s="4" customFormat="1" ht="64.5" customHeight="1" x14ac:dyDescent="0.25">
      <c r="B11" s="6">
        <f>B10+1</f>
        <v>4</v>
      </c>
      <c r="C11" s="36" t="s">
        <v>383</v>
      </c>
      <c r="D11" s="21"/>
      <c r="E11" s="19"/>
      <c r="F11" s="20"/>
      <c r="G11" s="32"/>
    </row>
    <row r="12" spans="2:7" s="4" customFormat="1" ht="64.5" customHeight="1" x14ac:dyDescent="0.25">
      <c r="B12" s="35">
        <f>+B11+1</f>
        <v>5</v>
      </c>
      <c r="C12" s="36" t="s">
        <v>384</v>
      </c>
      <c r="D12" s="21"/>
      <c r="E12" s="19"/>
      <c r="F12" s="20"/>
      <c r="G12" s="32"/>
    </row>
    <row r="13" spans="2:7" s="4" customFormat="1" ht="64.5" customHeight="1" x14ac:dyDescent="0.25">
      <c r="B13" s="6">
        <f>B12+1</f>
        <v>6</v>
      </c>
      <c r="C13" s="36" t="s">
        <v>633</v>
      </c>
      <c r="D13" s="21"/>
      <c r="E13" s="19"/>
      <c r="F13" s="20"/>
      <c r="G13" s="32"/>
    </row>
    <row r="14" spans="2:7" s="4" customFormat="1" ht="64.5" customHeight="1" x14ac:dyDescent="0.25">
      <c r="B14" s="35">
        <f>+B13+1</f>
        <v>7</v>
      </c>
      <c r="C14" s="36"/>
      <c r="D14" s="21"/>
      <c r="E14" s="19"/>
      <c r="F14" s="20"/>
      <c r="G14" s="32"/>
    </row>
    <row r="15" spans="2:7" s="4" customFormat="1" ht="64.5" customHeight="1" x14ac:dyDescent="0.25">
      <c r="B15" s="6">
        <f>B14+1</f>
        <v>8</v>
      </c>
      <c r="C15" s="36"/>
      <c r="D15" s="21"/>
      <c r="E15" s="19"/>
      <c r="F15" s="20"/>
      <c r="G15" s="32"/>
    </row>
    <row r="16" spans="2:7" s="4" customFormat="1" ht="64.5" customHeight="1" x14ac:dyDescent="0.25">
      <c r="B16" s="35">
        <f>+B15+1</f>
        <v>9</v>
      </c>
      <c r="C16" s="36"/>
      <c r="D16" s="21"/>
      <c r="E16" s="19"/>
      <c r="F16" s="20"/>
      <c r="G16" s="32"/>
    </row>
    <row r="17" spans="2:7" s="4" customFormat="1" ht="64.5" customHeight="1" x14ac:dyDescent="0.25">
      <c r="B17" s="6">
        <f>B16+1</f>
        <v>10</v>
      </c>
      <c r="C17" s="36"/>
      <c r="D17" s="21"/>
      <c r="E17" s="19"/>
      <c r="F17" s="20"/>
      <c r="G17" s="32"/>
    </row>
    <row r="18" spans="2:7" s="4" customFormat="1" ht="64.5" customHeight="1" x14ac:dyDescent="0.25">
      <c r="B18" s="35">
        <f>+B17+1</f>
        <v>11</v>
      </c>
      <c r="C18" s="36"/>
      <c r="D18" s="21"/>
      <c r="E18" s="19"/>
      <c r="F18" s="20"/>
      <c r="G18" s="32"/>
    </row>
    <row r="19" spans="2:7" s="4" customFormat="1" ht="64.5" customHeight="1" x14ac:dyDescent="0.25">
      <c r="B19" s="6">
        <f>B18+1</f>
        <v>12</v>
      </c>
      <c r="C19" s="36"/>
      <c r="D19" s="21"/>
      <c r="E19" s="19"/>
      <c r="F19" s="20"/>
      <c r="G19" s="32"/>
    </row>
    <row r="20" spans="2:7" s="4" customFormat="1" ht="64.5" customHeight="1" x14ac:dyDescent="0.25">
      <c r="B20" s="35">
        <f>+B19+1</f>
        <v>13</v>
      </c>
      <c r="C20" s="36"/>
      <c r="D20" s="21"/>
      <c r="E20" s="19"/>
      <c r="F20" s="20"/>
      <c r="G20" s="32"/>
    </row>
    <row r="21" spans="2:7" s="4" customFormat="1" ht="64.5" customHeight="1" x14ac:dyDescent="0.25">
      <c r="B21" s="6">
        <f>B20+1</f>
        <v>14</v>
      </c>
      <c r="C21" s="36"/>
      <c r="D21" s="21"/>
      <c r="E21" s="19"/>
      <c r="F21" s="20"/>
      <c r="G21" s="32"/>
    </row>
    <row r="22" spans="2:7" s="4" customFormat="1" ht="53.25" customHeight="1" x14ac:dyDescent="0.25">
      <c r="B22" s="35">
        <f>+B21+1</f>
        <v>15</v>
      </c>
      <c r="C22" s="36"/>
      <c r="D22" s="21"/>
      <c r="E22" s="19"/>
      <c r="F22" s="20"/>
      <c r="G22" s="32"/>
    </row>
    <row r="23" spans="2:7" s="4" customFormat="1" ht="64.5" customHeight="1" x14ac:dyDescent="0.25">
      <c r="B23" s="6">
        <f>B22+1</f>
        <v>16</v>
      </c>
      <c r="C23" s="17"/>
      <c r="D23" s="21"/>
      <c r="E23" s="19"/>
      <c r="F23" s="20"/>
      <c r="G23" s="32"/>
    </row>
    <row r="24" spans="2:7" s="4" customFormat="1" ht="81" customHeight="1" x14ac:dyDescent="0.25">
      <c r="B24" s="35">
        <f>+B23+1</f>
        <v>17</v>
      </c>
      <c r="C24" s="36"/>
      <c r="D24" s="21"/>
      <c r="E24" s="19"/>
      <c r="F24" s="20"/>
      <c r="G24" s="32"/>
    </row>
    <row r="25" spans="2:7" s="4" customFormat="1" ht="68.25" customHeight="1" thickBot="1" x14ac:dyDescent="0.3">
      <c r="B25" s="42">
        <f>B24+1</f>
        <v>18</v>
      </c>
      <c r="C25" s="43"/>
      <c r="D25" s="44"/>
      <c r="E25" s="45"/>
      <c r="F25" s="46"/>
      <c r="G25" s="47"/>
    </row>
    <row r="26" spans="2:7" ht="18.75" thickBot="1" x14ac:dyDescent="0.3">
      <c r="B26" s="173" t="s">
        <v>13</v>
      </c>
      <c r="C26" s="174"/>
      <c r="D26" s="175" t="s">
        <v>7</v>
      </c>
      <c r="E26" s="176"/>
      <c r="F26" s="177"/>
      <c r="G26" s="24" t="s">
        <v>8</v>
      </c>
    </row>
    <row r="27" spans="2:7" x14ac:dyDescent="0.25">
      <c r="B27" s="153"/>
      <c r="C27" s="154"/>
      <c r="D27" s="154"/>
      <c r="E27" s="154"/>
      <c r="F27" s="154"/>
      <c r="G27" s="159"/>
    </row>
    <row r="28" spans="2:7" x14ac:dyDescent="0.25">
      <c r="B28" s="155"/>
      <c r="C28" s="156"/>
      <c r="D28" s="156"/>
      <c r="E28" s="156"/>
      <c r="F28" s="156"/>
      <c r="G28" s="160"/>
    </row>
    <row r="29" spans="2:7" x14ac:dyDescent="0.25">
      <c r="B29" s="155"/>
      <c r="C29" s="156"/>
      <c r="D29" s="156"/>
      <c r="E29" s="156"/>
      <c r="F29" s="156"/>
      <c r="G29" s="160"/>
    </row>
    <row r="30" spans="2:7" x14ac:dyDescent="0.25">
      <c r="B30" s="155"/>
      <c r="C30" s="156"/>
      <c r="D30" s="156"/>
      <c r="E30" s="156"/>
      <c r="F30" s="156"/>
      <c r="G30" s="160"/>
    </row>
    <row r="31" spans="2:7" ht="15.75" thickBot="1" x14ac:dyDescent="0.3">
      <c r="B31" s="157"/>
      <c r="C31" s="158"/>
      <c r="D31" s="158"/>
      <c r="E31" s="158"/>
      <c r="F31" s="158"/>
      <c r="G31" s="161"/>
    </row>
  </sheetData>
  <sheetProtection selectLockedCells="1"/>
  <mergeCells count="10">
    <mergeCell ref="B27:C31"/>
    <mergeCell ref="D27:F31"/>
    <mergeCell ref="G27:G31"/>
    <mergeCell ref="B3:F3"/>
    <mergeCell ref="D4:F4"/>
    <mergeCell ref="B5:C5"/>
    <mergeCell ref="D5:G5"/>
    <mergeCell ref="E6:F6"/>
    <mergeCell ref="B26:C26"/>
    <mergeCell ref="D26:F26"/>
  </mergeCells>
  <conditionalFormatting sqref="D8:D25">
    <cfRule type="cellIs" dxfId="99" priority="1" operator="equal">
      <formula>3</formula>
    </cfRule>
    <cfRule type="cellIs" dxfId="98"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6"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7">
    <tabColor theme="0" tint="-0.14999847407452621"/>
    <pageSetUpPr fitToPage="1"/>
  </sheetPr>
  <dimension ref="B1:G34"/>
  <sheetViews>
    <sheetView view="pageBreakPreview" zoomScale="60" zoomScaleNormal="55" zoomScalePageLayoutView="70" workbookViewId="0">
      <selection activeCell="G15" sqref="G15"/>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166</v>
      </c>
      <c r="D4" s="165" t="str">
        <f>+'Line &amp; frequency'!C1</f>
        <v>CHAINE 5</v>
      </c>
      <c r="E4" s="166"/>
      <c r="F4" s="166"/>
      <c r="G4" s="31" t="str">
        <f>+'Line &amp; frequency'!C2</f>
        <v>HEBDOMADAIRE</v>
      </c>
    </row>
    <row r="5" spans="2:7" ht="39" customHeight="1" thickBot="1" x14ac:dyDescent="0.3">
      <c r="B5" s="167" t="s">
        <v>170</v>
      </c>
      <c r="C5" s="168"/>
      <c r="D5" s="169"/>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16" t="s">
        <v>23</v>
      </c>
      <c r="D8" s="21"/>
      <c r="E8" s="19"/>
      <c r="F8" s="20"/>
      <c r="G8" s="32"/>
    </row>
    <row r="9" spans="2:7" s="4" customFormat="1" ht="64.5" customHeight="1" x14ac:dyDescent="0.25">
      <c r="B9" s="6">
        <f>B8+1</f>
        <v>2</v>
      </c>
      <c r="C9" s="36" t="s">
        <v>119</v>
      </c>
      <c r="D9" s="21"/>
      <c r="E9" s="19"/>
      <c r="F9" s="20"/>
      <c r="G9" s="32"/>
    </row>
    <row r="10" spans="2:7" s="4" customFormat="1" ht="64.5" customHeight="1" x14ac:dyDescent="0.25">
      <c r="B10" s="35">
        <f>+B9+1</f>
        <v>3</v>
      </c>
      <c r="C10" s="36" t="s">
        <v>665</v>
      </c>
      <c r="D10" s="21"/>
      <c r="E10" s="19"/>
      <c r="F10" s="20"/>
      <c r="G10" s="32"/>
    </row>
    <row r="11" spans="2:7" s="4" customFormat="1" ht="64.5" customHeight="1" x14ac:dyDescent="0.25">
      <c r="B11" s="6">
        <f>B10+1</f>
        <v>4</v>
      </c>
      <c r="C11" s="36" t="s">
        <v>195</v>
      </c>
      <c r="D11" s="21"/>
      <c r="E11" s="19"/>
      <c r="F11" s="20"/>
      <c r="G11" s="32"/>
    </row>
    <row r="12" spans="2:7" s="4" customFormat="1" ht="64.5" customHeight="1" x14ac:dyDescent="0.25">
      <c r="B12" s="35">
        <f>+B11+1</f>
        <v>5</v>
      </c>
      <c r="C12" s="36" t="s">
        <v>666</v>
      </c>
      <c r="D12" s="21"/>
      <c r="E12" s="19"/>
      <c r="F12" s="20"/>
      <c r="G12" s="32"/>
    </row>
    <row r="13" spans="2:7" s="4" customFormat="1" ht="64.5" customHeight="1" x14ac:dyDescent="0.25">
      <c r="B13" s="35">
        <f t="shared" ref="B13:B28" si="0">+B12+1</f>
        <v>6</v>
      </c>
      <c r="C13" s="36" t="s">
        <v>687</v>
      </c>
      <c r="D13" s="21"/>
      <c r="E13" s="19"/>
      <c r="F13" s="20"/>
      <c r="G13" s="32"/>
    </row>
    <row r="14" spans="2:7" s="4" customFormat="1" ht="64.5" customHeight="1" x14ac:dyDescent="0.25">
      <c r="B14" s="35">
        <f t="shared" si="0"/>
        <v>7</v>
      </c>
      <c r="C14" s="36" t="s">
        <v>667</v>
      </c>
      <c r="D14" s="21"/>
      <c r="E14" s="19"/>
      <c r="F14" s="20"/>
      <c r="G14" s="32"/>
    </row>
    <row r="15" spans="2:7" s="4" customFormat="1" ht="64.5" customHeight="1" x14ac:dyDescent="0.25">
      <c r="B15" s="35">
        <f t="shared" si="0"/>
        <v>8</v>
      </c>
      <c r="C15" s="36" t="s">
        <v>668</v>
      </c>
      <c r="D15" s="21"/>
      <c r="E15" s="19"/>
      <c r="F15" s="20"/>
      <c r="G15" s="32"/>
    </row>
    <row r="16" spans="2:7" s="4" customFormat="1" ht="64.5" customHeight="1" x14ac:dyDescent="0.25">
      <c r="B16" s="35">
        <f t="shared" si="0"/>
        <v>9</v>
      </c>
      <c r="C16" s="36" t="s">
        <v>669</v>
      </c>
      <c r="D16" s="21"/>
      <c r="E16" s="19"/>
      <c r="F16" s="20"/>
      <c r="G16" s="32"/>
    </row>
    <row r="17" spans="2:7" s="4" customFormat="1" ht="64.5" customHeight="1" x14ac:dyDescent="0.25">
      <c r="B17" s="35">
        <f t="shared" si="0"/>
        <v>10</v>
      </c>
      <c r="C17" s="36" t="s">
        <v>120</v>
      </c>
      <c r="D17" s="21"/>
      <c r="E17" s="19"/>
      <c r="F17" s="20"/>
      <c r="G17" s="32"/>
    </row>
    <row r="18" spans="2:7" s="4" customFormat="1" ht="64.5" customHeight="1" x14ac:dyDescent="0.25">
      <c r="B18" s="35">
        <f t="shared" si="0"/>
        <v>11</v>
      </c>
      <c r="C18" s="36" t="s">
        <v>121</v>
      </c>
      <c r="D18" s="21"/>
      <c r="E18" s="19"/>
      <c r="F18" s="20"/>
      <c r="G18" s="32"/>
    </row>
    <row r="19" spans="2:7" s="4" customFormat="1" ht="64.5" customHeight="1" x14ac:dyDescent="0.25">
      <c r="B19" s="35">
        <f t="shared" si="0"/>
        <v>12</v>
      </c>
      <c r="C19" s="36" t="s">
        <v>122</v>
      </c>
      <c r="D19" s="21"/>
      <c r="E19" s="19"/>
      <c r="F19" s="20"/>
      <c r="G19" s="32"/>
    </row>
    <row r="20" spans="2:7" s="4" customFormat="1" ht="64.5" customHeight="1" x14ac:dyDescent="0.25">
      <c r="B20" s="35">
        <f t="shared" si="0"/>
        <v>13</v>
      </c>
      <c r="C20" s="36" t="s">
        <v>123</v>
      </c>
      <c r="D20" s="21"/>
      <c r="E20" s="19"/>
      <c r="F20" s="20"/>
      <c r="G20" s="32"/>
    </row>
    <row r="21" spans="2:7" s="4" customFormat="1" ht="64.5" customHeight="1" x14ac:dyDescent="0.25">
      <c r="B21" s="35">
        <f t="shared" si="0"/>
        <v>14</v>
      </c>
      <c r="C21" s="36" t="s">
        <v>124</v>
      </c>
      <c r="D21" s="21"/>
      <c r="E21" s="19"/>
      <c r="F21" s="20"/>
      <c r="G21" s="32"/>
    </row>
    <row r="22" spans="2:7" s="4" customFormat="1" ht="64.5" customHeight="1" x14ac:dyDescent="0.25">
      <c r="B22" s="35">
        <f t="shared" si="0"/>
        <v>15</v>
      </c>
      <c r="C22" s="36" t="s">
        <v>196</v>
      </c>
      <c r="D22" s="21"/>
      <c r="E22" s="19"/>
      <c r="F22" s="20"/>
      <c r="G22" s="32"/>
    </row>
    <row r="23" spans="2:7" s="4" customFormat="1" ht="64.5" customHeight="1" x14ac:dyDescent="0.25">
      <c r="B23" s="35">
        <f t="shared" si="0"/>
        <v>16</v>
      </c>
      <c r="C23" s="36" t="s">
        <v>125</v>
      </c>
      <c r="D23" s="21"/>
      <c r="E23" s="19"/>
      <c r="F23" s="20"/>
      <c r="G23" s="32"/>
    </row>
    <row r="24" spans="2:7" s="4" customFormat="1" ht="64.5" customHeight="1" x14ac:dyDescent="0.25">
      <c r="B24" s="35">
        <f t="shared" si="0"/>
        <v>17</v>
      </c>
      <c r="C24" s="17" t="s">
        <v>190</v>
      </c>
      <c r="D24" s="21"/>
      <c r="E24" s="19"/>
      <c r="F24" s="20"/>
      <c r="G24" s="32"/>
    </row>
    <row r="25" spans="2:7" s="4" customFormat="1" ht="81.75" customHeight="1" x14ac:dyDescent="0.25">
      <c r="B25" s="35">
        <f t="shared" si="0"/>
        <v>18</v>
      </c>
      <c r="C25" s="36" t="s">
        <v>194</v>
      </c>
      <c r="D25" s="21"/>
      <c r="E25" s="19"/>
      <c r="F25" s="20"/>
      <c r="G25" s="32"/>
    </row>
    <row r="26" spans="2:7" s="4" customFormat="1" ht="64.5" customHeight="1" x14ac:dyDescent="0.25">
      <c r="B26" s="35">
        <f t="shared" si="0"/>
        <v>19</v>
      </c>
      <c r="C26" s="43" t="s">
        <v>197</v>
      </c>
      <c r="D26" s="21"/>
      <c r="E26" s="19"/>
      <c r="F26" s="20"/>
      <c r="G26" s="32"/>
    </row>
    <row r="27" spans="2:7" s="4" customFormat="1" ht="64.5" customHeight="1" x14ac:dyDescent="0.25">
      <c r="B27" s="35">
        <f t="shared" si="0"/>
        <v>20</v>
      </c>
      <c r="C27" s="102"/>
      <c r="D27" s="101"/>
      <c r="E27" s="19"/>
      <c r="F27" s="20"/>
      <c r="G27" s="32"/>
    </row>
    <row r="28" spans="2:7" s="4" customFormat="1" ht="64.5" customHeight="1" thickBot="1" x14ac:dyDescent="0.3">
      <c r="B28" s="35">
        <f t="shared" si="0"/>
        <v>21</v>
      </c>
      <c r="C28" s="43"/>
      <c r="D28" s="44"/>
      <c r="E28" s="45"/>
      <c r="F28" s="46"/>
      <c r="G28" s="47"/>
    </row>
    <row r="29" spans="2:7" ht="18.75" thickBot="1" x14ac:dyDescent="0.3">
      <c r="B29" s="173" t="s">
        <v>13</v>
      </c>
      <c r="C29" s="174"/>
      <c r="D29" s="175" t="s">
        <v>7</v>
      </c>
      <c r="E29" s="176"/>
      <c r="F29" s="177"/>
      <c r="G29" s="24" t="s">
        <v>8</v>
      </c>
    </row>
    <row r="30" spans="2:7" x14ac:dyDescent="0.25">
      <c r="B30" s="153"/>
      <c r="C30" s="154"/>
      <c r="D30" s="154"/>
      <c r="E30" s="154"/>
      <c r="F30" s="154"/>
      <c r="G30" s="159"/>
    </row>
    <row r="31" spans="2:7" x14ac:dyDescent="0.25">
      <c r="B31" s="155"/>
      <c r="C31" s="156"/>
      <c r="D31" s="156"/>
      <c r="E31" s="156"/>
      <c r="F31" s="156"/>
      <c r="G31" s="160"/>
    </row>
    <row r="32" spans="2:7" x14ac:dyDescent="0.25">
      <c r="B32" s="155"/>
      <c r="C32" s="156"/>
      <c r="D32" s="156"/>
      <c r="E32" s="156"/>
      <c r="F32" s="156"/>
      <c r="G32" s="160"/>
    </row>
    <row r="33" spans="2:7" x14ac:dyDescent="0.25">
      <c r="B33" s="155"/>
      <c r="C33" s="156"/>
      <c r="D33" s="156"/>
      <c r="E33" s="156"/>
      <c r="F33" s="156"/>
      <c r="G33" s="160"/>
    </row>
    <row r="34" spans="2:7" ht="15.75" thickBot="1" x14ac:dyDescent="0.3">
      <c r="B34" s="157"/>
      <c r="C34" s="158"/>
      <c r="D34" s="158"/>
      <c r="E34" s="158"/>
      <c r="F34" s="158"/>
      <c r="G34" s="161"/>
    </row>
  </sheetData>
  <sheetProtection selectLockedCells="1"/>
  <mergeCells count="10">
    <mergeCell ref="G30:G34"/>
    <mergeCell ref="B3:F3"/>
    <mergeCell ref="D4:F4"/>
    <mergeCell ref="E6:F6"/>
    <mergeCell ref="B29:C29"/>
    <mergeCell ref="D29:F29"/>
    <mergeCell ref="B30:C34"/>
    <mergeCell ref="D30:F34"/>
    <mergeCell ref="B5:C5"/>
    <mergeCell ref="D5:G5"/>
  </mergeCells>
  <conditionalFormatting sqref="D8:D28">
    <cfRule type="cellIs" dxfId="97" priority="1" operator="equal">
      <formula>3</formula>
    </cfRule>
    <cfRule type="cellIs" dxfId="96"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66">
    <tabColor theme="0" tint="-0.14999847407452621"/>
    <pageSetUpPr fitToPage="1"/>
  </sheetPr>
  <dimension ref="B1:G31"/>
  <sheetViews>
    <sheetView view="pageBreakPreview" zoomScale="60" zoomScaleNormal="55" zoomScalePageLayoutView="70" workbookViewId="0">
      <selection activeCell="G8" sqref="G8"/>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166</v>
      </c>
      <c r="D4" s="165" t="str">
        <f>+'Line &amp; frequency'!C1</f>
        <v>CHAINE 5</v>
      </c>
      <c r="E4" s="166"/>
      <c r="F4" s="166"/>
      <c r="G4" s="31" t="s">
        <v>368</v>
      </c>
    </row>
    <row r="5" spans="2:7" ht="39" customHeight="1" thickBot="1" x14ac:dyDescent="0.3">
      <c r="B5" s="167" t="s">
        <v>170</v>
      </c>
      <c r="C5" s="168"/>
      <c r="D5" s="169" t="s">
        <v>728</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36" t="s">
        <v>380</v>
      </c>
      <c r="D8" s="21"/>
      <c r="E8" s="19"/>
      <c r="F8" s="20"/>
      <c r="G8" s="32"/>
    </row>
    <row r="9" spans="2:7" s="4" customFormat="1" ht="64.5" customHeight="1" x14ac:dyDescent="0.25">
      <c r="B9" s="6">
        <f>B8+1</f>
        <v>2</v>
      </c>
      <c r="C9" s="36" t="s">
        <v>381</v>
      </c>
      <c r="D9" s="21"/>
      <c r="E9" s="19"/>
      <c r="F9" s="20"/>
      <c r="G9" s="32"/>
    </row>
    <row r="10" spans="2:7" s="4" customFormat="1" ht="64.5" customHeight="1" x14ac:dyDescent="0.25">
      <c r="B10" s="35">
        <f>+B9+1</f>
        <v>3</v>
      </c>
      <c r="C10" s="36" t="s">
        <v>382</v>
      </c>
      <c r="D10" s="21"/>
      <c r="E10" s="19"/>
      <c r="F10" s="20"/>
      <c r="G10" s="32"/>
    </row>
    <row r="11" spans="2:7" s="4" customFormat="1" ht="64.5" customHeight="1" x14ac:dyDescent="0.25">
      <c r="B11" s="6">
        <f>B10+1</f>
        <v>4</v>
      </c>
      <c r="C11" s="36" t="s">
        <v>383</v>
      </c>
      <c r="D11" s="21"/>
      <c r="E11" s="19"/>
      <c r="F11" s="20"/>
      <c r="G11" s="32"/>
    </row>
    <row r="12" spans="2:7" s="4" customFormat="1" ht="64.5" customHeight="1" x14ac:dyDescent="0.25">
      <c r="B12" s="35">
        <f>+B11+1</f>
        <v>5</v>
      </c>
      <c r="C12" s="36" t="s">
        <v>384</v>
      </c>
      <c r="D12" s="21"/>
      <c r="E12" s="19"/>
      <c r="F12" s="20"/>
      <c r="G12" s="32"/>
    </row>
    <row r="13" spans="2:7" s="4" customFormat="1" ht="64.5" customHeight="1" x14ac:dyDescent="0.25">
      <c r="B13" s="6">
        <f>B12+1</f>
        <v>6</v>
      </c>
      <c r="C13" s="36" t="s">
        <v>633</v>
      </c>
      <c r="D13" s="21"/>
      <c r="E13" s="19"/>
      <c r="F13" s="20"/>
      <c r="G13" s="32"/>
    </row>
    <row r="14" spans="2:7" s="4" customFormat="1" ht="64.5" customHeight="1" x14ac:dyDescent="0.25">
      <c r="B14" s="35">
        <f>+B13+1</f>
        <v>7</v>
      </c>
      <c r="C14" s="36"/>
      <c r="D14" s="21"/>
      <c r="E14" s="19"/>
      <c r="F14" s="20"/>
      <c r="G14" s="32"/>
    </row>
    <row r="15" spans="2:7" s="4" customFormat="1" ht="64.5" customHeight="1" x14ac:dyDescent="0.25">
      <c r="B15" s="6">
        <f>B14+1</f>
        <v>8</v>
      </c>
      <c r="C15" s="36"/>
      <c r="D15" s="21"/>
      <c r="E15" s="19"/>
      <c r="F15" s="20"/>
      <c r="G15" s="32"/>
    </row>
    <row r="16" spans="2:7" s="4" customFormat="1" ht="64.5" customHeight="1" x14ac:dyDescent="0.25">
      <c r="B16" s="35">
        <f>+B15+1</f>
        <v>9</v>
      </c>
      <c r="C16" s="36"/>
      <c r="D16" s="21"/>
      <c r="E16" s="19"/>
      <c r="F16" s="20"/>
      <c r="G16" s="32"/>
    </row>
    <row r="17" spans="2:7" s="4" customFormat="1" ht="64.5" customHeight="1" x14ac:dyDescent="0.25">
      <c r="B17" s="6">
        <f>B16+1</f>
        <v>10</v>
      </c>
      <c r="C17" s="36"/>
      <c r="D17" s="21"/>
      <c r="E17" s="19"/>
      <c r="F17" s="20"/>
      <c r="G17" s="32"/>
    </row>
    <row r="18" spans="2:7" s="4" customFormat="1" ht="64.5" customHeight="1" x14ac:dyDescent="0.25">
      <c r="B18" s="35">
        <f>+B17+1</f>
        <v>11</v>
      </c>
      <c r="C18" s="36"/>
      <c r="D18" s="21"/>
      <c r="E18" s="19"/>
      <c r="F18" s="20"/>
      <c r="G18" s="32"/>
    </row>
    <row r="19" spans="2:7" s="4" customFormat="1" ht="64.5" customHeight="1" x14ac:dyDescent="0.25">
      <c r="B19" s="6">
        <f>B18+1</f>
        <v>12</v>
      </c>
      <c r="C19" s="36"/>
      <c r="D19" s="21"/>
      <c r="E19" s="19"/>
      <c r="F19" s="20"/>
      <c r="G19" s="32"/>
    </row>
    <row r="20" spans="2:7" s="4" customFormat="1" ht="64.5" customHeight="1" x14ac:dyDescent="0.25">
      <c r="B20" s="35">
        <f>+B19+1</f>
        <v>13</v>
      </c>
      <c r="C20" s="36"/>
      <c r="D20" s="21"/>
      <c r="E20" s="19"/>
      <c r="F20" s="20"/>
      <c r="G20" s="32"/>
    </row>
    <row r="21" spans="2:7" s="4" customFormat="1" ht="64.5" customHeight="1" x14ac:dyDescent="0.25">
      <c r="B21" s="6">
        <f>B20+1</f>
        <v>14</v>
      </c>
      <c r="C21" s="36"/>
      <c r="D21" s="21"/>
      <c r="E21" s="19"/>
      <c r="F21" s="20"/>
      <c r="G21" s="32"/>
    </row>
    <row r="22" spans="2:7" s="4" customFormat="1" ht="53.25" customHeight="1" x14ac:dyDescent="0.25">
      <c r="B22" s="35">
        <f>+B21+1</f>
        <v>15</v>
      </c>
      <c r="C22" s="36"/>
      <c r="D22" s="21"/>
      <c r="E22" s="19"/>
      <c r="F22" s="20"/>
      <c r="G22" s="32"/>
    </row>
    <row r="23" spans="2:7" s="4" customFormat="1" ht="64.5" customHeight="1" x14ac:dyDescent="0.25">
      <c r="B23" s="6">
        <f>B22+1</f>
        <v>16</v>
      </c>
      <c r="C23" s="17"/>
      <c r="D23" s="21"/>
      <c r="E23" s="19"/>
      <c r="F23" s="20"/>
      <c r="G23" s="32"/>
    </row>
    <row r="24" spans="2:7" s="4" customFormat="1" ht="81" customHeight="1" x14ac:dyDescent="0.25">
      <c r="B24" s="35">
        <f>+B23+1</f>
        <v>17</v>
      </c>
      <c r="C24" s="36"/>
      <c r="D24" s="21"/>
      <c r="E24" s="19"/>
      <c r="F24" s="20"/>
      <c r="G24" s="32"/>
    </row>
    <row r="25" spans="2:7" s="4" customFormat="1" ht="68.25" customHeight="1" thickBot="1" x14ac:dyDescent="0.3">
      <c r="B25" s="42">
        <f>B24+1</f>
        <v>18</v>
      </c>
      <c r="C25" s="43"/>
      <c r="D25" s="44"/>
      <c r="E25" s="45"/>
      <c r="F25" s="46"/>
      <c r="G25" s="47"/>
    </row>
    <row r="26" spans="2:7" ht="18.75" thickBot="1" x14ac:dyDescent="0.3">
      <c r="B26" s="173" t="s">
        <v>13</v>
      </c>
      <c r="C26" s="174"/>
      <c r="D26" s="175" t="s">
        <v>7</v>
      </c>
      <c r="E26" s="176"/>
      <c r="F26" s="177"/>
      <c r="G26" s="24" t="s">
        <v>8</v>
      </c>
    </row>
    <row r="27" spans="2:7" x14ac:dyDescent="0.25">
      <c r="B27" s="153"/>
      <c r="C27" s="154"/>
      <c r="D27" s="154"/>
      <c r="E27" s="154"/>
      <c r="F27" s="154"/>
      <c r="G27" s="159"/>
    </row>
    <row r="28" spans="2:7" x14ac:dyDescent="0.25">
      <c r="B28" s="155"/>
      <c r="C28" s="156"/>
      <c r="D28" s="156"/>
      <c r="E28" s="156"/>
      <c r="F28" s="156"/>
      <c r="G28" s="160"/>
    </row>
    <row r="29" spans="2:7" x14ac:dyDescent="0.25">
      <c r="B29" s="155"/>
      <c r="C29" s="156"/>
      <c r="D29" s="156"/>
      <c r="E29" s="156"/>
      <c r="F29" s="156"/>
      <c r="G29" s="160"/>
    </row>
    <row r="30" spans="2:7" x14ac:dyDescent="0.25">
      <c r="B30" s="155"/>
      <c r="C30" s="156"/>
      <c r="D30" s="156"/>
      <c r="E30" s="156"/>
      <c r="F30" s="156"/>
      <c r="G30" s="160"/>
    </row>
    <row r="31" spans="2:7" ht="15.75" thickBot="1" x14ac:dyDescent="0.3">
      <c r="B31" s="157"/>
      <c r="C31" s="158"/>
      <c r="D31" s="158"/>
      <c r="E31" s="158"/>
      <c r="F31" s="158"/>
      <c r="G31" s="161"/>
    </row>
  </sheetData>
  <sheetProtection selectLockedCells="1"/>
  <mergeCells count="10">
    <mergeCell ref="B27:C31"/>
    <mergeCell ref="D27:F31"/>
    <mergeCell ref="G27:G31"/>
    <mergeCell ref="B3:F3"/>
    <mergeCell ref="D4:F4"/>
    <mergeCell ref="B5:C5"/>
    <mergeCell ref="D5:G5"/>
    <mergeCell ref="E6:F6"/>
    <mergeCell ref="B26:C26"/>
    <mergeCell ref="D26:F26"/>
  </mergeCells>
  <conditionalFormatting sqref="D8:D25">
    <cfRule type="cellIs" dxfId="95" priority="1" operator="equal">
      <formula>3</formula>
    </cfRule>
    <cfRule type="cellIs" dxfId="94"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6"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1">
    <tabColor theme="0" tint="-0.14999847407452621"/>
    <pageSetUpPr fitToPage="1"/>
  </sheetPr>
  <dimension ref="B1:G21"/>
  <sheetViews>
    <sheetView view="pageBreakPreview" zoomScale="55" zoomScaleNormal="55" zoomScaleSheetLayoutView="55" zoomScalePageLayoutView="70" workbookViewId="0">
      <selection activeCell="G10" sqref="G10"/>
    </sheetView>
  </sheetViews>
  <sheetFormatPr baseColWidth="10" defaultColWidth="11.42578125" defaultRowHeight="15" x14ac:dyDescent="0.25"/>
  <cols>
    <col min="1" max="1" width="0.28515625" style="1" customWidth="1"/>
    <col min="2" max="2" width="5.85546875" style="1" bestFit="1" customWidth="1"/>
    <col min="3" max="3" width="82" style="1" customWidth="1"/>
    <col min="4" max="4" width="8" style="1" bestFit="1" customWidth="1"/>
    <col min="5" max="5" width="4.85546875" style="1" bestFit="1" customWidth="1"/>
    <col min="6" max="6" width="5.85546875" style="1" bestFit="1" customWidth="1"/>
    <col min="7" max="7" width="52.425781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239" t="s">
        <v>11</v>
      </c>
      <c r="C3" s="240"/>
      <c r="D3" s="240"/>
      <c r="E3" s="240"/>
      <c r="F3" s="241"/>
      <c r="G3" s="86" t="str">
        <f>Date!B2</f>
        <v>Week ... 2025</v>
      </c>
    </row>
    <row r="4" spans="2:7" ht="19.5" thickBot="1" x14ac:dyDescent="0.3">
      <c r="B4" s="87"/>
      <c r="C4" s="84" t="s">
        <v>563</v>
      </c>
      <c r="D4" s="171" t="str">
        <f>+'Line &amp; frequency'!C1</f>
        <v>CHAINE 5</v>
      </c>
      <c r="E4" s="242"/>
      <c r="F4" s="242"/>
      <c r="G4" s="88" t="s">
        <v>564</v>
      </c>
    </row>
    <row r="5" spans="2:7" ht="27.75" customHeight="1" thickBot="1" x14ac:dyDescent="0.3">
      <c r="B5" s="221" t="s">
        <v>170</v>
      </c>
      <c r="C5" s="222"/>
      <c r="D5" s="243"/>
      <c r="E5" s="244"/>
      <c r="F5" s="244"/>
      <c r="G5" s="244"/>
    </row>
    <row r="6" spans="2:7" ht="20.25" customHeight="1" thickBot="1" x14ac:dyDescent="0.35">
      <c r="B6" s="89"/>
      <c r="C6" s="90" t="s">
        <v>167</v>
      </c>
      <c r="D6" s="89"/>
      <c r="E6" s="171" t="s">
        <v>0</v>
      </c>
      <c r="F6" s="172"/>
      <c r="G6" s="89"/>
    </row>
    <row r="7" spans="2:7" s="4" customFormat="1" ht="24" customHeight="1" thickBot="1" x14ac:dyDescent="0.3">
      <c r="B7" s="91" t="s">
        <v>1</v>
      </c>
      <c r="C7" s="92" t="s">
        <v>2</v>
      </c>
      <c r="D7" s="93" t="s">
        <v>3</v>
      </c>
      <c r="E7" s="85" t="s">
        <v>4</v>
      </c>
      <c r="F7" s="24" t="s">
        <v>5</v>
      </c>
      <c r="G7" s="94" t="s">
        <v>6</v>
      </c>
    </row>
    <row r="8" spans="2:7" s="4" customFormat="1" ht="45" customHeight="1" x14ac:dyDescent="0.3">
      <c r="B8" s="5">
        <v>1</v>
      </c>
      <c r="C8" s="36" t="s">
        <v>565</v>
      </c>
      <c r="D8" s="21"/>
      <c r="E8" s="95"/>
      <c r="F8" s="96"/>
      <c r="G8" s="32"/>
    </row>
    <row r="9" spans="2:7" s="4" customFormat="1" ht="40.5" customHeight="1" x14ac:dyDescent="0.3">
      <c r="B9" s="6">
        <f>B8+1</f>
        <v>2</v>
      </c>
      <c r="C9" s="36" t="s">
        <v>566</v>
      </c>
      <c r="D9" s="21"/>
      <c r="E9" s="95"/>
      <c r="F9" s="96"/>
      <c r="G9" s="32"/>
    </row>
    <row r="10" spans="2:7" s="4" customFormat="1" ht="45" customHeight="1" x14ac:dyDescent="0.3">
      <c r="B10" s="35">
        <f>+B9+1</f>
        <v>3</v>
      </c>
      <c r="C10" s="36" t="s">
        <v>567</v>
      </c>
      <c r="D10" s="21"/>
      <c r="E10" s="95"/>
      <c r="F10" s="96"/>
      <c r="G10" s="32"/>
    </row>
    <row r="11" spans="2:7" s="4" customFormat="1" ht="45.75" customHeight="1" x14ac:dyDescent="0.3">
      <c r="B11" s="6">
        <f>B10+1</f>
        <v>4</v>
      </c>
      <c r="C11" s="36" t="s">
        <v>568</v>
      </c>
      <c r="D11" s="21"/>
      <c r="E11" s="95"/>
      <c r="F11" s="96"/>
      <c r="G11" s="32"/>
    </row>
    <row r="12" spans="2:7" s="4" customFormat="1" ht="40.5" customHeight="1" x14ac:dyDescent="0.3">
      <c r="B12" s="35">
        <f>+B11+1</f>
        <v>5</v>
      </c>
      <c r="C12" s="36" t="s">
        <v>569</v>
      </c>
      <c r="D12" s="21"/>
      <c r="E12" s="95"/>
      <c r="F12" s="96"/>
      <c r="G12" s="32"/>
    </row>
    <row r="13" spans="2:7" s="4" customFormat="1" ht="42.75" customHeight="1" x14ac:dyDescent="0.3">
      <c r="B13" s="6">
        <f>B12+1</f>
        <v>6</v>
      </c>
      <c r="C13" s="36" t="s">
        <v>570</v>
      </c>
      <c r="D13" s="21"/>
      <c r="E13" s="95"/>
      <c r="F13" s="96"/>
      <c r="G13" s="32"/>
    </row>
    <row r="14" spans="2:7" s="4" customFormat="1" ht="33" customHeight="1" x14ac:dyDescent="0.3">
      <c r="B14" s="35">
        <f>+B13+1</f>
        <v>7</v>
      </c>
      <c r="C14" s="36"/>
      <c r="D14" s="21"/>
      <c r="E14" s="95"/>
      <c r="F14" s="96"/>
      <c r="G14" s="32"/>
    </row>
    <row r="15" spans="2:7" s="4" customFormat="1" ht="33" customHeight="1" thickBot="1" x14ac:dyDescent="0.35">
      <c r="B15" s="6">
        <f>B14+1</f>
        <v>8</v>
      </c>
      <c r="C15" s="36"/>
      <c r="D15" s="21"/>
      <c r="E15" s="95"/>
      <c r="F15" s="96"/>
      <c r="G15" s="32"/>
    </row>
    <row r="16" spans="2:7" s="12" customFormat="1" ht="18.75" thickBot="1" x14ac:dyDescent="0.3">
      <c r="B16" s="245" t="s">
        <v>13</v>
      </c>
      <c r="C16" s="246"/>
      <c r="D16" s="175" t="s">
        <v>7</v>
      </c>
      <c r="E16" s="176"/>
      <c r="F16" s="177"/>
      <c r="G16" s="24" t="s">
        <v>8</v>
      </c>
    </row>
    <row r="17" spans="2:7" x14ac:dyDescent="0.25">
      <c r="B17" s="153"/>
      <c r="C17" s="154"/>
      <c r="D17" s="154"/>
      <c r="E17" s="154"/>
      <c r="F17" s="154"/>
      <c r="G17" s="159"/>
    </row>
    <row r="18" spans="2:7" x14ac:dyDescent="0.25">
      <c r="B18" s="155"/>
      <c r="C18" s="156"/>
      <c r="D18" s="156"/>
      <c r="E18" s="156"/>
      <c r="F18" s="156"/>
      <c r="G18" s="160"/>
    </row>
    <row r="19" spans="2:7" x14ac:dyDescent="0.25">
      <c r="B19" s="155"/>
      <c r="C19" s="156"/>
      <c r="D19" s="156"/>
      <c r="E19" s="156"/>
      <c r="F19" s="156"/>
      <c r="G19" s="160"/>
    </row>
    <row r="20" spans="2:7" x14ac:dyDescent="0.25">
      <c r="B20" s="155"/>
      <c r="C20" s="156"/>
      <c r="D20" s="156"/>
      <c r="E20" s="156"/>
      <c r="F20" s="156"/>
      <c r="G20" s="160"/>
    </row>
    <row r="21" spans="2:7" ht="35.25" customHeight="1" thickBot="1" x14ac:dyDescent="0.3">
      <c r="B21" s="157"/>
      <c r="C21" s="158"/>
      <c r="D21" s="158"/>
      <c r="E21" s="158"/>
      <c r="F21" s="158"/>
      <c r="G21" s="161"/>
    </row>
  </sheetData>
  <sheetProtection selectLockedCells="1"/>
  <mergeCells count="10">
    <mergeCell ref="B17:C21"/>
    <mergeCell ref="D17:F21"/>
    <mergeCell ref="G17:G21"/>
    <mergeCell ref="B3:F3"/>
    <mergeCell ref="D4:F4"/>
    <mergeCell ref="B5:C5"/>
    <mergeCell ref="D5:G5"/>
    <mergeCell ref="E6:F6"/>
    <mergeCell ref="B16:C16"/>
    <mergeCell ref="D16:F16"/>
  </mergeCells>
  <conditionalFormatting sqref="D8:D15">
    <cfRule type="cellIs" dxfId="93" priority="1" operator="equal">
      <formula>3</formula>
    </cfRule>
    <cfRule type="cellIs" dxfId="92"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62" fitToHeight="0"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7">
    <tabColor theme="0" tint="-0.14999847407452621"/>
    <pageSetUpPr fitToPage="1"/>
  </sheetPr>
  <dimension ref="B1:G51"/>
  <sheetViews>
    <sheetView view="pageBreakPreview" zoomScale="55" zoomScaleNormal="55" zoomScaleSheetLayoutView="55" zoomScalePageLayoutView="70" workbookViewId="0">
      <selection activeCell="G9" sqref="G9"/>
    </sheetView>
  </sheetViews>
  <sheetFormatPr baseColWidth="10" defaultColWidth="11.42578125" defaultRowHeight="15" x14ac:dyDescent="0.25"/>
  <cols>
    <col min="1" max="1" width="0.140625" style="1" customWidth="1"/>
    <col min="2" max="2" width="7.2851562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15</v>
      </c>
      <c r="D4" s="165" t="str">
        <f>+'Line &amp; frequency'!C1</f>
        <v>CHAINE 5</v>
      </c>
      <c r="E4" s="166"/>
      <c r="F4" s="166"/>
      <c r="G4" s="31" t="str">
        <f>+'Line &amp; frequency'!C2</f>
        <v>HEBDOMADAIRE</v>
      </c>
    </row>
    <row r="5" spans="2:7" ht="30" customHeight="1" thickBot="1" x14ac:dyDescent="0.3">
      <c r="B5" s="167" t="s">
        <v>170</v>
      </c>
      <c r="C5" s="168"/>
      <c r="D5" s="169" t="s">
        <v>684</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40.5" x14ac:dyDescent="0.25">
      <c r="B8" s="5">
        <v>1</v>
      </c>
      <c r="C8" s="16" t="s">
        <v>256</v>
      </c>
      <c r="D8" s="21"/>
      <c r="E8" s="19"/>
      <c r="F8" s="20"/>
      <c r="G8" s="32"/>
    </row>
    <row r="9" spans="2:7" s="4" customFormat="1" ht="40.5" x14ac:dyDescent="0.25">
      <c r="B9" s="6">
        <f>B8+1</f>
        <v>2</v>
      </c>
      <c r="C9" s="36" t="s">
        <v>257</v>
      </c>
      <c r="D9" s="21"/>
      <c r="E9" s="19"/>
      <c r="F9" s="20"/>
      <c r="G9" s="32"/>
    </row>
    <row r="10" spans="2:7" s="4" customFormat="1" ht="40.5" x14ac:dyDescent="0.25">
      <c r="B10" s="35">
        <f>+B9+1</f>
        <v>3</v>
      </c>
      <c r="C10" s="36" t="s">
        <v>258</v>
      </c>
      <c r="D10" s="21"/>
      <c r="E10" s="19"/>
      <c r="F10" s="20"/>
      <c r="G10" s="32"/>
    </row>
    <row r="11" spans="2:7" s="4" customFormat="1" ht="40.5" x14ac:dyDescent="0.25">
      <c r="B11" s="6">
        <f>B10+1</f>
        <v>4</v>
      </c>
      <c r="C11" s="36" t="s">
        <v>259</v>
      </c>
      <c r="D11" s="21"/>
      <c r="E11" s="19"/>
      <c r="F11" s="20"/>
      <c r="G11" s="32"/>
    </row>
    <row r="12" spans="2:7" s="4" customFormat="1" ht="40.5" x14ac:dyDescent="0.25">
      <c r="B12" s="35">
        <f>+B11+1</f>
        <v>5</v>
      </c>
      <c r="C12" s="36" t="s">
        <v>288</v>
      </c>
      <c r="D12" s="21"/>
      <c r="E12" s="19"/>
      <c r="F12" s="20"/>
      <c r="G12" s="32"/>
    </row>
    <row r="13" spans="2:7" s="4" customFormat="1" ht="40.5" x14ac:dyDescent="0.25">
      <c r="B13" s="6">
        <f>B12+1</f>
        <v>6</v>
      </c>
      <c r="C13" s="36" t="s">
        <v>287</v>
      </c>
      <c r="D13" s="21"/>
      <c r="E13" s="19"/>
      <c r="F13" s="20"/>
      <c r="G13" s="32"/>
    </row>
    <row r="14" spans="2:7" s="4" customFormat="1" ht="40.5" x14ac:dyDescent="0.25">
      <c r="B14" s="35">
        <f>+B13+1</f>
        <v>7</v>
      </c>
      <c r="C14" s="36" t="s">
        <v>25</v>
      </c>
      <c r="D14" s="21"/>
      <c r="E14" s="19"/>
      <c r="F14" s="20"/>
      <c r="G14" s="32"/>
    </row>
    <row r="15" spans="2:7" s="4" customFormat="1" ht="40.5" x14ac:dyDescent="0.25">
      <c r="B15" s="6">
        <f>B14+1</f>
        <v>8</v>
      </c>
      <c r="C15" s="36" t="s">
        <v>262</v>
      </c>
      <c r="D15" s="21"/>
      <c r="E15" s="19"/>
      <c r="F15" s="20"/>
      <c r="G15" s="32"/>
    </row>
    <row r="16" spans="2:7" s="4" customFormat="1" ht="40.5" x14ac:dyDescent="0.25">
      <c r="B16" s="35">
        <f>+B15+1</f>
        <v>9</v>
      </c>
      <c r="C16" s="36" t="s">
        <v>263</v>
      </c>
      <c r="D16" s="21"/>
      <c r="E16" s="19"/>
      <c r="F16" s="20"/>
      <c r="G16" s="32"/>
    </row>
    <row r="17" spans="2:7" s="4" customFormat="1" ht="60.75" x14ac:dyDescent="0.25">
      <c r="B17" s="6">
        <f>B16+1</f>
        <v>10</v>
      </c>
      <c r="C17" s="36" t="s">
        <v>264</v>
      </c>
      <c r="D17" s="21"/>
      <c r="E17" s="19"/>
      <c r="F17" s="20"/>
      <c r="G17" s="32"/>
    </row>
    <row r="18" spans="2:7" s="4" customFormat="1" ht="40.5" x14ac:dyDescent="0.25">
      <c r="B18" s="35">
        <f>+B17+1</f>
        <v>11</v>
      </c>
      <c r="C18" s="36" t="s">
        <v>289</v>
      </c>
      <c r="D18" s="21"/>
      <c r="E18" s="19"/>
      <c r="F18" s="20"/>
      <c r="G18" s="32"/>
    </row>
    <row r="19" spans="2:7" s="4" customFormat="1" ht="40.5" x14ac:dyDescent="0.25">
      <c r="B19" s="6">
        <f>B18+1</f>
        <v>12</v>
      </c>
      <c r="C19" s="36" t="s">
        <v>290</v>
      </c>
      <c r="D19" s="21"/>
      <c r="E19" s="19"/>
      <c r="F19" s="20"/>
      <c r="G19" s="32"/>
    </row>
    <row r="20" spans="2:7" s="4" customFormat="1" ht="60.75" x14ac:dyDescent="0.25">
      <c r="B20" s="35">
        <f>+B19+1</f>
        <v>13</v>
      </c>
      <c r="C20" s="36" t="s">
        <v>127</v>
      </c>
      <c r="D20" s="21"/>
      <c r="E20" s="19"/>
      <c r="F20" s="20"/>
      <c r="G20" s="32"/>
    </row>
    <row r="21" spans="2:7" s="4" customFormat="1" ht="60.75" x14ac:dyDescent="0.25">
      <c r="B21" s="6">
        <f>B20+1</f>
        <v>14</v>
      </c>
      <c r="C21" s="36" t="s">
        <v>128</v>
      </c>
      <c r="D21" s="21"/>
      <c r="E21" s="19"/>
      <c r="F21" s="20"/>
      <c r="G21" s="32"/>
    </row>
    <row r="22" spans="2:7" s="4" customFormat="1" ht="40.5" x14ac:dyDescent="0.25">
      <c r="B22" s="35">
        <f>+B21+1</f>
        <v>15</v>
      </c>
      <c r="C22" s="36" t="s">
        <v>129</v>
      </c>
      <c r="D22" s="21"/>
      <c r="E22" s="19"/>
      <c r="F22" s="20"/>
      <c r="G22" s="32"/>
    </row>
    <row r="23" spans="2:7" s="4" customFormat="1" ht="40.5" x14ac:dyDescent="0.25">
      <c r="B23" s="6">
        <f>B22+1</f>
        <v>16</v>
      </c>
      <c r="C23" s="36" t="s">
        <v>130</v>
      </c>
      <c r="D23" s="21"/>
      <c r="E23" s="19"/>
      <c r="F23" s="20"/>
      <c r="G23" s="32"/>
    </row>
    <row r="24" spans="2:7" s="4" customFormat="1" ht="40.5" x14ac:dyDescent="0.25">
      <c r="B24" s="35">
        <f>+B23+1</f>
        <v>17</v>
      </c>
      <c r="C24" s="36" t="s">
        <v>131</v>
      </c>
      <c r="D24" s="21"/>
      <c r="E24" s="19"/>
      <c r="F24" s="20"/>
      <c r="G24" s="32"/>
    </row>
    <row r="25" spans="2:7" s="4" customFormat="1" ht="66" customHeight="1" x14ac:dyDescent="0.25">
      <c r="B25" s="6">
        <f>B24+1</f>
        <v>18</v>
      </c>
      <c r="C25" s="36" t="s">
        <v>132</v>
      </c>
      <c r="D25" s="21"/>
      <c r="E25" s="19"/>
      <c r="F25" s="20"/>
      <c r="G25" s="32"/>
    </row>
    <row r="26" spans="2:7" s="4" customFormat="1" ht="60.75" x14ac:dyDescent="0.25">
      <c r="B26" s="35">
        <f>+B25+1</f>
        <v>19</v>
      </c>
      <c r="C26" s="36" t="s">
        <v>133</v>
      </c>
      <c r="D26" s="21"/>
      <c r="E26" s="19"/>
      <c r="F26" s="20"/>
      <c r="G26" s="32"/>
    </row>
    <row r="27" spans="2:7" s="4" customFormat="1" ht="40.5" x14ac:dyDescent="0.25">
      <c r="B27" s="6">
        <f>B26+1</f>
        <v>20</v>
      </c>
      <c r="C27" s="36" t="s">
        <v>134</v>
      </c>
      <c r="D27" s="21"/>
      <c r="E27" s="19"/>
      <c r="F27" s="20"/>
      <c r="G27" s="32"/>
    </row>
    <row r="28" spans="2:7" s="4" customFormat="1" ht="40.5" x14ac:dyDescent="0.25">
      <c r="B28" s="35">
        <f>+B27+1</f>
        <v>21</v>
      </c>
      <c r="C28" s="36" t="s">
        <v>355</v>
      </c>
      <c r="D28" s="21"/>
      <c r="E28" s="19"/>
      <c r="F28" s="20"/>
      <c r="G28" s="32"/>
    </row>
    <row r="29" spans="2:7" s="4" customFormat="1" ht="40.5" x14ac:dyDescent="0.25">
      <c r="B29" s="6">
        <f>B28+1</f>
        <v>22</v>
      </c>
      <c r="C29" s="36" t="s">
        <v>343</v>
      </c>
      <c r="D29" s="21"/>
      <c r="E29" s="19"/>
      <c r="F29" s="20"/>
      <c r="G29" s="32"/>
    </row>
    <row r="30" spans="2:7" s="4" customFormat="1" ht="40.5" x14ac:dyDescent="0.25">
      <c r="B30" s="35">
        <f>+B29+1</f>
        <v>23</v>
      </c>
      <c r="C30" s="36" t="s">
        <v>161</v>
      </c>
      <c r="D30" s="21"/>
      <c r="E30" s="19"/>
      <c r="F30" s="20"/>
      <c r="G30" s="32"/>
    </row>
    <row r="31" spans="2:7" s="4" customFormat="1" ht="40.5" x14ac:dyDescent="0.25">
      <c r="B31" s="35">
        <f>+B30+1</f>
        <v>24</v>
      </c>
      <c r="C31" s="36" t="s">
        <v>135</v>
      </c>
      <c r="D31" s="21"/>
      <c r="E31" s="19"/>
      <c r="F31" s="20"/>
      <c r="G31" s="32"/>
    </row>
    <row r="32" spans="2:7" s="4" customFormat="1" ht="60.75" x14ac:dyDescent="0.25">
      <c r="B32" s="6">
        <f>B31+1</f>
        <v>25</v>
      </c>
      <c r="C32" s="36" t="s">
        <v>347</v>
      </c>
      <c r="D32" s="21"/>
      <c r="E32" s="19"/>
      <c r="F32" s="20"/>
      <c r="G32" s="32"/>
    </row>
    <row r="33" spans="2:7" s="4" customFormat="1" ht="60.75" x14ac:dyDescent="0.25">
      <c r="B33" s="35">
        <f>+B32+1</f>
        <v>26</v>
      </c>
      <c r="C33" s="36" t="s">
        <v>348</v>
      </c>
      <c r="D33" s="21"/>
      <c r="E33" s="19"/>
      <c r="F33" s="20"/>
      <c r="G33" s="32"/>
    </row>
    <row r="34" spans="2:7" s="4" customFormat="1" ht="40.5" x14ac:dyDescent="0.25">
      <c r="B34" s="6">
        <f>B33+1</f>
        <v>27</v>
      </c>
      <c r="C34" s="36" t="s">
        <v>136</v>
      </c>
      <c r="D34" s="21"/>
      <c r="E34" s="19"/>
      <c r="F34" s="20"/>
      <c r="G34" s="32"/>
    </row>
    <row r="35" spans="2:7" s="4" customFormat="1" ht="40.5" x14ac:dyDescent="0.25">
      <c r="B35" s="35">
        <f>+B34+1</f>
        <v>28</v>
      </c>
      <c r="C35" s="36" t="s">
        <v>349</v>
      </c>
      <c r="D35" s="21"/>
      <c r="E35" s="19"/>
      <c r="F35" s="20"/>
      <c r="G35" s="32"/>
    </row>
    <row r="36" spans="2:7" s="4" customFormat="1" ht="50.25" customHeight="1" x14ac:dyDescent="0.25">
      <c r="B36" s="6">
        <f>B35+1</f>
        <v>29</v>
      </c>
      <c r="C36" s="36" t="s">
        <v>350</v>
      </c>
      <c r="D36" s="21"/>
      <c r="E36" s="19"/>
      <c r="F36" s="20"/>
      <c r="G36" s="32"/>
    </row>
    <row r="37" spans="2:7" s="4" customFormat="1" ht="81" x14ac:dyDescent="0.25">
      <c r="B37" s="35">
        <f>+B36+1</f>
        <v>30</v>
      </c>
      <c r="C37" s="36" t="s">
        <v>351</v>
      </c>
      <c r="D37" s="21"/>
      <c r="E37" s="19"/>
      <c r="F37" s="20"/>
      <c r="G37" s="32"/>
    </row>
    <row r="38" spans="2:7" s="4" customFormat="1" ht="60.75" x14ac:dyDescent="0.25">
      <c r="B38" s="6">
        <f>B37+1</f>
        <v>31</v>
      </c>
      <c r="C38" s="36" t="s">
        <v>352</v>
      </c>
      <c r="D38" s="21"/>
      <c r="E38" s="19"/>
      <c r="F38" s="20"/>
      <c r="G38" s="32"/>
    </row>
    <row r="39" spans="2:7" s="4" customFormat="1" ht="40.5" x14ac:dyDescent="0.25">
      <c r="B39" s="35">
        <f>+B38+1</f>
        <v>32</v>
      </c>
      <c r="C39" s="36" t="s">
        <v>353</v>
      </c>
      <c r="D39" s="21"/>
      <c r="E39" s="19"/>
      <c r="F39" s="20"/>
      <c r="G39" s="32"/>
    </row>
    <row r="40" spans="2:7" s="4" customFormat="1" ht="40.5" x14ac:dyDescent="0.25">
      <c r="B40" s="6">
        <f>B39+1</f>
        <v>33</v>
      </c>
      <c r="C40" s="36" t="s">
        <v>28</v>
      </c>
      <c r="D40" s="21"/>
      <c r="E40" s="19"/>
      <c r="F40" s="20"/>
      <c r="G40" s="32"/>
    </row>
    <row r="41" spans="2:7" s="4" customFormat="1" ht="40.5" x14ac:dyDescent="0.25">
      <c r="B41" s="35">
        <f>+B40+1</f>
        <v>34</v>
      </c>
      <c r="C41" s="36" t="s">
        <v>354</v>
      </c>
      <c r="D41" s="21"/>
      <c r="E41" s="19"/>
      <c r="F41" s="20"/>
      <c r="G41" s="32"/>
    </row>
    <row r="42" spans="2:7" s="4" customFormat="1" ht="20.25" x14ac:dyDescent="0.25">
      <c r="B42" s="6">
        <f>B41+1</f>
        <v>35</v>
      </c>
      <c r="C42" s="17" t="s">
        <v>176</v>
      </c>
      <c r="D42" s="21"/>
      <c r="E42" s="19"/>
      <c r="F42" s="20"/>
      <c r="G42" s="32"/>
    </row>
    <row r="43" spans="2:7" s="4" customFormat="1" ht="40.5" x14ac:dyDescent="0.25">
      <c r="B43" s="35">
        <f>+B42+1</f>
        <v>36</v>
      </c>
      <c r="C43" s="17" t="s">
        <v>181</v>
      </c>
      <c r="D43" s="21"/>
      <c r="E43" s="19"/>
      <c r="F43" s="20"/>
      <c r="G43" s="32"/>
    </row>
    <row r="44" spans="2:7" s="4" customFormat="1" ht="60.75" x14ac:dyDescent="0.25">
      <c r="B44" s="6">
        <f>B43+1</f>
        <v>37</v>
      </c>
      <c r="C44" s="36" t="s">
        <v>507</v>
      </c>
      <c r="D44" s="21"/>
      <c r="E44" s="19"/>
      <c r="F44" s="20"/>
      <c r="G44" s="32"/>
    </row>
    <row r="45" spans="2:7" s="4" customFormat="1" ht="21" thickBot="1" x14ac:dyDescent="0.3">
      <c r="B45" s="35">
        <f>+B44+1</f>
        <v>38</v>
      </c>
      <c r="C45" s="17"/>
      <c r="D45" s="21"/>
      <c r="E45" s="19"/>
      <c r="F45" s="20"/>
      <c r="G45" s="32"/>
    </row>
    <row r="46" spans="2:7" ht="18.75" thickBot="1" x14ac:dyDescent="0.3">
      <c r="B46" s="245" t="s">
        <v>13</v>
      </c>
      <c r="C46" s="246"/>
      <c r="D46" s="175" t="s">
        <v>7</v>
      </c>
      <c r="E46" s="176"/>
      <c r="F46" s="177"/>
      <c r="G46" s="24" t="s">
        <v>8</v>
      </c>
    </row>
    <row r="47" spans="2:7" x14ac:dyDescent="0.25">
      <c r="B47" s="153"/>
      <c r="C47" s="154"/>
      <c r="D47" s="154"/>
      <c r="E47" s="154"/>
      <c r="F47" s="154"/>
      <c r="G47" s="159"/>
    </row>
    <row r="48" spans="2:7" x14ac:dyDescent="0.25">
      <c r="B48" s="155"/>
      <c r="C48" s="156"/>
      <c r="D48" s="156"/>
      <c r="E48" s="156"/>
      <c r="F48" s="156"/>
      <c r="G48" s="160"/>
    </row>
    <row r="49" spans="2:7" x14ac:dyDescent="0.25">
      <c r="B49" s="155"/>
      <c r="C49" s="156"/>
      <c r="D49" s="156"/>
      <c r="E49" s="156"/>
      <c r="F49" s="156"/>
      <c r="G49" s="160"/>
    </row>
    <row r="50" spans="2:7" x14ac:dyDescent="0.25">
      <c r="B50" s="155"/>
      <c r="C50" s="156"/>
      <c r="D50" s="156"/>
      <c r="E50" s="156"/>
      <c r="F50" s="156"/>
      <c r="G50" s="160"/>
    </row>
    <row r="51" spans="2:7" ht="15.75" thickBot="1" x14ac:dyDescent="0.3">
      <c r="B51" s="157"/>
      <c r="C51" s="158"/>
      <c r="D51" s="158"/>
      <c r="E51" s="158"/>
      <c r="F51" s="158"/>
      <c r="G51" s="161"/>
    </row>
  </sheetData>
  <sheetProtection selectLockedCells="1"/>
  <mergeCells count="10">
    <mergeCell ref="B47:C51"/>
    <mergeCell ref="D47:F51"/>
    <mergeCell ref="G47:G51"/>
    <mergeCell ref="B3:F3"/>
    <mergeCell ref="D4:F4"/>
    <mergeCell ref="E6:F6"/>
    <mergeCell ref="B46:C46"/>
    <mergeCell ref="D46:F46"/>
    <mergeCell ref="B5:C5"/>
    <mergeCell ref="D5:G5"/>
  </mergeCells>
  <conditionalFormatting sqref="D8:D45">
    <cfRule type="cellIs" dxfId="91" priority="3" operator="equal">
      <formula>3</formula>
    </cfRule>
    <cfRule type="cellIs" dxfId="90" priority="4" operator="equal">
      <formula>4</formula>
    </cfRule>
  </conditionalFormatting>
  <printOptions horizontalCentered="1"/>
  <pageMargins left="0.15748031496062992" right="7.874015748031496E-2" top="0.19685039370078741" bottom="0.15748031496062992" header="0.19685039370078741" footer="0.31496062992125984"/>
  <pageSetup paperSize="9" scale="56" fitToHeight="2"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theme="0" tint="-0.14999847407452621"/>
    <pageSetUpPr fitToPage="1"/>
  </sheetPr>
  <dimension ref="B1:G21"/>
  <sheetViews>
    <sheetView view="pageBreakPreview" zoomScale="55" zoomScaleNormal="55" zoomScaleSheetLayoutView="55" zoomScalePageLayoutView="70" workbookViewId="0">
      <selection activeCell="E12" sqref="E12"/>
    </sheetView>
  </sheetViews>
  <sheetFormatPr baseColWidth="10" defaultColWidth="11.42578125" defaultRowHeight="15" x14ac:dyDescent="0.25"/>
  <cols>
    <col min="1" max="1" width="0.140625" style="1" customWidth="1"/>
    <col min="2" max="2" width="7.2851562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15</v>
      </c>
      <c r="D4" s="165" t="str">
        <f>+'Line &amp; frequency'!C1</f>
        <v>CHAINE 5</v>
      </c>
      <c r="E4" s="166"/>
      <c r="F4" s="166"/>
      <c r="G4" s="31" t="s">
        <v>496</v>
      </c>
    </row>
    <row r="5" spans="2:7" ht="30" customHeight="1" thickBot="1" x14ac:dyDescent="0.3">
      <c r="B5" s="167" t="s">
        <v>170</v>
      </c>
      <c r="C5" s="168"/>
      <c r="D5" s="169" t="s">
        <v>684</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2.25" customHeight="1" x14ac:dyDescent="0.25">
      <c r="B8" s="5">
        <v>1</v>
      </c>
      <c r="C8" s="102" t="s">
        <v>571</v>
      </c>
      <c r="D8" s="101"/>
      <c r="E8" s="19"/>
      <c r="F8" s="20"/>
      <c r="G8" s="32"/>
    </row>
    <row r="9" spans="2:7" s="4" customFormat="1" ht="60.75" x14ac:dyDescent="0.25">
      <c r="B9" s="6">
        <f>B8+1</f>
        <v>2</v>
      </c>
      <c r="C9" s="102" t="s">
        <v>572</v>
      </c>
      <c r="D9" s="101"/>
      <c r="E9" s="19"/>
      <c r="F9" s="20"/>
      <c r="G9" s="32"/>
    </row>
    <row r="10" spans="2:7" s="4" customFormat="1" ht="50.25" customHeight="1" x14ac:dyDescent="0.25">
      <c r="B10" s="35">
        <f>+B9+1</f>
        <v>3</v>
      </c>
      <c r="C10" s="102" t="s">
        <v>573</v>
      </c>
      <c r="D10" s="101"/>
      <c r="E10" s="19"/>
      <c r="F10" s="20"/>
      <c r="G10" s="32"/>
    </row>
    <row r="11" spans="2:7" s="4" customFormat="1" ht="60.75" x14ac:dyDescent="0.25">
      <c r="B11" s="6">
        <f>B10+1</f>
        <v>4</v>
      </c>
      <c r="C11" s="102" t="s">
        <v>574</v>
      </c>
      <c r="D11" s="101"/>
      <c r="E11" s="19"/>
      <c r="F11" s="20"/>
      <c r="G11" s="32"/>
    </row>
    <row r="12" spans="2:7" s="4" customFormat="1" ht="40.5" x14ac:dyDescent="0.25">
      <c r="B12" s="35">
        <f>+B11+1</f>
        <v>5</v>
      </c>
      <c r="C12" s="102" t="s">
        <v>575</v>
      </c>
      <c r="D12" s="101"/>
      <c r="E12" s="19"/>
      <c r="F12" s="20"/>
      <c r="G12" s="32"/>
    </row>
    <row r="13" spans="2:7" s="4" customFormat="1" ht="60.75" x14ac:dyDescent="0.25">
      <c r="B13" s="6">
        <f>B12+1</f>
        <v>6</v>
      </c>
      <c r="C13" s="102" t="s">
        <v>576</v>
      </c>
      <c r="D13" s="101"/>
      <c r="E13" s="19"/>
      <c r="F13" s="20"/>
      <c r="G13" s="32"/>
    </row>
    <row r="14" spans="2:7" s="4" customFormat="1" ht="60.75" x14ac:dyDescent="0.25">
      <c r="B14" s="35">
        <f>+B13+1</f>
        <v>7</v>
      </c>
      <c r="C14" s="129" t="s">
        <v>685</v>
      </c>
      <c r="D14" s="101"/>
      <c r="E14" s="19"/>
      <c r="F14" s="20"/>
      <c r="G14" s="32"/>
    </row>
    <row r="15" spans="2:7" s="4" customFormat="1" ht="21" thickBot="1" x14ac:dyDescent="0.3">
      <c r="B15" s="6">
        <f>B14+1</f>
        <v>8</v>
      </c>
      <c r="C15" s="36"/>
      <c r="D15" s="21"/>
      <c r="E15" s="19"/>
      <c r="F15" s="20"/>
      <c r="G15" s="32"/>
    </row>
    <row r="16" spans="2:7" ht="18.75" thickBot="1" x14ac:dyDescent="0.3">
      <c r="B16" s="245" t="s">
        <v>13</v>
      </c>
      <c r="C16" s="246"/>
      <c r="D16" s="175" t="s">
        <v>7</v>
      </c>
      <c r="E16" s="176"/>
      <c r="F16" s="177"/>
      <c r="G16" s="24" t="s">
        <v>8</v>
      </c>
    </row>
    <row r="17" spans="2:7" x14ac:dyDescent="0.25">
      <c r="B17" s="153"/>
      <c r="C17" s="154"/>
      <c r="D17" s="154"/>
      <c r="E17" s="154"/>
      <c r="F17" s="154"/>
      <c r="G17" s="159"/>
    </row>
    <row r="18" spans="2:7" x14ac:dyDescent="0.25">
      <c r="B18" s="155"/>
      <c r="C18" s="156"/>
      <c r="D18" s="156"/>
      <c r="E18" s="156"/>
      <c r="F18" s="156"/>
      <c r="G18" s="160"/>
    </row>
    <row r="19" spans="2:7" x14ac:dyDescent="0.25">
      <c r="B19" s="155"/>
      <c r="C19" s="156"/>
      <c r="D19" s="156"/>
      <c r="E19" s="156"/>
      <c r="F19" s="156"/>
      <c r="G19" s="160"/>
    </row>
    <row r="20" spans="2:7" x14ac:dyDescent="0.25">
      <c r="B20" s="155"/>
      <c r="C20" s="156"/>
      <c r="D20" s="156"/>
      <c r="E20" s="156"/>
      <c r="F20" s="156"/>
      <c r="G20" s="160"/>
    </row>
    <row r="21" spans="2:7" ht="15.75" thickBot="1" x14ac:dyDescent="0.3">
      <c r="B21" s="157"/>
      <c r="C21" s="158"/>
      <c r="D21" s="158"/>
      <c r="E21" s="158"/>
      <c r="F21" s="158"/>
      <c r="G21" s="161"/>
    </row>
  </sheetData>
  <sheetProtection selectLockedCells="1"/>
  <mergeCells count="10">
    <mergeCell ref="B17:C21"/>
    <mergeCell ref="D17:F21"/>
    <mergeCell ref="G17:G21"/>
    <mergeCell ref="B3:F3"/>
    <mergeCell ref="D4:F4"/>
    <mergeCell ref="B5:C5"/>
    <mergeCell ref="D5:G5"/>
    <mergeCell ref="E6:F6"/>
    <mergeCell ref="B16:C16"/>
    <mergeCell ref="D16:F16"/>
  </mergeCells>
  <conditionalFormatting sqref="D8:D15">
    <cfRule type="cellIs" dxfId="89" priority="1" operator="equal">
      <formula>3</formula>
    </cfRule>
    <cfRule type="cellIs" dxfId="88" priority="2" operator="equal">
      <formula>4</formula>
    </cfRule>
  </conditionalFormatting>
  <printOptions horizontalCentered="1"/>
  <pageMargins left="0.15748031496062992" right="7.874015748031496E-2" top="0.19685039370078741" bottom="0.15748031496062992" header="0.19685039370078741" footer="0.31496062992125984"/>
  <pageSetup paperSize="9" scale="56" fitToHeight="2"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tabColor theme="0" tint="-0.14999847407452621"/>
  </sheetPr>
  <dimension ref="B1:G53"/>
  <sheetViews>
    <sheetView view="pageBreakPreview" zoomScale="55" zoomScaleNormal="55" zoomScaleSheetLayoutView="55" zoomScalePageLayoutView="70" workbookViewId="0">
      <selection activeCell="G14" sqref="G14"/>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21</v>
      </c>
      <c r="D4" s="165" t="str">
        <f>+'Line &amp; frequency'!C1</f>
        <v>CHAINE 5</v>
      </c>
      <c r="E4" s="166"/>
      <c r="F4" s="166"/>
      <c r="G4" s="31" t="str">
        <f>+'Line &amp; frequency'!C2</f>
        <v>HEBDOMADAIRE</v>
      </c>
    </row>
    <row r="5" spans="2:7" ht="39" customHeight="1" thickBot="1" x14ac:dyDescent="0.3">
      <c r="B5" s="167" t="s">
        <v>170</v>
      </c>
      <c r="C5" s="168"/>
      <c r="D5" s="169" t="s">
        <v>684</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40.5" x14ac:dyDescent="0.25">
      <c r="B8" s="5">
        <v>1</v>
      </c>
      <c r="C8" s="16" t="s">
        <v>256</v>
      </c>
      <c r="D8" s="21"/>
      <c r="E8" s="19"/>
      <c r="F8" s="20"/>
      <c r="G8" s="32"/>
    </row>
    <row r="9" spans="2:7" s="4" customFormat="1" ht="40.5" x14ac:dyDescent="0.25">
      <c r="B9" s="6">
        <f>B8+1</f>
        <v>2</v>
      </c>
      <c r="C9" s="36" t="s">
        <v>257</v>
      </c>
      <c r="D9" s="21"/>
      <c r="E9" s="19"/>
      <c r="F9" s="20"/>
      <c r="G9" s="32"/>
    </row>
    <row r="10" spans="2:7" s="4" customFormat="1" ht="40.5" x14ac:dyDescent="0.25">
      <c r="B10" s="35">
        <f>+B9+1</f>
        <v>3</v>
      </c>
      <c r="C10" s="36" t="s">
        <v>258</v>
      </c>
      <c r="D10" s="21"/>
      <c r="E10" s="19"/>
      <c r="F10" s="20"/>
      <c r="G10" s="32"/>
    </row>
    <row r="11" spans="2:7" s="4" customFormat="1" ht="40.5" x14ac:dyDescent="0.25">
      <c r="B11" s="6">
        <f>B10+1</f>
        <v>4</v>
      </c>
      <c r="C11" s="36" t="s">
        <v>259</v>
      </c>
      <c r="D11" s="21"/>
      <c r="E11" s="19"/>
      <c r="F11" s="20"/>
      <c r="G11" s="32"/>
    </row>
    <row r="12" spans="2:7" s="4" customFormat="1" ht="40.5" x14ac:dyDescent="0.25">
      <c r="B12" s="35">
        <v>5</v>
      </c>
      <c r="C12" s="36" t="s">
        <v>625</v>
      </c>
      <c r="D12" s="21"/>
      <c r="E12" s="19"/>
      <c r="F12" s="20"/>
      <c r="G12" s="32"/>
    </row>
    <row r="13" spans="2:7" s="4" customFormat="1" ht="40.5" x14ac:dyDescent="0.25">
      <c r="B13" s="6">
        <f>B12+1</f>
        <v>6</v>
      </c>
      <c r="C13" s="36" t="s">
        <v>262</v>
      </c>
      <c r="D13" s="21"/>
      <c r="E13" s="19"/>
      <c r="F13" s="20"/>
      <c r="G13" s="32"/>
    </row>
    <row r="14" spans="2:7" s="4" customFormat="1" ht="40.5" x14ac:dyDescent="0.25">
      <c r="B14" s="35">
        <f>+B13+1</f>
        <v>7</v>
      </c>
      <c r="C14" s="36" t="s">
        <v>263</v>
      </c>
      <c r="D14" s="21"/>
      <c r="E14" s="19"/>
      <c r="F14" s="20"/>
      <c r="G14" s="32"/>
    </row>
    <row r="15" spans="2:7" s="4" customFormat="1" ht="60.75" x14ac:dyDescent="0.25">
      <c r="B15" s="6">
        <f>B14+1</f>
        <v>8</v>
      </c>
      <c r="C15" s="36" t="s">
        <v>264</v>
      </c>
      <c r="D15" s="21"/>
      <c r="E15" s="19"/>
      <c r="F15" s="20"/>
      <c r="G15" s="32"/>
    </row>
    <row r="16" spans="2:7" s="4" customFormat="1" ht="40.5" x14ac:dyDescent="0.25">
      <c r="B16" s="35">
        <f>+B15+1</f>
        <v>9</v>
      </c>
      <c r="C16" s="36" t="s">
        <v>289</v>
      </c>
      <c r="D16" s="21"/>
      <c r="E16" s="19"/>
      <c r="F16" s="20"/>
      <c r="G16" s="32"/>
    </row>
    <row r="17" spans="2:7" s="4" customFormat="1" ht="40.5" x14ac:dyDescent="0.25">
      <c r="B17" s="6">
        <f>B16+1</f>
        <v>10</v>
      </c>
      <c r="C17" s="36" t="s">
        <v>290</v>
      </c>
      <c r="D17" s="21"/>
      <c r="E17" s="19"/>
      <c r="F17" s="20"/>
      <c r="G17" s="32"/>
    </row>
    <row r="18" spans="2:7" s="4" customFormat="1" ht="60.75" x14ac:dyDescent="0.25">
      <c r="B18" s="35">
        <f>+B17+1</f>
        <v>11</v>
      </c>
      <c r="C18" s="36" t="s">
        <v>127</v>
      </c>
      <c r="D18" s="21"/>
      <c r="E18" s="19"/>
      <c r="F18" s="20"/>
      <c r="G18" s="32"/>
    </row>
    <row r="19" spans="2:7" s="4" customFormat="1" ht="60.75" x14ac:dyDescent="0.25">
      <c r="B19" s="6">
        <f>B18+1</f>
        <v>12</v>
      </c>
      <c r="C19" s="36" t="s">
        <v>128</v>
      </c>
      <c r="D19" s="21"/>
      <c r="E19" s="19"/>
      <c r="F19" s="20"/>
      <c r="G19" s="32"/>
    </row>
    <row r="20" spans="2:7" s="4" customFormat="1" ht="40.5" x14ac:dyDescent="0.25">
      <c r="B20" s="35">
        <f>+B19+1</f>
        <v>13</v>
      </c>
      <c r="C20" s="36" t="s">
        <v>129</v>
      </c>
      <c r="D20" s="21"/>
      <c r="E20" s="19"/>
      <c r="F20" s="20"/>
      <c r="G20" s="32"/>
    </row>
    <row r="21" spans="2:7" s="4" customFormat="1" ht="40.5" x14ac:dyDescent="0.25">
      <c r="B21" s="6">
        <f>B20+1</f>
        <v>14</v>
      </c>
      <c r="C21" s="36" t="s">
        <v>130</v>
      </c>
      <c r="D21" s="21"/>
      <c r="E21" s="19"/>
      <c r="F21" s="20"/>
      <c r="G21" s="32"/>
    </row>
    <row r="22" spans="2:7" s="4" customFormat="1" ht="40.5" x14ac:dyDescent="0.25">
      <c r="B22" s="35">
        <f>+B21+1</f>
        <v>15</v>
      </c>
      <c r="C22" s="36" t="s">
        <v>131</v>
      </c>
      <c r="D22" s="21"/>
      <c r="E22" s="19"/>
      <c r="F22" s="20"/>
      <c r="G22" s="32"/>
    </row>
    <row r="23" spans="2:7" s="4" customFormat="1" ht="60.75" x14ac:dyDescent="0.25">
      <c r="B23" s="6">
        <f>B22+1</f>
        <v>16</v>
      </c>
      <c r="C23" s="36" t="s">
        <v>132</v>
      </c>
      <c r="D23" s="21"/>
      <c r="E23" s="19"/>
      <c r="F23" s="20"/>
      <c r="G23" s="32"/>
    </row>
    <row r="24" spans="2:7" s="4" customFormat="1" ht="60.75" x14ac:dyDescent="0.25">
      <c r="B24" s="35">
        <f>+B23+1</f>
        <v>17</v>
      </c>
      <c r="C24" s="36" t="s">
        <v>133</v>
      </c>
      <c r="D24" s="21"/>
      <c r="E24" s="19"/>
      <c r="F24" s="20"/>
      <c r="G24" s="32"/>
    </row>
    <row r="25" spans="2:7" s="4" customFormat="1" ht="40.5" x14ac:dyDescent="0.25">
      <c r="B25" s="6">
        <f>B24+1</f>
        <v>18</v>
      </c>
      <c r="C25" s="36" t="s">
        <v>134</v>
      </c>
      <c r="D25" s="21"/>
      <c r="E25" s="19"/>
      <c r="F25" s="20"/>
      <c r="G25" s="32"/>
    </row>
    <row r="26" spans="2:7" s="4" customFormat="1" ht="40.5" x14ac:dyDescent="0.25">
      <c r="B26" s="35">
        <f>+B25+1</f>
        <v>19</v>
      </c>
      <c r="C26" s="36" t="s">
        <v>342</v>
      </c>
      <c r="D26" s="21"/>
      <c r="E26" s="19"/>
      <c r="F26" s="20"/>
      <c r="G26" s="32"/>
    </row>
    <row r="27" spans="2:7" s="4" customFormat="1" ht="40.5" x14ac:dyDescent="0.25">
      <c r="B27" s="6">
        <f>B26+1</f>
        <v>20</v>
      </c>
      <c r="C27" s="36" t="s">
        <v>343</v>
      </c>
      <c r="D27" s="21"/>
      <c r="E27" s="19"/>
      <c r="F27" s="20"/>
      <c r="G27" s="32"/>
    </row>
    <row r="28" spans="2:7" s="4" customFormat="1" ht="40.5" x14ac:dyDescent="0.25">
      <c r="B28" s="35">
        <f>+B27+1</f>
        <v>21</v>
      </c>
      <c r="C28" s="36" t="s">
        <v>344</v>
      </c>
      <c r="D28" s="21"/>
      <c r="E28" s="19"/>
      <c r="F28" s="20"/>
      <c r="G28" s="32"/>
    </row>
    <row r="29" spans="2:7" s="4" customFormat="1" ht="40.5" x14ac:dyDescent="0.25">
      <c r="B29" s="6">
        <f>B28+1</f>
        <v>22</v>
      </c>
      <c r="C29" s="36" t="s">
        <v>345</v>
      </c>
      <c r="D29" s="21"/>
      <c r="E29" s="19"/>
      <c r="F29" s="20"/>
      <c r="G29" s="32"/>
    </row>
    <row r="30" spans="2:7" s="4" customFormat="1" ht="40.5" x14ac:dyDescent="0.25">
      <c r="B30" s="35">
        <f>+B29+1</f>
        <v>23</v>
      </c>
      <c r="C30" s="36" t="s">
        <v>346</v>
      </c>
      <c r="D30" s="21"/>
      <c r="E30" s="19"/>
      <c r="F30" s="20"/>
      <c r="G30" s="32"/>
    </row>
    <row r="31" spans="2:7" s="4" customFormat="1" ht="40.5" x14ac:dyDescent="0.25">
      <c r="B31" s="6">
        <f>B30+1</f>
        <v>24</v>
      </c>
      <c r="C31" s="36" t="s">
        <v>161</v>
      </c>
      <c r="D31" s="21"/>
      <c r="E31" s="19"/>
      <c r="F31" s="20"/>
      <c r="G31" s="32"/>
    </row>
    <row r="32" spans="2:7" s="4" customFormat="1" ht="40.5" x14ac:dyDescent="0.25">
      <c r="B32" s="35">
        <f>+B31+1</f>
        <v>25</v>
      </c>
      <c r="C32" s="36" t="s">
        <v>135</v>
      </c>
      <c r="D32" s="21"/>
      <c r="E32" s="19"/>
      <c r="F32" s="20"/>
      <c r="G32" s="32"/>
    </row>
    <row r="33" spans="2:7" s="4" customFormat="1" ht="60.75" x14ac:dyDescent="0.25">
      <c r="B33" s="6">
        <f>B32+1</f>
        <v>26</v>
      </c>
      <c r="C33" s="36" t="s">
        <v>347</v>
      </c>
      <c r="D33" s="21"/>
      <c r="E33" s="19"/>
      <c r="F33" s="20"/>
      <c r="G33" s="32"/>
    </row>
    <row r="34" spans="2:7" s="4" customFormat="1" ht="60.75" x14ac:dyDescent="0.25">
      <c r="B34" s="35">
        <f>+B33+1</f>
        <v>27</v>
      </c>
      <c r="C34" s="36" t="s">
        <v>348</v>
      </c>
      <c r="D34" s="21"/>
      <c r="E34" s="19"/>
      <c r="F34" s="20"/>
      <c r="G34" s="32"/>
    </row>
    <row r="35" spans="2:7" s="4" customFormat="1" ht="40.5" x14ac:dyDescent="0.25">
      <c r="B35" s="6">
        <f>B34+1</f>
        <v>28</v>
      </c>
      <c r="C35" s="36" t="s">
        <v>136</v>
      </c>
      <c r="D35" s="21"/>
      <c r="E35" s="19"/>
      <c r="F35" s="20"/>
      <c r="G35" s="32"/>
    </row>
    <row r="36" spans="2:7" s="4" customFormat="1" ht="40.5" x14ac:dyDescent="0.25">
      <c r="B36" s="35">
        <f>+B35+1</f>
        <v>29</v>
      </c>
      <c r="C36" s="36" t="s">
        <v>349</v>
      </c>
      <c r="D36" s="21"/>
      <c r="E36" s="19"/>
      <c r="F36" s="20"/>
      <c r="G36" s="32"/>
    </row>
    <row r="37" spans="2:7" s="4" customFormat="1" ht="60.75" x14ac:dyDescent="0.25">
      <c r="B37" s="6">
        <f>B36+1</f>
        <v>30</v>
      </c>
      <c r="C37" s="36" t="s">
        <v>350</v>
      </c>
      <c r="D37" s="21"/>
      <c r="E37" s="19"/>
      <c r="F37" s="20"/>
      <c r="G37" s="32"/>
    </row>
    <row r="38" spans="2:7" s="4" customFormat="1" ht="81" x14ac:dyDescent="0.25">
      <c r="B38" s="35">
        <f>+B37+1</f>
        <v>31</v>
      </c>
      <c r="C38" s="36" t="s">
        <v>351</v>
      </c>
      <c r="D38" s="21"/>
      <c r="E38" s="19"/>
      <c r="F38" s="20"/>
      <c r="G38" s="32"/>
    </row>
    <row r="39" spans="2:7" s="4" customFormat="1" ht="60.75" x14ac:dyDescent="0.25">
      <c r="B39" s="6">
        <f>B38+1</f>
        <v>32</v>
      </c>
      <c r="C39" s="36" t="s">
        <v>352</v>
      </c>
      <c r="D39" s="21"/>
      <c r="E39" s="19"/>
      <c r="F39" s="20"/>
      <c r="G39" s="32"/>
    </row>
    <row r="40" spans="2:7" s="4" customFormat="1" ht="40.5" x14ac:dyDescent="0.25">
      <c r="B40" s="35">
        <f>+B39+1</f>
        <v>33</v>
      </c>
      <c r="C40" s="36" t="s">
        <v>353</v>
      </c>
      <c r="D40" s="21"/>
      <c r="E40" s="19"/>
      <c r="F40" s="20"/>
      <c r="G40" s="32"/>
    </row>
    <row r="41" spans="2:7" s="4" customFormat="1" ht="40.5" x14ac:dyDescent="0.25">
      <c r="B41" s="6">
        <f>B40+1</f>
        <v>34</v>
      </c>
      <c r="C41" s="36" t="s">
        <v>28</v>
      </c>
      <c r="D41" s="21"/>
      <c r="E41" s="19"/>
      <c r="F41" s="20"/>
      <c r="G41" s="32"/>
    </row>
    <row r="42" spans="2:7" s="4" customFormat="1" ht="40.5" x14ac:dyDescent="0.25">
      <c r="B42" s="35">
        <f>+B41+1</f>
        <v>35</v>
      </c>
      <c r="C42" s="36" t="s">
        <v>354</v>
      </c>
      <c r="D42" s="21"/>
      <c r="E42" s="19"/>
      <c r="F42" s="20"/>
      <c r="G42" s="32"/>
    </row>
    <row r="43" spans="2:7" s="4" customFormat="1" ht="20.25" x14ac:dyDescent="0.25">
      <c r="B43" s="6">
        <f>B42+1</f>
        <v>36</v>
      </c>
      <c r="C43" s="17" t="s">
        <v>176</v>
      </c>
      <c r="D43" s="21"/>
      <c r="E43" s="19"/>
      <c r="F43" s="20"/>
      <c r="G43" s="32"/>
    </row>
    <row r="44" spans="2:7" s="4" customFormat="1" ht="40.5" x14ac:dyDescent="0.25">
      <c r="B44" s="35">
        <f>+B43+1</f>
        <v>37</v>
      </c>
      <c r="C44" s="17" t="s">
        <v>181</v>
      </c>
      <c r="D44" s="21"/>
      <c r="E44" s="19"/>
      <c r="F44" s="20"/>
      <c r="G44" s="32"/>
    </row>
    <row r="45" spans="2:7" s="4" customFormat="1" ht="66" customHeight="1" x14ac:dyDescent="0.25">
      <c r="B45" s="6">
        <f>B44+1</f>
        <v>38</v>
      </c>
      <c r="C45" s="36" t="s">
        <v>507</v>
      </c>
      <c r="D45" s="21"/>
      <c r="E45" s="19"/>
      <c r="F45" s="20"/>
      <c r="G45" s="32"/>
    </row>
    <row r="46" spans="2:7" s="4" customFormat="1" ht="57" customHeight="1" x14ac:dyDescent="0.25">
      <c r="B46" s="35">
        <f>+B45+1</f>
        <v>39</v>
      </c>
      <c r="C46" s="36" t="s">
        <v>623</v>
      </c>
      <c r="D46" s="21"/>
      <c r="E46" s="19"/>
      <c r="F46" s="20"/>
      <c r="G46" s="32"/>
    </row>
    <row r="47" spans="2:7" s="4" customFormat="1" ht="41.25" thickBot="1" x14ac:dyDescent="0.3">
      <c r="B47" s="6">
        <f>B46+1</f>
        <v>40</v>
      </c>
      <c r="C47" s="36" t="s">
        <v>706</v>
      </c>
      <c r="D47" s="21"/>
      <c r="E47" s="19"/>
      <c r="F47" s="20"/>
      <c r="G47" s="32"/>
    </row>
    <row r="48" spans="2:7" ht="18.75" thickBot="1" x14ac:dyDescent="0.3">
      <c r="B48" s="245" t="s">
        <v>13</v>
      </c>
      <c r="C48" s="246"/>
      <c r="D48" s="175" t="s">
        <v>7</v>
      </c>
      <c r="E48" s="176"/>
      <c r="F48" s="177"/>
      <c r="G48" s="24" t="s">
        <v>8</v>
      </c>
    </row>
    <row r="49" spans="2:7" x14ac:dyDescent="0.25">
      <c r="B49" s="153"/>
      <c r="C49" s="154"/>
      <c r="D49" s="154"/>
      <c r="E49" s="154"/>
      <c r="F49" s="154"/>
      <c r="G49" s="159"/>
    </row>
    <row r="50" spans="2:7" x14ac:dyDescent="0.25">
      <c r="B50" s="155"/>
      <c r="C50" s="156"/>
      <c r="D50" s="156"/>
      <c r="E50" s="156"/>
      <c r="F50" s="156"/>
      <c r="G50" s="160"/>
    </row>
    <row r="51" spans="2:7" x14ac:dyDescent="0.25">
      <c r="B51" s="155"/>
      <c r="C51" s="156"/>
      <c r="D51" s="156"/>
      <c r="E51" s="156"/>
      <c r="F51" s="156"/>
      <c r="G51" s="160"/>
    </row>
    <row r="52" spans="2:7" x14ac:dyDescent="0.25">
      <c r="B52" s="155"/>
      <c r="C52" s="156"/>
      <c r="D52" s="156"/>
      <c r="E52" s="156"/>
      <c r="F52" s="156"/>
      <c r="G52" s="160"/>
    </row>
    <row r="53" spans="2:7" ht="15.75" thickBot="1" x14ac:dyDescent="0.3">
      <c r="B53" s="157"/>
      <c r="C53" s="158"/>
      <c r="D53" s="158"/>
      <c r="E53" s="158"/>
      <c r="F53" s="158"/>
      <c r="G53" s="161"/>
    </row>
  </sheetData>
  <sheetProtection selectLockedCells="1"/>
  <mergeCells count="10">
    <mergeCell ref="B49:C53"/>
    <mergeCell ref="D49:F53"/>
    <mergeCell ref="G49:G53"/>
    <mergeCell ref="B3:F3"/>
    <mergeCell ref="D4:F4"/>
    <mergeCell ref="E6:F6"/>
    <mergeCell ref="B48:C48"/>
    <mergeCell ref="D48:F48"/>
    <mergeCell ref="B5:C5"/>
    <mergeCell ref="D5:G5"/>
  </mergeCells>
  <conditionalFormatting sqref="D8:D47">
    <cfRule type="cellIs" dxfId="87" priority="3" operator="equal">
      <formula>3</formula>
    </cfRule>
    <cfRule type="cellIs" dxfId="86" priority="4" operator="equal">
      <formula>4</formula>
    </cfRule>
  </conditionalFormatting>
  <printOptions horizontalCentered="1"/>
  <pageMargins left="0.15748031496062992" right="7.874015748031496E-2" top="0.19685039370078741" bottom="0.15748031496062992" header="0.31496062992125984" footer="0.31496062992125984"/>
  <pageSetup paperSize="9" scale="56" fitToHeight="2" orientation="portrait" r:id="rId1"/>
  <rowBreaks count="1" manualBreakCount="1">
    <brk id="33" min="1" max="6"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tabColor theme="0" tint="-0.14999847407452621"/>
  </sheetPr>
  <dimension ref="B1:G27"/>
  <sheetViews>
    <sheetView view="pageBreakPreview" zoomScale="55" zoomScaleNormal="55" zoomScaleSheetLayoutView="55" zoomScalePageLayoutView="70" workbookViewId="0">
      <selection activeCell="G3" sqref="G3"/>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21</v>
      </c>
      <c r="D4" s="165" t="str">
        <f>+'Line &amp; frequency'!C1</f>
        <v>CHAINE 5</v>
      </c>
      <c r="E4" s="166"/>
      <c r="F4" s="166"/>
      <c r="G4" s="31" t="s">
        <v>496</v>
      </c>
    </row>
    <row r="5" spans="2:7" ht="39" customHeight="1" thickBot="1" x14ac:dyDescent="0.3">
      <c r="B5" s="167" t="s">
        <v>170</v>
      </c>
      <c r="C5" s="168"/>
      <c r="D5" s="169" t="s">
        <v>707</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43.5" customHeight="1" x14ac:dyDescent="0.25">
      <c r="B8" s="5">
        <v>1</v>
      </c>
      <c r="C8" s="36" t="s">
        <v>288</v>
      </c>
      <c r="D8" s="21"/>
      <c r="E8" s="19"/>
      <c r="F8" s="20"/>
      <c r="G8" s="32"/>
    </row>
    <row r="9" spans="2:7" s="4" customFormat="1" ht="43.5" customHeight="1" thickBot="1" x14ac:dyDescent="0.3">
      <c r="B9" s="6">
        <f>B8+1</f>
        <v>2</v>
      </c>
      <c r="C9" s="36" t="s">
        <v>610</v>
      </c>
      <c r="D9" s="21"/>
      <c r="E9" s="19"/>
      <c r="F9" s="20"/>
      <c r="G9" s="32"/>
    </row>
    <row r="10" spans="2:7" s="4" customFormat="1" ht="43.5" customHeight="1" x14ac:dyDescent="0.25">
      <c r="B10" s="5">
        <v>3</v>
      </c>
      <c r="C10" s="36" t="s">
        <v>263</v>
      </c>
      <c r="D10" s="21"/>
      <c r="E10" s="19"/>
      <c r="F10" s="20"/>
      <c r="G10" s="119"/>
    </row>
    <row r="11" spans="2:7" s="4" customFormat="1" ht="43.5" customHeight="1" x14ac:dyDescent="0.25">
      <c r="B11" s="35">
        <v>4</v>
      </c>
      <c r="C11" s="36" t="s">
        <v>289</v>
      </c>
      <c r="D11" s="21"/>
      <c r="E11" s="19"/>
      <c r="F11" s="20"/>
      <c r="G11" s="36"/>
    </row>
    <row r="12" spans="2:7" s="4" customFormat="1" ht="43.5" customHeight="1" x14ac:dyDescent="0.25">
      <c r="B12" s="6">
        <f>B11+1</f>
        <v>5</v>
      </c>
      <c r="C12" s="36" t="s">
        <v>626</v>
      </c>
      <c r="D12" s="21"/>
      <c r="E12" s="19"/>
      <c r="F12" s="20"/>
      <c r="G12" s="32"/>
    </row>
    <row r="13" spans="2:7" s="4" customFormat="1" ht="43.5" customHeight="1" x14ac:dyDescent="0.25">
      <c r="B13" s="6">
        <v>6</v>
      </c>
      <c r="C13" s="36" t="s">
        <v>627</v>
      </c>
      <c r="D13" s="21"/>
      <c r="E13" s="19"/>
      <c r="F13" s="20"/>
      <c r="G13" s="32"/>
    </row>
    <row r="14" spans="2:7" s="4" customFormat="1" ht="43.5" customHeight="1" x14ac:dyDescent="0.25">
      <c r="B14" s="35">
        <v>7</v>
      </c>
      <c r="C14" s="36" t="s">
        <v>611</v>
      </c>
      <c r="D14" s="21"/>
      <c r="E14" s="19"/>
      <c r="F14" s="20"/>
      <c r="G14" s="32"/>
    </row>
    <row r="15" spans="2:7" s="4" customFormat="1" ht="84.75" customHeight="1" x14ac:dyDescent="0.25">
      <c r="B15" s="6">
        <f>B14+1</f>
        <v>8</v>
      </c>
      <c r="C15" s="36" t="s">
        <v>628</v>
      </c>
      <c r="D15" s="21"/>
      <c r="E15" s="19"/>
      <c r="F15" s="20"/>
      <c r="G15" s="32"/>
    </row>
    <row r="16" spans="2:7" s="4" customFormat="1" ht="81.75" customHeight="1" x14ac:dyDescent="0.25">
      <c r="B16" s="35">
        <v>9</v>
      </c>
      <c r="C16" s="36" t="s">
        <v>629</v>
      </c>
      <c r="D16" s="21"/>
      <c r="E16" s="19"/>
      <c r="F16" s="20"/>
      <c r="G16" s="32"/>
    </row>
    <row r="17" spans="2:7" s="4" customFormat="1" ht="43.5" customHeight="1" x14ac:dyDescent="0.25">
      <c r="B17" s="6">
        <f>B16+1</f>
        <v>10</v>
      </c>
      <c r="C17" s="36" t="s">
        <v>630</v>
      </c>
      <c r="D17" s="21"/>
      <c r="E17" s="19"/>
      <c r="F17" s="20"/>
      <c r="G17" s="32"/>
    </row>
    <row r="18" spans="2:7" s="4" customFormat="1" ht="43.5" customHeight="1" x14ac:dyDescent="0.25">
      <c r="B18" s="35">
        <v>11</v>
      </c>
      <c r="C18" s="36" t="s">
        <v>631</v>
      </c>
      <c r="D18" s="21"/>
      <c r="E18" s="19"/>
      <c r="F18" s="20"/>
      <c r="G18" s="32"/>
    </row>
    <row r="19" spans="2:7" s="4" customFormat="1" ht="65.25" customHeight="1" x14ac:dyDescent="0.25">
      <c r="B19" s="6">
        <f>B18+1</f>
        <v>12</v>
      </c>
      <c r="C19" s="36" t="s">
        <v>612</v>
      </c>
      <c r="D19" s="21"/>
      <c r="E19" s="19"/>
      <c r="F19" s="20"/>
      <c r="G19" s="32"/>
    </row>
    <row r="20" spans="2:7" s="4" customFormat="1" ht="43.5" customHeight="1" x14ac:dyDescent="0.25">
      <c r="B20" s="35">
        <v>13</v>
      </c>
      <c r="C20" s="36" t="s">
        <v>613</v>
      </c>
      <c r="D20" s="21"/>
      <c r="E20" s="19"/>
      <c r="F20" s="20"/>
      <c r="G20" s="32"/>
    </row>
    <row r="21" spans="2:7" s="4" customFormat="1" ht="21" thickBot="1" x14ac:dyDescent="0.3">
      <c r="B21" s="6">
        <v>14</v>
      </c>
      <c r="C21" s="36"/>
      <c r="D21" s="21"/>
      <c r="E21" s="19"/>
      <c r="F21" s="20"/>
      <c r="G21" s="32"/>
    </row>
    <row r="22" spans="2:7" ht="18.75" thickBot="1" x14ac:dyDescent="0.3">
      <c r="B22" s="245" t="s">
        <v>13</v>
      </c>
      <c r="C22" s="246"/>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15.75" thickBot="1" x14ac:dyDescent="0.3">
      <c r="B27" s="157"/>
      <c r="C27" s="158"/>
      <c r="D27" s="158"/>
      <c r="E27" s="158"/>
      <c r="F27" s="158"/>
      <c r="G27" s="161"/>
    </row>
  </sheetData>
  <sheetProtection selectLockedCells="1"/>
  <mergeCells count="10">
    <mergeCell ref="B23:C27"/>
    <mergeCell ref="D23:F27"/>
    <mergeCell ref="G23:G27"/>
    <mergeCell ref="B3:F3"/>
    <mergeCell ref="D4:F4"/>
    <mergeCell ref="B5:C5"/>
    <mergeCell ref="D5:G5"/>
    <mergeCell ref="E6:F6"/>
    <mergeCell ref="B22:C22"/>
    <mergeCell ref="D22:F22"/>
  </mergeCells>
  <conditionalFormatting sqref="D8:D21">
    <cfRule type="cellIs" dxfId="85" priority="1" operator="equal">
      <formula>3</formula>
    </cfRule>
    <cfRule type="cellIs" dxfId="84" priority="2" operator="equal">
      <formula>4</formula>
    </cfRule>
  </conditionalFormatting>
  <printOptions horizontalCentered="1"/>
  <pageMargins left="0.15748031496062992" right="7.874015748031496E-2" top="0.19685039370078741" bottom="0.15748031496062992" header="0.31496062992125984" footer="0.31496062992125984"/>
  <pageSetup paperSize="9" scale="57" fitToHeight="2"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3">
    <tabColor theme="0" tint="-0.14999847407452621"/>
  </sheetPr>
  <dimension ref="B1:G24"/>
  <sheetViews>
    <sheetView view="pageBreakPreview" zoomScale="55" zoomScaleNormal="55" zoomScaleSheetLayoutView="55" zoomScalePageLayoutView="70" workbookViewId="0">
      <selection activeCell="G3" sqref="G3"/>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21</v>
      </c>
      <c r="D4" s="165" t="str">
        <f>+'Line &amp; frequency'!C1</f>
        <v>CHAINE 5</v>
      </c>
      <c r="E4" s="166"/>
      <c r="F4" s="166"/>
      <c r="G4" s="31" t="s">
        <v>529</v>
      </c>
    </row>
    <row r="5" spans="2:7" ht="39" customHeight="1" thickBot="1" x14ac:dyDescent="0.3">
      <c r="B5" s="167" t="s">
        <v>170</v>
      </c>
      <c r="C5" s="168"/>
      <c r="D5" s="169" t="s">
        <v>443</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50.25" customHeight="1" x14ac:dyDescent="0.25">
      <c r="B8" s="5">
        <v>1</v>
      </c>
      <c r="C8" s="36" t="s">
        <v>533</v>
      </c>
      <c r="D8" s="21"/>
      <c r="E8" s="19"/>
      <c r="F8" s="20"/>
      <c r="G8" s="32"/>
    </row>
    <row r="9" spans="2:7" s="4" customFormat="1" ht="50.25" customHeight="1" x14ac:dyDescent="0.25">
      <c r="B9" s="6">
        <f>B8+1</f>
        <v>2</v>
      </c>
      <c r="C9" s="36" t="s">
        <v>534</v>
      </c>
      <c r="D9" s="21"/>
      <c r="E9" s="19"/>
      <c r="F9" s="20"/>
      <c r="G9" s="32"/>
    </row>
    <row r="10" spans="2:7" s="4" customFormat="1" ht="50.25" customHeight="1" x14ac:dyDescent="0.25">
      <c r="B10" s="35">
        <f>+B9+1</f>
        <v>3</v>
      </c>
      <c r="C10" s="36" t="s">
        <v>530</v>
      </c>
      <c r="D10" s="21"/>
      <c r="E10" s="19"/>
      <c r="F10" s="20"/>
      <c r="G10" s="32"/>
    </row>
    <row r="11" spans="2:7" s="4" customFormat="1" ht="50.25" customHeight="1" x14ac:dyDescent="0.25">
      <c r="B11" s="6">
        <f>B10+1</f>
        <v>4</v>
      </c>
      <c r="C11" s="36" t="s">
        <v>535</v>
      </c>
      <c r="D11" s="21"/>
      <c r="E11" s="19"/>
      <c r="F11" s="20"/>
      <c r="G11" s="32"/>
    </row>
    <row r="12" spans="2:7" s="4" customFormat="1" ht="50.25" customHeight="1" x14ac:dyDescent="0.25">
      <c r="B12" s="35">
        <f>+B11+1</f>
        <v>5</v>
      </c>
      <c r="C12" s="36" t="s">
        <v>536</v>
      </c>
      <c r="D12" s="21"/>
      <c r="E12" s="19"/>
      <c r="F12" s="20"/>
      <c r="G12" s="32"/>
    </row>
    <row r="13" spans="2:7" s="4" customFormat="1" ht="50.25" customHeight="1" x14ac:dyDescent="0.25">
      <c r="B13" s="6">
        <f>B12+1</f>
        <v>6</v>
      </c>
      <c r="C13" s="36" t="s">
        <v>537</v>
      </c>
      <c r="D13" s="21"/>
      <c r="E13" s="19"/>
      <c r="F13" s="20"/>
      <c r="G13" s="32"/>
    </row>
    <row r="14" spans="2:7" s="4" customFormat="1" ht="40.5" customHeight="1" x14ac:dyDescent="0.25">
      <c r="B14" s="35">
        <f>+B13+1</f>
        <v>7</v>
      </c>
      <c r="C14" s="36" t="s">
        <v>531</v>
      </c>
      <c r="D14" s="21"/>
      <c r="E14" s="19"/>
      <c r="F14" s="20"/>
      <c r="G14" s="32"/>
    </row>
    <row r="15" spans="2:7" s="4" customFormat="1" ht="40.5" x14ac:dyDescent="0.25">
      <c r="B15" s="6">
        <f>B14+1</f>
        <v>8</v>
      </c>
      <c r="C15" s="36" t="s">
        <v>538</v>
      </c>
      <c r="D15" s="21"/>
      <c r="E15" s="19"/>
      <c r="F15" s="20"/>
      <c r="G15" s="32"/>
    </row>
    <row r="16" spans="2:7" s="4" customFormat="1" ht="40.5" x14ac:dyDescent="0.25">
      <c r="B16" s="35">
        <f>+B15+1</f>
        <v>9</v>
      </c>
      <c r="C16" s="36" t="s">
        <v>532</v>
      </c>
      <c r="D16" s="21"/>
      <c r="E16" s="19"/>
      <c r="F16" s="20"/>
      <c r="G16" s="32"/>
    </row>
    <row r="17" spans="2:7" s="4" customFormat="1" ht="20.25" x14ac:dyDescent="0.25">
      <c r="B17" s="6">
        <f>B16+1</f>
        <v>10</v>
      </c>
      <c r="C17" s="36"/>
      <c r="D17" s="21"/>
      <c r="E17" s="19"/>
      <c r="F17" s="20"/>
      <c r="G17" s="32"/>
    </row>
    <row r="18" spans="2:7" s="4" customFormat="1" ht="21" thickBot="1" x14ac:dyDescent="0.3">
      <c r="B18" s="35">
        <f>+B17+1</f>
        <v>11</v>
      </c>
      <c r="C18" s="36"/>
      <c r="D18" s="21"/>
      <c r="E18" s="19"/>
      <c r="F18" s="20"/>
      <c r="G18" s="32"/>
    </row>
    <row r="19" spans="2:7" ht="18.75" thickBot="1" x14ac:dyDescent="0.3">
      <c r="B19" s="245" t="s">
        <v>13</v>
      </c>
      <c r="C19" s="246"/>
      <c r="D19" s="175" t="s">
        <v>7</v>
      </c>
      <c r="E19" s="176"/>
      <c r="F19" s="177"/>
      <c r="G19" s="24" t="s">
        <v>8</v>
      </c>
    </row>
    <row r="20" spans="2:7" x14ac:dyDescent="0.25">
      <c r="B20" s="153"/>
      <c r="C20" s="154"/>
      <c r="D20" s="154"/>
      <c r="E20" s="154"/>
      <c r="F20" s="154"/>
      <c r="G20" s="159"/>
    </row>
    <row r="21" spans="2:7" x14ac:dyDescent="0.25">
      <c r="B21" s="155"/>
      <c r="C21" s="156"/>
      <c r="D21" s="156"/>
      <c r="E21" s="156"/>
      <c r="F21" s="156"/>
      <c r="G21" s="160"/>
    </row>
    <row r="22" spans="2:7" x14ac:dyDescent="0.25">
      <c r="B22" s="155"/>
      <c r="C22" s="156"/>
      <c r="D22" s="156"/>
      <c r="E22" s="156"/>
      <c r="F22" s="156"/>
      <c r="G22" s="160"/>
    </row>
    <row r="23" spans="2:7" x14ac:dyDescent="0.25">
      <c r="B23" s="155"/>
      <c r="C23" s="156"/>
      <c r="D23" s="156"/>
      <c r="E23" s="156"/>
      <c r="F23" s="156"/>
      <c r="G23" s="160"/>
    </row>
    <row r="24" spans="2:7" ht="15.75" thickBot="1" x14ac:dyDescent="0.3">
      <c r="B24" s="157"/>
      <c r="C24" s="158"/>
      <c r="D24" s="158"/>
      <c r="E24" s="158"/>
      <c r="F24" s="158"/>
      <c r="G24" s="161"/>
    </row>
  </sheetData>
  <sheetProtection selectLockedCells="1"/>
  <mergeCells count="10">
    <mergeCell ref="B20:C24"/>
    <mergeCell ref="D20:F24"/>
    <mergeCell ref="G20:G24"/>
    <mergeCell ref="B3:F3"/>
    <mergeCell ref="D4:F4"/>
    <mergeCell ref="B5:C5"/>
    <mergeCell ref="D5:G5"/>
    <mergeCell ref="E6:F6"/>
    <mergeCell ref="B19:C19"/>
    <mergeCell ref="D19:F19"/>
  </mergeCells>
  <conditionalFormatting sqref="D8:D18">
    <cfRule type="cellIs" dxfId="83" priority="1" operator="equal">
      <formula>3</formula>
    </cfRule>
    <cfRule type="cellIs" dxfId="82" priority="2" operator="equal">
      <formula>4</formula>
    </cfRule>
  </conditionalFormatting>
  <printOptions horizontalCentered="1"/>
  <pageMargins left="0.15748031496062992" right="7.874015748031496E-2" top="0.19685039370078741" bottom="0.15748031496062992" header="0.31496062992125984" footer="0.31496062992125984"/>
  <pageSetup paperSize="9" scale="57" fitToHeight="2"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theme="0" tint="-0.14999847407452621"/>
    <pageSetUpPr fitToPage="1"/>
  </sheetPr>
  <dimension ref="B1:G54"/>
  <sheetViews>
    <sheetView view="pageBreakPreview" zoomScale="55" zoomScaleNormal="55" zoomScaleSheetLayoutView="55" zoomScalePageLayoutView="70" workbookViewId="0">
      <selection activeCell="G23" sqref="G23"/>
    </sheetView>
  </sheetViews>
  <sheetFormatPr baseColWidth="10" defaultColWidth="11.42578125" defaultRowHeight="15" x14ac:dyDescent="0.25"/>
  <cols>
    <col min="1" max="1" width="0.28515625" style="1" customWidth="1"/>
    <col min="2" max="2" width="5.85546875" style="1" bestFit="1" customWidth="1"/>
    <col min="3" max="3" width="82" style="1" customWidth="1"/>
    <col min="4" max="4" width="8" style="1" bestFit="1" customWidth="1"/>
    <col min="5" max="5" width="4.85546875" style="1" bestFit="1" customWidth="1"/>
    <col min="6" max="6" width="5.85546875" style="1" bestFit="1" customWidth="1"/>
    <col min="7" max="7" width="52.425781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239" t="s">
        <v>11</v>
      </c>
      <c r="C3" s="240"/>
      <c r="D3" s="240"/>
      <c r="E3" s="240"/>
      <c r="F3" s="241"/>
      <c r="G3" s="86" t="str">
        <f>Date!B2</f>
        <v>Week ... 2025</v>
      </c>
    </row>
    <row r="4" spans="2:7" ht="19.5" thickBot="1" x14ac:dyDescent="0.3">
      <c r="B4" s="87"/>
      <c r="C4" s="84" t="s">
        <v>12</v>
      </c>
      <c r="D4" s="171" t="str">
        <f>+'Line &amp; frequency'!C1</f>
        <v>CHAINE 5</v>
      </c>
      <c r="E4" s="242"/>
      <c r="F4" s="242"/>
      <c r="G4" s="88" t="str">
        <f>+'Line &amp; frequency'!C2</f>
        <v>HEBDOMADAIRE</v>
      </c>
    </row>
    <row r="5" spans="2:7" ht="27.75" customHeight="1" thickBot="1" x14ac:dyDescent="0.3">
      <c r="B5" s="221" t="s">
        <v>170</v>
      </c>
      <c r="C5" s="222"/>
      <c r="D5" s="221" t="s">
        <v>492</v>
      </c>
      <c r="E5" s="247"/>
      <c r="F5" s="247"/>
      <c r="G5" s="247"/>
    </row>
    <row r="6" spans="2:7" ht="20.25" customHeight="1" thickBot="1" x14ac:dyDescent="0.35">
      <c r="B6" s="89"/>
      <c r="C6" s="90" t="s">
        <v>167</v>
      </c>
      <c r="D6" s="89"/>
      <c r="E6" s="171" t="s">
        <v>0</v>
      </c>
      <c r="F6" s="172"/>
      <c r="G6" s="89"/>
    </row>
    <row r="7" spans="2:7" s="4" customFormat="1" ht="24" customHeight="1" thickBot="1" x14ac:dyDescent="0.3">
      <c r="B7" s="91" t="s">
        <v>1</v>
      </c>
      <c r="C7" s="92" t="s">
        <v>2</v>
      </c>
      <c r="D7" s="93" t="s">
        <v>3</v>
      </c>
      <c r="E7" s="85" t="s">
        <v>4</v>
      </c>
      <c r="F7" s="24" t="s">
        <v>5</v>
      </c>
      <c r="G7" s="94" t="s">
        <v>6</v>
      </c>
    </row>
    <row r="8" spans="2:7" s="4" customFormat="1" ht="40.5" x14ac:dyDescent="0.3">
      <c r="B8" s="35">
        <v>1</v>
      </c>
      <c r="C8" s="36" t="s">
        <v>258</v>
      </c>
      <c r="D8" s="21"/>
      <c r="E8" s="95"/>
      <c r="F8" s="96"/>
      <c r="G8" s="32"/>
    </row>
    <row r="9" spans="2:7" s="4" customFormat="1" ht="40.5" x14ac:dyDescent="0.3">
      <c r="B9" s="6">
        <f>B8+1</f>
        <v>2</v>
      </c>
      <c r="C9" s="36" t="s">
        <v>259</v>
      </c>
      <c r="D9" s="21"/>
      <c r="E9" s="95"/>
      <c r="F9" s="96"/>
      <c r="G9" s="32"/>
    </row>
    <row r="10" spans="2:7" s="4" customFormat="1" ht="40.5" x14ac:dyDescent="0.3">
      <c r="B10" s="35">
        <v>3</v>
      </c>
      <c r="C10" s="36" t="s">
        <v>288</v>
      </c>
      <c r="D10" s="21"/>
      <c r="E10" s="95"/>
      <c r="F10" s="96"/>
      <c r="G10" s="32"/>
    </row>
    <row r="11" spans="2:7" s="4" customFormat="1" ht="40.5" x14ac:dyDescent="0.3">
      <c r="B11" s="6">
        <f>B10+1</f>
        <v>4</v>
      </c>
      <c r="C11" s="36" t="s">
        <v>287</v>
      </c>
      <c r="D11" s="21"/>
      <c r="E11" s="95"/>
      <c r="F11" s="96"/>
      <c r="G11" s="32"/>
    </row>
    <row r="12" spans="2:7" s="4" customFormat="1" ht="40.5" x14ac:dyDescent="0.3">
      <c r="B12" s="35">
        <v>5</v>
      </c>
      <c r="C12" s="36" t="s">
        <v>606</v>
      </c>
      <c r="D12" s="21"/>
      <c r="E12" s="95"/>
      <c r="F12" s="96"/>
      <c r="G12" s="32"/>
    </row>
    <row r="13" spans="2:7" s="4" customFormat="1" ht="40.5" x14ac:dyDescent="0.3">
      <c r="B13" s="35">
        <v>6</v>
      </c>
      <c r="C13" s="36" t="s">
        <v>262</v>
      </c>
      <c r="D13" s="21"/>
      <c r="E13" s="95"/>
      <c r="F13" s="96"/>
      <c r="G13" s="32"/>
    </row>
    <row r="14" spans="2:7" s="4" customFormat="1" ht="40.5" x14ac:dyDescent="0.3">
      <c r="B14" s="35">
        <v>7</v>
      </c>
      <c r="C14" s="36" t="s">
        <v>263</v>
      </c>
      <c r="D14" s="21"/>
      <c r="E14" s="95"/>
      <c r="F14" s="96"/>
      <c r="G14" s="32"/>
    </row>
    <row r="15" spans="2:7" s="4" customFormat="1" ht="40.5" x14ac:dyDescent="0.3">
      <c r="B15" s="35">
        <v>8</v>
      </c>
      <c r="C15" s="36" t="s">
        <v>289</v>
      </c>
      <c r="D15" s="21"/>
      <c r="E15" s="95"/>
      <c r="F15" s="96"/>
      <c r="G15" s="32"/>
    </row>
    <row r="16" spans="2:7" s="4" customFormat="1" ht="60.75" x14ac:dyDescent="0.3">
      <c r="B16" s="35">
        <v>9</v>
      </c>
      <c r="C16" s="36" t="s">
        <v>290</v>
      </c>
      <c r="D16" s="21"/>
      <c r="E16" s="95"/>
      <c r="F16" s="96"/>
      <c r="G16" s="32"/>
    </row>
    <row r="17" spans="2:7" s="4" customFormat="1" ht="40.5" x14ac:dyDescent="0.3">
      <c r="B17" s="35">
        <v>10</v>
      </c>
      <c r="C17" s="36" t="s">
        <v>26</v>
      </c>
      <c r="D17" s="21"/>
      <c r="E17" s="95"/>
      <c r="F17" s="96"/>
      <c r="G17" s="32"/>
    </row>
    <row r="18" spans="2:7" s="4" customFormat="1" ht="40.5" x14ac:dyDescent="0.3">
      <c r="B18" s="35">
        <v>11</v>
      </c>
      <c r="C18" s="36" t="s">
        <v>27</v>
      </c>
      <c r="D18" s="21"/>
      <c r="E18" s="95"/>
      <c r="F18" s="96"/>
      <c r="G18" s="32"/>
    </row>
    <row r="19" spans="2:7" s="4" customFormat="1" ht="40.5" x14ac:dyDescent="0.3">
      <c r="B19" s="35">
        <v>12</v>
      </c>
      <c r="C19" s="36" t="s">
        <v>439</v>
      </c>
      <c r="D19" s="21"/>
      <c r="E19" s="95"/>
      <c r="F19" s="96"/>
      <c r="G19" s="32"/>
    </row>
    <row r="20" spans="2:7" s="4" customFormat="1" ht="40.5" x14ac:dyDescent="0.3">
      <c r="B20" s="35">
        <v>13</v>
      </c>
      <c r="C20" s="36" t="s">
        <v>423</v>
      </c>
      <c r="D20" s="21"/>
      <c r="E20" s="95"/>
      <c r="F20" s="96"/>
      <c r="G20" s="32"/>
    </row>
    <row r="21" spans="2:7" s="4" customFormat="1" ht="60.75" x14ac:dyDescent="0.3">
      <c r="B21" s="35">
        <v>14</v>
      </c>
      <c r="C21" s="36" t="s">
        <v>291</v>
      </c>
      <c r="D21" s="21"/>
      <c r="E21" s="95"/>
      <c r="F21" s="96"/>
      <c r="G21" s="32"/>
    </row>
    <row r="22" spans="2:7" s="4" customFormat="1" ht="40.5" x14ac:dyDescent="0.3">
      <c r="B22" s="35">
        <v>15</v>
      </c>
      <c r="C22" s="36" t="s">
        <v>440</v>
      </c>
      <c r="D22" s="21"/>
      <c r="E22" s="95"/>
      <c r="F22" s="96"/>
      <c r="G22" s="32"/>
    </row>
    <row r="23" spans="2:7" s="4" customFormat="1" ht="92.25" customHeight="1" x14ac:dyDescent="0.3">
      <c r="B23" s="35">
        <v>16</v>
      </c>
      <c r="C23" s="36" t="s">
        <v>448</v>
      </c>
      <c r="D23" s="21"/>
      <c r="E23" s="95"/>
      <c r="F23" s="96"/>
      <c r="G23" s="32"/>
    </row>
    <row r="24" spans="2:7" s="4" customFormat="1" ht="35.25" customHeight="1" x14ac:dyDescent="0.3">
      <c r="B24" s="35">
        <v>17</v>
      </c>
      <c r="C24" s="36" t="s">
        <v>293</v>
      </c>
      <c r="D24" s="21"/>
      <c r="E24" s="95"/>
      <c r="F24" s="96"/>
      <c r="G24" s="32"/>
    </row>
    <row r="25" spans="2:7" s="4" customFormat="1" ht="40.5" x14ac:dyDescent="0.3">
      <c r="B25" s="35">
        <v>18</v>
      </c>
      <c r="C25" s="36" t="s">
        <v>292</v>
      </c>
      <c r="D25" s="21"/>
      <c r="E25" s="95"/>
      <c r="F25" s="96"/>
      <c r="G25" s="32"/>
    </row>
    <row r="26" spans="2:7" s="4" customFormat="1" ht="60.75" x14ac:dyDescent="0.3">
      <c r="B26" s="35">
        <v>19</v>
      </c>
      <c r="C26" s="36" t="s">
        <v>294</v>
      </c>
      <c r="D26" s="21"/>
      <c r="E26" s="95"/>
      <c r="F26" s="96"/>
      <c r="G26" s="32"/>
    </row>
    <row r="27" spans="2:7" s="4" customFormat="1" ht="40.5" x14ac:dyDescent="0.3">
      <c r="B27" s="35">
        <v>20</v>
      </c>
      <c r="C27" s="36" t="s">
        <v>295</v>
      </c>
      <c r="D27" s="21"/>
      <c r="E27" s="95"/>
      <c r="F27" s="96"/>
      <c r="G27" s="32"/>
    </row>
    <row r="28" spans="2:7" s="4" customFormat="1" ht="40.5" x14ac:dyDescent="0.3">
      <c r="B28" s="35">
        <v>21</v>
      </c>
      <c r="C28" s="36" t="s">
        <v>296</v>
      </c>
      <c r="D28" s="21"/>
      <c r="E28" s="95"/>
      <c r="F28" s="96"/>
      <c r="G28" s="32"/>
    </row>
    <row r="29" spans="2:7" s="4" customFormat="1" ht="53.25" customHeight="1" x14ac:dyDescent="0.3">
      <c r="B29" s="35">
        <v>22</v>
      </c>
      <c r="C29" s="36" t="s">
        <v>297</v>
      </c>
      <c r="D29" s="21"/>
      <c r="E29" s="95"/>
      <c r="F29" s="96"/>
      <c r="G29" s="32"/>
    </row>
    <row r="30" spans="2:7" s="4" customFormat="1" ht="40.5" x14ac:dyDescent="0.3">
      <c r="B30" s="35">
        <v>23</v>
      </c>
      <c r="C30" s="36" t="s">
        <v>298</v>
      </c>
      <c r="D30" s="21"/>
      <c r="E30" s="95"/>
      <c r="F30" s="96"/>
      <c r="G30" s="32"/>
    </row>
    <row r="31" spans="2:7" s="4" customFormat="1" ht="40.5" x14ac:dyDescent="0.3">
      <c r="B31" s="35">
        <v>24</v>
      </c>
      <c r="C31" s="36" t="s">
        <v>299</v>
      </c>
      <c r="D31" s="21"/>
      <c r="E31" s="95"/>
      <c r="F31" s="96"/>
      <c r="G31" s="32"/>
    </row>
    <row r="32" spans="2:7" s="4" customFormat="1" ht="40.5" x14ac:dyDescent="0.3">
      <c r="B32" s="35">
        <v>25</v>
      </c>
      <c r="C32" s="36" t="s">
        <v>29</v>
      </c>
      <c r="D32" s="21"/>
      <c r="E32" s="95"/>
      <c r="F32" s="96"/>
      <c r="G32" s="32"/>
    </row>
    <row r="33" spans="2:7" s="4" customFormat="1" ht="40.5" x14ac:dyDescent="0.3">
      <c r="B33" s="35">
        <v>26</v>
      </c>
      <c r="C33" s="36" t="s">
        <v>607</v>
      </c>
      <c r="D33" s="22"/>
      <c r="E33" s="9"/>
      <c r="F33" s="97"/>
      <c r="G33" s="33"/>
    </row>
    <row r="34" spans="2:7" s="4" customFormat="1" ht="40.5" x14ac:dyDescent="0.3">
      <c r="B34" s="35">
        <v>27</v>
      </c>
      <c r="C34" s="36" t="s">
        <v>30</v>
      </c>
      <c r="D34" s="22"/>
      <c r="E34" s="9"/>
      <c r="F34" s="97"/>
      <c r="G34" s="33"/>
    </row>
    <row r="35" spans="2:7" s="4" customFormat="1" ht="40.5" x14ac:dyDescent="0.3">
      <c r="B35" s="35">
        <v>28</v>
      </c>
      <c r="C35" s="36" t="s">
        <v>31</v>
      </c>
      <c r="D35" s="22"/>
      <c r="E35" s="9"/>
      <c r="F35" s="97"/>
      <c r="G35" s="33"/>
    </row>
    <row r="36" spans="2:7" s="4" customFormat="1" ht="60.75" x14ac:dyDescent="0.3">
      <c r="B36" s="35">
        <v>29</v>
      </c>
      <c r="C36" s="36" t="s">
        <v>32</v>
      </c>
      <c r="D36" s="22"/>
      <c r="E36" s="9"/>
      <c r="F36" s="97"/>
      <c r="G36" s="33"/>
    </row>
    <row r="37" spans="2:7" s="4" customFormat="1" ht="60.75" x14ac:dyDescent="0.3">
      <c r="B37" s="35">
        <v>30</v>
      </c>
      <c r="C37" s="36" t="s">
        <v>32</v>
      </c>
      <c r="D37" s="22"/>
      <c r="E37" s="9"/>
      <c r="F37" s="97"/>
      <c r="G37" s="33"/>
    </row>
    <row r="38" spans="2:7" s="4" customFormat="1" ht="60.75" x14ac:dyDescent="0.3">
      <c r="B38" s="35">
        <v>31</v>
      </c>
      <c r="C38" s="36" t="s">
        <v>33</v>
      </c>
      <c r="D38" s="22"/>
      <c r="E38" s="9"/>
      <c r="F38" s="97"/>
      <c r="G38" s="33"/>
    </row>
    <row r="39" spans="2:7" s="4" customFormat="1" ht="40.5" x14ac:dyDescent="0.3">
      <c r="B39" s="35">
        <v>32</v>
      </c>
      <c r="C39" s="36" t="s">
        <v>34</v>
      </c>
      <c r="D39" s="22"/>
      <c r="E39" s="9"/>
      <c r="F39" s="97"/>
      <c r="G39" s="33"/>
    </row>
    <row r="40" spans="2:7" s="4" customFormat="1" ht="40.5" x14ac:dyDescent="0.3">
      <c r="B40" s="35">
        <v>33</v>
      </c>
      <c r="C40" s="36" t="s">
        <v>608</v>
      </c>
      <c r="D40" s="22"/>
      <c r="E40" s="9"/>
      <c r="F40" s="97"/>
      <c r="G40" s="33"/>
    </row>
    <row r="41" spans="2:7" s="4" customFormat="1" ht="40.5" x14ac:dyDescent="0.3">
      <c r="B41" s="35">
        <v>34</v>
      </c>
      <c r="C41" s="36" t="s">
        <v>689</v>
      </c>
      <c r="D41" s="22"/>
      <c r="E41" s="9"/>
      <c r="F41" s="97"/>
      <c r="G41" s="33"/>
    </row>
    <row r="42" spans="2:7" s="4" customFormat="1" ht="20.25" x14ac:dyDescent="0.3">
      <c r="B42" s="35">
        <v>35</v>
      </c>
      <c r="C42" s="36" t="s">
        <v>176</v>
      </c>
      <c r="D42" s="22"/>
      <c r="E42" s="9"/>
      <c r="F42" s="97"/>
      <c r="G42" s="33"/>
    </row>
    <row r="43" spans="2:7" s="4" customFormat="1" ht="60.75" x14ac:dyDescent="0.3">
      <c r="B43" s="35">
        <v>36</v>
      </c>
      <c r="C43" s="36" t="s">
        <v>422</v>
      </c>
      <c r="D43" s="22"/>
      <c r="E43" s="9"/>
      <c r="F43" s="97"/>
      <c r="G43" s="33"/>
    </row>
    <row r="44" spans="2:7" s="4" customFormat="1" ht="40.5" x14ac:dyDescent="0.3">
      <c r="B44" s="35">
        <v>37</v>
      </c>
      <c r="C44" s="36" t="s">
        <v>624</v>
      </c>
      <c r="D44" s="22"/>
      <c r="E44" s="9"/>
      <c r="F44" s="97"/>
      <c r="G44" s="33"/>
    </row>
    <row r="45" spans="2:7" s="4" customFormat="1" ht="60.75" x14ac:dyDescent="0.3">
      <c r="B45" s="35">
        <v>38</v>
      </c>
      <c r="C45" s="36" t="s">
        <v>603</v>
      </c>
      <c r="D45" s="22"/>
      <c r="E45" s="9"/>
      <c r="F45" s="97"/>
      <c r="G45" s="33"/>
    </row>
    <row r="46" spans="2:7" s="4" customFormat="1" ht="54" customHeight="1" x14ac:dyDescent="0.3">
      <c r="B46" s="35">
        <v>39</v>
      </c>
      <c r="C46" s="128" t="s">
        <v>674</v>
      </c>
      <c r="D46" s="22"/>
      <c r="E46" s="9"/>
      <c r="F46" s="97"/>
      <c r="G46" s="33"/>
    </row>
    <row r="47" spans="2:7" s="4" customFormat="1" ht="54" customHeight="1" x14ac:dyDescent="0.3">
      <c r="B47" s="35">
        <v>40</v>
      </c>
      <c r="C47" s="128" t="s">
        <v>678</v>
      </c>
      <c r="D47" s="22"/>
      <c r="E47" s="9"/>
      <c r="F47" s="97"/>
      <c r="G47" s="33"/>
    </row>
    <row r="48" spans="2:7" s="4" customFormat="1" ht="41.25" thickBot="1" x14ac:dyDescent="0.35">
      <c r="B48" s="35">
        <v>41</v>
      </c>
      <c r="C48" s="36" t="s">
        <v>181</v>
      </c>
      <c r="D48" s="22"/>
      <c r="E48" s="9"/>
      <c r="F48" s="97"/>
      <c r="G48" s="33"/>
    </row>
    <row r="49" spans="2:7" s="12" customFormat="1" ht="18.75" thickBot="1" x14ac:dyDescent="0.3">
      <c r="B49" s="245" t="s">
        <v>13</v>
      </c>
      <c r="C49" s="246"/>
      <c r="D49" s="175" t="s">
        <v>7</v>
      </c>
      <c r="E49" s="176"/>
      <c r="F49" s="177"/>
      <c r="G49" s="24" t="s">
        <v>8</v>
      </c>
    </row>
    <row r="50" spans="2:7" x14ac:dyDescent="0.25">
      <c r="B50" s="153"/>
      <c r="C50" s="154"/>
      <c r="D50" s="154"/>
      <c r="E50" s="154"/>
      <c r="F50" s="154"/>
      <c r="G50" s="159"/>
    </row>
    <row r="51" spans="2:7" x14ac:dyDescent="0.25">
      <c r="B51" s="155"/>
      <c r="C51" s="156"/>
      <c r="D51" s="156"/>
      <c r="E51" s="156"/>
      <c r="F51" s="156"/>
      <c r="G51" s="160"/>
    </row>
    <row r="52" spans="2:7" x14ac:dyDescent="0.25">
      <c r="B52" s="155"/>
      <c r="C52" s="156"/>
      <c r="D52" s="156"/>
      <c r="E52" s="156"/>
      <c r="F52" s="156"/>
      <c r="G52" s="160"/>
    </row>
    <row r="53" spans="2:7" x14ac:dyDescent="0.25">
      <c r="B53" s="155"/>
      <c r="C53" s="156"/>
      <c r="D53" s="156"/>
      <c r="E53" s="156"/>
      <c r="F53" s="156"/>
      <c r="G53" s="160"/>
    </row>
    <row r="54" spans="2:7" ht="35.25" customHeight="1" thickBot="1" x14ac:dyDescent="0.3">
      <c r="B54" s="157"/>
      <c r="C54" s="158"/>
      <c r="D54" s="158"/>
      <c r="E54" s="158"/>
      <c r="F54" s="158"/>
      <c r="G54" s="161"/>
    </row>
  </sheetData>
  <sheetProtection selectLockedCells="1"/>
  <mergeCells count="10">
    <mergeCell ref="B50:C54"/>
    <mergeCell ref="D50:F54"/>
    <mergeCell ref="G50:G54"/>
    <mergeCell ref="E6:F6"/>
    <mergeCell ref="B3:F3"/>
    <mergeCell ref="D4:F4"/>
    <mergeCell ref="B49:C49"/>
    <mergeCell ref="D49:F49"/>
    <mergeCell ref="B5:C5"/>
    <mergeCell ref="D5:G5"/>
  </mergeCells>
  <conditionalFormatting sqref="D8:D48">
    <cfRule type="cellIs" dxfId="81" priority="3" operator="equal">
      <formula>3</formula>
    </cfRule>
    <cfRule type="cellIs" dxfId="80"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62" fitToHeight="0"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8">
    <tabColor theme="0" tint="-0.14999847407452621"/>
    <pageSetUpPr fitToPage="1"/>
  </sheetPr>
  <dimension ref="B1:G36"/>
  <sheetViews>
    <sheetView view="pageBreakPreview" zoomScale="54" zoomScaleNormal="55" zoomScaleSheetLayoutView="54" zoomScalePageLayoutView="70" workbookViewId="0">
      <selection activeCell="G15" sqref="G15"/>
    </sheetView>
  </sheetViews>
  <sheetFormatPr baseColWidth="10" defaultColWidth="11.42578125" defaultRowHeight="15" x14ac:dyDescent="0.25"/>
  <cols>
    <col min="1" max="1" width="0.28515625" style="1" customWidth="1"/>
    <col min="2" max="2" width="5.85546875" style="1" bestFit="1" customWidth="1"/>
    <col min="3" max="3" width="82" style="1" customWidth="1"/>
    <col min="4" max="4" width="8" style="1" bestFit="1" customWidth="1"/>
    <col min="5" max="5" width="4.85546875" style="1" bestFit="1" customWidth="1"/>
    <col min="6" max="6" width="5.85546875" style="1" bestFit="1" customWidth="1"/>
    <col min="7" max="7" width="52.425781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48" customHeight="1" thickBot="1" x14ac:dyDescent="0.3">
      <c r="B3" s="239" t="s">
        <v>11</v>
      </c>
      <c r="C3" s="240"/>
      <c r="D3" s="240"/>
      <c r="E3" s="240"/>
      <c r="F3" s="241"/>
      <c r="G3" s="86" t="str">
        <f>Date!B2</f>
        <v>Week ... 2025</v>
      </c>
    </row>
    <row r="4" spans="2:7" ht="19.5" thickBot="1" x14ac:dyDescent="0.3">
      <c r="B4" s="87"/>
      <c r="C4" s="84" t="s">
        <v>12</v>
      </c>
      <c r="D4" s="171" t="str">
        <f>+'Line &amp; frequency'!C1</f>
        <v>CHAINE 5</v>
      </c>
      <c r="E4" s="242"/>
      <c r="F4" s="242"/>
      <c r="G4" s="88" t="s">
        <v>539</v>
      </c>
    </row>
    <row r="5" spans="2:7" ht="23.25" customHeight="1" thickBot="1" x14ac:dyDescent="0.3">
      <c r="B5" s="221" t="s">
        <v>170</v>
      </c>
      <c r="C5" s="222"/>
      <c r="D5" s="221"/>
      <c r="E5" s="247"/>
      <c r="F5" s="247"/>
      <c r="G5" s="247"/>
    </row>
    <row r="6" spans="2:7" ht="20.25" customHeight="1" thickBot="1" x14ac:dyDescent="0.35">
      <c r="B6" s="89"/>
      <c r="C6" s="90" t="s">
        <v>167</v>
      </c>
      <c r="D6" s="89"/>
      <c r="E6" s="171" t="s">
        <v>0</v>
      </c>
      <c r="F6" s="172"/>
      <c r="G6" s="89"/>
    </row>
    <row r="7" spans="2:7" s="4" customFormat="1" ht="24" customHeight="1" thickBot="1" x14ac:dyDescent="0.3">
      <c r="B7" s="91" t="s">
        <v>1</v>
      </c>
      <c r="C7" s="92" t="s">
        <v>2</v>
      </c>
      <c r="D7" s="93" t="s">
        <v>3</v>
      </c>
      <c r="E7" s="85" t="s">
        <v>4</v>
      </c>
      <c r="F7" s="24" t="s">
        <v>5</v>
      </c>
      <c r="G7" s="94" t="s">
        <v>6</v>
      </c>
    </row>
    <row r="8" spans="2:7" s="4" customFormat="1" ht="60" customHeight="1" x14ac:dyDescent="0.3">
      <c r="B8" s="5">
        <v>1</v>
      </c>
      <c r="C8" s="36" t="s">
        <v>540</v>
      </c>
      <c r="D8" s="21"/>
      <c r="E8" s="95"/>
      <c r="F8" s="96"/>
      <c r="G8" s="32"/>
    </row>
    <row r="9" spans="2:7" s="4" customFormat="1" ht="60" customHeight="1" x14ac:dyDescent="0.3">
      <c r="B9" s="6">
        <f>B8+1</f>
        <v>2</v>
      </c>
      <c r="C9" s="36" t="s">
        <v>541</v>
      </c>
      <c r="D9" s="21"/>
      <c r="E9" s="95"/>
      <c r="F9" s="96"/>
      <c r="G9" s="32"/>
    </row>
    <row r="10" spans="2:7" s="4" customFormat="1" ht="60" customHeight="1" x14ac:dyDescent="0.3">
      <c r="B10" s="35">
        <f>+B9+1</f>
        <v>3</v>
      </c>
      <c r="C10" s="36" t="s">
        <v>542</v>
      </c>
      <c r="D10" s="21"/>
      <c r="E10" s="95"/>
      <c r="F10" s="96"/>
      <c r="G10" s="32"/>
    </row>
    <row r="11" spans="2:7" s="4" customFormat="1" ht="60" customHeight="1" x14ac:dyDescent="0.3">
      <c r="B11" s="6">
        <f>B10+1</f>
        <v>4</v>
      </c>
      <c r="C11" s="36" t="s">
        <v>543</v>
      </c>
      <c r="D11" s="21"/>
      <c r="E11" s="95"/>
      <c r="F11" s="96"/>
      <c r="G11" s="32"/>
    </row>
    <row r="12" spans="2:7" s="4" customFormat="1" ht="60" customHeight="1" x14ac:dyDescent="0.3">
      <c r="B12" s="35">
        <f>+B11+1</f>
        <v>5</v>
      </c>
      <c r="C12" s="36" t="s">
        <v>544</v>
      </c>
      <c r="D12" s="21"/>
      <c r="E12" s="95"/>
      <c r="F12" s="96"/>
      <c r="G12" s="32"/>
    </row>
    <row r="13" spans="2:7" s="4" customFormat="1" ht="60" customHeight="1" x14ac:dyDescent="0.3">
      <c r="B13" s="6">
        <f>B12+1</f>
        <v>6</v>
      </c>
      <c r="C13" s="36" t="s">
        <v>545</v>
      </c>
      <c r="D13" s="21"/>
      <c r="E13" s="95"/>
      <c r="F13" s="96"/>
      <c r="G13" s="32"/>
    </row>
    <row r="14" spans="2:7" s="4" customFormat="1" ht="60" customHeight="1" x14ac:dyDescent="0.3">
      <c r="B14" s="35">
        <f>+B13+1</f>
        <v>7</v>
      </c>
      <c r="C14" s="36" t="s">
        <v>546</v>
      </c>
      <c r="D14" s="21"/>
      <c r="E14" s="95"/>
      <c r="F14" s="96"/>
      <c r="G14" s="32"/>
    </row>
    <row r="15" spans="2:7" s="4" customFormat="1" ht="60" customHeight="1" x14ac:dyDescent="0.3">
      <c r="B15" s="6">
        <f>B14+1</f>
        <v>8</v>
      </c>
      <c r="C15" s="36" t="s">
        <v>547</v>
      </c>
      <c r="D15" s="21"/>
      <c r="E15" s="95"/>
      <c r="F15" s="96"/>
      <c r="G15" s="32"/>
    </row>
    <row r="16" spans="2:7" s="4" customFormat="1" ht="60" customHeight="1" x14ac:dyDescent="0.3">
      <c r="B16" s="35">
        <f>+B15+1</f>
        <v>9</v>
      </c>
      <c r="C16" s="36" t="s">
        <v>548</v>
      </c>
      <c r="D16" s="21"/>
      <c r="E16" s="95"/>
      <c r="F16" s="96"/>
      <c r="G16" s="32"/>
    </row>
    <row r="17" spans="2:7" s="4" customFormat="1" ht="60" customHeight="1" x14ac:dyDescent="0.3">
      <c r="B17" s="6">
        <f>B16+1</f>
        <v>10</v>
      </c>
      <c r="C17" s="36" t="s">
        <v>549</v>
      </c>
      <c r="D17" s="21"/>
      <c r="E17" s="95"/>
      <c r="F17" s="96"/>
      <c r="G17" s="32"/>
    </row>
    <row r="18" spans="2:7" s="4" customFormat="1" ht="60" customHeight="1" x14ac:dyDescent="0.3">
      <c r="B18" s="35">
        <f>+B17+1</f>
        <v>11</v>
      </c>
      <c r="C18" s="36" t="s">
        <v>550</v>
      </c>
      <c r="D18" s="21"/>
      <c r="E18" s="95"/>
      <c r="F18" s="96"/>
      <c r="G18" s="32"/>
    </row>
    <row r="19" spans="2:7" s="4" customFormat="1" ht="60" customHeight="1" x14ac:dyDescent="0.3">
      <c r="B19" s="6">
        <f>B18+1</f>
        <v>12</v>
      </c>
      <c r="C19" s="36" t="s">
        <v>551</v>
      </c>
      <c r="D19" s="21"/>
      <c r="E19" s="95"/>
      <c r="F19" s="96"/>
      <c r="G19" s="32"/>
    </row>
    <row r="20" spans="2:7" s="4" customFormat="1" ht="60" customHeight="1" x14ac:dyDescent="0.3">
      <c r="B20" s="35">
        <f>+B19+1</f>
        <v>13</v>
      </c>
      <c r="C20" s="36" t="s">
        <v>552</v>
      </c>
      <c r="D20" s="21"/>
      <c r="E20" s="95"/>
      <c r="F20" s="96"/>
      <c r="G20" s="32"/>
    </row>
    <row r="21" spans="2:7" s="4" customFormat="1" ht="60" customHeight="1" x14ac:dyDescent="0.3">
      <c r="B21" s="6">
        <f>B20+1</f>
        <v>14</v>
      </c>
      <c r="C21" s="36" t="s">
        <v>553</v>
      </c>
      <c r="D21" s="21"/>
      <c r="E21" s="95"/>
      <c r="F21" s="96"/>
      <c r="G21" s="32"/>
    </row>
    <row r="22" spans="2:7" s="4" customFormat="1" ht="60" customHeight="1" x14ac:dyDescent="0.3">
      <c r="B22" s="35">
        <f>+B21+1</f>
        <v>15</v>
      </c>
      <c r="C22" s="36" t="s">
        <v>554</v>
      </c>
      <c r="D22" s="21"/>
      <c r="E22" s="95"/>
      <c r="F22" s="96"/>
      <c r="G22" s="32"/>
    </row>
    <row r="23" spans="2:7" s="4" customFormat="1" ht="60" customHeight="1" x14ac:dyDescent="0.3">
      <c r="B23" s="6">
        <f>B22+1</f>
        <v>16</v>
      </c>
      <c r="C23" s="36" t="s">
        <v>555</v>
      </c>
      <c r="D23" s="21"/>
      <c r="E23" s="95"/>
      <c r="F23" s="96"/>
      <c r="G23" s="32"/>
    </row>
    <row r="24" spans="2:7" s="4" customFormat="1" ht="60" customHeight="1" x14ac:dyDescent="0.3">
      <c r="B24" s="35">
        <f>+B23+1</f>
        <v>17</v>
      </c>
      <c r="C24" s="36" t="s">
        <v>556</v>
      </c>
      <c r="D24" s="21"/>
      <c r="E24" s="95"/>
      <c r="F24" s="96"/>
      <c r="G24" s="32"/>
    </row>
    <row r="25" spans="2:7" s="4" customFormat="1" ht="60" customHeight="1" x14ac:dyDescent="0.3">
      <c r="B25" s="6">
        <f>B24+1</f>
        <v>18</v>
      </c>
      <c r="C25" s="36" t="s">
        <v>557</v>
      </c>
      <c r="D25" s="21"/>
      <c r="E25" s="95"/>
      <c r="F25" s="96"/>
      <c r="G25" s="32"/>
    </row>
    <row r="26" spans="2:7" s="4" customFormat="1" ht="60" customHeight="1" x14ac:dyDescent="0.3">
      <c r="B26" s="35">
        <f>+B25+1</f>
        <v>19</v>
      </c>
      <c r="C26" s="36" t="s">
        <v>558</v>
      </c>
      <c r="D26" s="21"/>
      <c r="E26" s="95"/>
      <c r="F26" s="96"/>
      <c r="G26" s="32"/>
    </row>
    <row r="27" spans="2:7" s="4" customFormat="1" ht="60" customHeight="1" x14ac:dyDescent="0.3">
      <c r="B27" s="6">
        <f>B26+1</f>
        <v>20</v>
      </c>
      <c r="C27" s="36" t="s">
        <v>559</v>
      </c>
      <c r="D27" s="21"/>
      <c r="E27" s="95"/>
      <c r="F27" s="96"/>
      <c r="G27" s="32"/>
    </row>
    <row r="28" spans="2:7" s="4" customFormat="1" ht="60" customHeight="1" x14ac:dyDescent="0.3">
      <c r="B28" s="6">
        <f t="shared" ref="B28:B30" si="0">B27+1</f>
        <v>21</v>
      </c>
      <c r="C28" s="128" t="s">
        <v>676</v>
      </c>
      <c r="D28" s="21"/>
      <c r="E28" s="95"/>
      <c r="F28" s="96"/>
      <c r="G28" s="32"/>
    </row>
    <row r="29" spans="2:7" s="4" customFormat="1" ht="60" customHeight="1" x14ac:dyDescent="0.3">
      <c r="B29" s="6">
        <f t="shared" si="0"/>
        <v>22</v>
      </c>
      <c r="C29" s="36" t="s">
        <v>560</v>
      </c>
      <c r="D29" s="21"/>
      <c r="E29" s="95"/>
      <c r="F29" s="96"/>
      <c r="G29" s="32"/>
    </row>
    <row r="30" spans="2:7" s="4" customFormat="1" ht="60" customHeight="1" thickBot="1" x14ac:dyDescent="0.35">
      <c r="B30" s="6">
        <f t="shared" si="0"/>
        <v>23</v>
      </c>
      <c r="C30" s="36" t="s">
        <v>561</v>
      </c>
      <c r="D30" s="21"/>
      <c r="E30" s="95"/>
      <c r="F30" s="96"/>
      <c r="G30" s="32"/>
    </row>
    <row r="31" spans="2:7" s="12" customFormat="1" ht="18.75" thickBot="1" x14ac:dyDescent="0.3">
      <c r="B31" s="245" t="s">
        <v>13</v>
      </c>
      <c r="C31" s="246"/>
      <c r="D31" s="175" t="s">
        <v>7</v>
      </c>
      <c r="E31" s="176"/>
      <c r="F31" s="177"/>
      <c r="G31" s="24" t="s">
        <v>8</v>
      </c>
    </row>
    <row r="32" spans="2:7" x14ac:dyDescent="0.25">
      <c r="B32" s="153"/>
      <c r="C32" s="154"/>
      <c r="D32" s="154"/>
      <c r="E32" s="154"/>
      <c r="F32" s="154"/>
      <c r="G32" s="159"/>
    </row>
    <row r="33" spans="2:7" x14ac:dyDescent="0.25">
      <c r="B33" s="155"/>
      <c r="C33" s="156"/>
      <c r="D33" s="156"/>
      <c r="E33" s="156"/>
      <c r="F33" s="156"/>
      <c r="G33" s="160"/>
    </row>
    <row r="34" spans="2:7" x14ac:dyDescent="0.25">
      <c r="B34" s="155"/>
      <c r="C34" s="156"/>
      <c r="D34" s="156"/>
      <c r="E34" s="156"/>
      <c r="F34" s="156"/>
      <c r="G34" s="160"/>
    </row>
    <row r="35" spans="2:7" x14ac:dyDescent="0.25">
      <c r="B35" s="155"/>
      <c r="C35" s="156"/>
      <c r="D35" s="156"/>
      <c r="E35" s="156"/>
      <c r="F35" s="156"/>
      <c r="G35" s="160"/>
    </row>
    <row r="36" spans="2:7" ht="35.25" customHeight="1" thickBot="1" x14ac:dyDescent="0.3">
      <c r="B36" s="157"/>
      <c r="C36" s="158"/>
      <c r="D36" s="158"/>
      <c r="E36" s="158"/>
      <c r="F36" s="158"/>
      <c r="G36" s="161"/>
    </row>
  </sheetData>
  <sheetProtection selectLockedCells="1"/>
  <mergeCells count="10">
    <mergeCell ref="B32:C36"/>
    <mergeCell ref="D32:F36"/>
    <mergeCell ref="G32:G36"/>
    <mergeCell ref="B3:F3"/>
    <mergeCell ref="D4:F4"/>
    <mergeCell ref="B5:C5"/>
    <mergeCell ref="D5:G5"/>
    <mergeCell ref="E6:F6"/>
    <mergeCell ref="B31:C31"/>
    <mergeCell ref="D31:F31"/>
  </mergeCells>
  <conditionalFormatting sqref="D8:D30">
    <cfRule type="cellIs" dxfId="79" priority="1" operator="equal">
      <formula>3</formula>
    </cfRule>
    <cfRule type="cellIs" dxfId="78"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62" fitToHeight="0"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7">
    <tabColor theme="0" tint="-0.14999847407452621"/>
    <pageSetUpPr fitToPage="1"/>
  </sheetPr>
  <dimension ref="B1:G38"/>
  <sheetViews>
    <sheetView view="pageBreakPreview" zoomScale="70" zoomScaleNormal="55" zoomScaleSheetLayoutView="70" zoomScalePageLayoutView="70" workbookViewId="0">
      <selection activeCell="D14" sqref="D14"/>
    </sheetView>
  </sheetViews>
  <sheetFormatPr baseColWidth="10" defaultColWidth="11.42578125" defaultRowHeight="15" x14ac:dyDescent="0.25"/>
  <cols>
    <col min="1" max="1" width="0.28515625" style="1" customWidth="1"/>
    <col min="2" max="2" width="5.85546875" style="1" bestFit="1" customWidth="1"/>
    <col min="3" max="3" width="90.42578125" style="1" customWidth="1"/>
    <col min="4" max="4" width="8" style="1" bestFit="1" customWidth="1"/>
    <col min="5" max="5" width="4.85546875" style="1" bestFit="1" customWidth="1"/>
    <col min="6" max="6" width="5.85546875" style="1" bestFit="1" customWidth="1"/>
    <col min="7" max="7" width="52.425781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239" t="s">
        <v>11</v>
      </c>
      <c r="C3" s="240"/>
      <c r="D3" s="240"/>
      <c r="E3" s="240"/>
      <c r="F3" s="241"/>
      <c r="G3" s="86" t="str">
        <f>Date!B2</f>
        <v>Week ... 2025</v>
      </c>
    </row>
    <row r="4" spans="2:7" ht="19.5" thickBot="1" x14ac:dyDescent="0.3">
      <c r="B4" s="87"/>
      <c r="C4" s="84" t="s">
        <v>12</v>
      </c>
      <c r="D4" s="171" t="str">
        <f>+'Line &amp; frequency'!C1</f>
        <v>CHAINE 5</v>
      </c>
      <c r="E4" s="242"/>
      <c r="F4" s="242"/>
      <c r="G4" s="88" t="s">
        <v>496</v>
      </c>
    </row>
    <row r="5" spans="2:7" ht="27.75" customHeight="1" thickBot="1" x14ac:dyDescent="0.3">
      <c r="B5" s="221" t="s">
        <v>170</v>
      </c>
      <c r="C5" s="222"/>
      <c r="D5" s="221" t="s">
        <v>255</v>
      </c>
      <c r="E5" s="247"/>
      <c r="F5" s="247"/>
      <c r="G5" s="247"/>
    </row>
    <row r="6" spans="2:7" ht="20.25" customHeight="1" thickBot="1" x14ac:dyDescent="0.35">
      <c r="B6" s="89"/>
      <c r="C6" s="90" t="s">
        <v>167</v>
      </c>
      <c r="D6" s="89"/>
      <c r="E6" s="171" t="s">
        <v>0</v>
      </c>
      <c r="F6" s="172"/>
      <c r="G6" s="89"/>
    </row>
    <row r="7" spans="2:7" s="4" customFormat="1" ht="24" customHeight="1" thickBot="1" x14ac:dyDescent="0.3">
      <c r="B7" s="91" t="s">
        <v>1</v>
      </c>
      <c r="C7" s="92" t="s">
        <v>2</v>
      </c>
      <c r="D7" s="93" t="s">
        <v>3</v>
      </c>
      <c r="E7" s="85" t="s">
        <v>4</v>
      </c>
      <c r="F7" s="24" t="s">
        <v>5</v>
      </c>
      <c r="G7" s="94" t="s">
        <v>6</v>
      </c>
    </row>
    <row r="8" spans="2:7" s="4" customFormat="1" ht="46.5" customHeight="1" x14ac:dyDescent="0.3">
      <c r="B8" s="5">
        <v>1</v>
      </c>
      <c r="C8" s="36" t="s">
        <v>540</v>
      </c>
      <c r="D8" s="21"/>
      <c r="E8" s="95"/>
      <c r="F8" s="96"/>
      <c r="G8" s="32"/>
    </row>
    <row r="9" spans="2:7" s="4" customFormat="1" ht="52.5" customHeight="1" x14ac:dyDescent="0.3">
      <c r="B9" s="6">
        <f>B8+1</f>
        <v>2</v>
      </c>
      <c r="C9" s="36" t="s">
        <v>541</v>
      </c>
      <c r="D9" s="21"/>
      <c r="E9" s="95"/>
      <c r="F9" s="96"/>
      <c r="G9" s="32"/>
    </row>
    <row r="10" spans="2:7" s="4" customFormat="1" ht="40.5" x14ac:dyDescent="0.3">
      <c r="B10" s="35">
        <f>+B9+1</f>
        <v>3</v>
      </c>
      <c r="C10" s="36" t="s">
        <v>542</v>
      </c>
      <c r="D10" s="21"/>
      <c r="E10" s="95"/>
      <c r="F10" s="96"/>
      <c r="G10" s="32"/>
    </row>
    <row r="11" spans="2:7" s="4" customFormat="1" ht="40.5" x14ac:dyDescent="0.3">
      <c r="B11" s="6">
        <f>B10+1</f>
        <v>4</v>
      </c>
      <c r="C11" s="36" t="s">
        <v>543</v>
      </c>
      <c r="D11" s="21"/>
      <c r="E11" s="95"/>
      <c r="F11" s="96"/>
      <c r="G11" s="32"/>
    </row>
    <row r="12" spans="2:7" s="4" customFormat="1" ht="52.5" customHeight="1" x14ac:dyDescent="0.3">
      <c r="B12" s="35">
        <f>+B11+1</f>
        <v>5</v>
      </c>
      <c r="C12" s="36" t="s">
        <v>544</v>
      </c>
      <c r="D12" s="21"/>
      <c r="E12" s="95"/>
      <c r="F12" s="96"/>
      <c r="G12" s="32"/>
    </row>
    <row r="13" spans="2:7" s="4" customFormat="1" ht="40.5" x14ac:dyDescent="0.3">
      <c r="B13" s="6">
        <f>B12+1</f>
        <v>6</v>
      </c>
      <c r="C13" s="36" t="s">
        <v>545</v>
      </c>
      <c r="D13" s="21"/>
      <c r="E13" s="95"/>
      <c r="F13" s="96"/>
      <c r="G13" s="32"/>
    </row>
    <row r="14" spans="2:7" s="4" customFormat="1" ht="60.75" x14ac:dyDescent="0.3">
      <c r="B14" s="35">
        <f>+B13+1</f>
        <v>7</v>
      </c>
      <c r="C14" s="36" t="s">
        <v>546</v>
      </c>
      <c r="D14" s="21"/>
      <c r="E14" s="95"/>
      <c r="F14" s="96"/>
      <c r="G14" s="32"/>
    </row>
    <row r="15" spans="2:7" s="4" customFormat="1" ht="51" customHeight="1" x14ac:dyDescent="0.3">
      <c r="B15" s="6">
        <f>B14+1</f>
        <v>8</v>
      </c>
      <c r="C15" s="36" t="s">
        <v>547</v>
      </c>
      <c r="D15" s="21"/>
      <c r="E15" s="95"/>
      <c r="F15" s="96"/>
      <c r="G15" s="32"/>
    </row>
    <row r="16" spans="2:7" s="4" customFormat="1" ht="40.5" x14ac:dyDescent="0.3">
      <c r="B16" s="35">
        <f>+B15+1</f>
        <v>9</v>
      </c>
      <c r="C16" s="36" t="s">
        <v>548</v>
      </c>
      <c r="D16" s="21"/>
      <c r="E16" s="95"/>
      <c r="F16" s="96"/>
      <c r="G16" s="32"/>
    </row>
    <row r="17" spans="2:7" s="4" customFormat="1" ht="60.75" x14ac:dyDescent="0.3">
      <c r="B17" s="6">
        <f>B16+1</f>
        <v>10</v>
      </c>
      <c r="C17" s="36" t="s">
        <v>549</v>
      </c>
      <c r="D17" s="21"/>
      <c r="E17" s="95"/>
      <c r="F17" s="96"/>
      <c r="G17" s="32"/>
    </row>
    <row r="18" spans="2:7" s="4" customFormat="1" ht="60.75" x14ac:dyDescent="0.3">
      <c r="B18" s="35">
        <f>+B17+1</f>
        <v>11</v>
      </c>
      <c r="C18" s="36" t="s">
        <v>550</v>
      </c>
      <c r="D18" s="21"/>
      <c r="E18" s="95"/>
      <c r="F18" s="96"/>
      <c r="G18" s="32"/>
    </row>
    <row r="19" spans="2:7" s="4" customFormat="1" ht="40.5" x14ac:dyDescent="0.3">
      <c r="B19" s="6">
        <f>B18+1</f>
        <v>12</v>
      </c>
      <c r="C19" s="36" t="s">
        <v>551</v>
      </c>
      <c r="D19" s="21"/>
      <c r="E19" s="95"/>
      <c r="F19" s="96"/>
      <c r="G19" s="32"/>
    </row>
    <row r="20" spans="2:7" s="4" customFormat="1" ht="40.5" x14ac:dyDescent="0.3">
      <c r="B20" s="35">
        <f>+B19+1</f>
        <v>13</v>
      </c>
      <c r="C20" s="36" t="s">
        <v>552</v>
      </c>
      <c r="D20" s="21"/>
      <c r="E20" s="95"/>
      <c r="F20" s="96"/>
      <c r="G20" s="32"/>
    </row>
    <row r="21" spans="2:7" s="4" customFormat="1" ht="60.75" x14ac:dyDescent="0.3">
      <c r="B21" s="6">
        <f>B20+1</f>
        <v>14</v>
      </c>
      <c r="C21" s="36" t="s">
        <v>553</v>
      </c>
      <c r="D21" s="21"/>
      <c r="E21" s="95"/>
      <c r="F21" s="96"/>
      <c r="G21" s="32"/>
    </row>
    <row r="22" spans="2:7" s="4" customFormat="1" ht="40.5" x14ac:dyDescent="0.3">
      <c r="B22" s="35">
        <f>+B21+1</f>
        <v>15</v>
      </c>
      <c r="C22" s="36" t="s">
        <v>554</v>
      </c>
      <c r="D22" s="21"/>
      <c r="E22" s="95"/>
      <c r="F22" s="96"/>
      <c r="G22" s="32"/>
    </row>
    <row r="23" spans="2:7" s="4" customFormat="1" ht="60.75" x14ac:dyDescent="0.3">
      <c r="B23" s="6">
        <f>B22+1</f>
        <v>16</v>
      </c>
      <c r="C23" s="36" t="s">
        <v>555</v>
      </c>
      <c r="D23" s="21"/>
      <c r="E23" s="95"/>
      <c r="F23" s="96"/>
      <c r="G23" s="32"/>
    </row>
    <row r="24" spans="2:7" s="4" customFormat="1" ht="40.5" x14ac:dyDescent="0.3">
      <c r="B24" s="35">
        <f>+B23+1</f>
        <v>17</v>
      </c>
      <c r="C24" s="36" t="s">
        <v>556</v>
      </c>
      <c r="D24" s="21"/>
      <c r="E24" s="95"/>
      <c r="F24" s="96"/>
      <c r="G24" s="32"/>
    </row>
    <row r="25" spans="2:7" s="4" customFormat="1" ht="60.75" x14ac:dyDescent="0.3">
      <c r="B25" s="6">
        <f>B24+1</f>
        <v>18</v>
      </c>
      <c r="C25" s="36" t="s">
        <v>557</v>
      </c>
      <c r="D25" s="21"/>
      <c r="E25" s="95"/>
      <c r="F25" s="96"/>
      <c r="G25" s="32"/>
    </row>
    <row r="26" spans="2:7" s="4" customFormat="1" ht="71.25" customHeight="1" x14ac:dyDescent="0.3">
      <c r="B26" s="35">
        <f>+B25+1</f>
        <v>19</v>
      </c>
      <c r="C26" s="36" t="s">
        <v>558</v>
      </c>
      <c r="D26" s="21"/>
      <c r="E26" s="95"/>
      <c r="F26" s="96"/>
      <c r="G26" s="32"/>
    </row>
    <row r="27" spans="2:7" s="4" customFormat="1" ht="40.5" x14ac:dyDescent="0.3">
      <c r="B27" s="6">
        <f>B26+1</f>
        <v>20</v>
      </c>
      <c r="C27" s="36" t="s">
        <v>559</v>
      </c>
      <c r="D27" s="21"/>
      <c r="E27" s="95"/>
      <c r="F27" s="96"/>
      <c r="G27" s="32"/>
    </row>
    <row r="28" spans="2:7" s="4" customFormat="1" ht="60.75" x14ac:dyDescent="0.3">
      <c r="B28" s="35">
        <f>+B27+1</f>
        <v>21</v>
      </c>
      <c r="C28" s="36" t="s">
        <v>560</v>
      </c>
      <c r="D28" s="21"/>
      <c r="E28" s="95"/>
      <c r="F28" s="96"/>
      <c r="G28" s="32"/>
    </row>
    <row r="29" spans="2:7" s="4" customFormat="1" ht="40.5" x14ac:dyDescent="0.3">
      <c r="B29" s="6">
        <f>B28+1</f>
        <v>22</v>
      </c>
      <c r="C29" s="36" t="s">
        <v>561</v>
      </c>
      <c r="D29" s="21"/>
      <c r="E29" s="95"/>
      <c r="F29" s="96"/>
      <c r="G29" s="32"/>
    </row>
    <row r="30" spans="2:7" s="4" customFormat="1" ht="20.25" x14ac:dyDescent="0.3">
      <c r="B30" s="35">
        <f>+B29+1</f>
        <v>23</v>
      </c>
      <c r="C30" s="36"/>
      <c r="D30" s="21"/>
      <c r="E30" s="95"/>
      <c r="F30" s="96"/>
      <c r="G30" s="32"/>
    </row>
    <row r="31" spans="2:7" s="4" customFormat="1" ht="20.25" x14ac:dyDescent="0.3">
      <c r="B31" s="6">
        <f>B30+1</f>
        <v>24</v>
      </c>
      <c r="C31" s="36"/>
      <c r="D31" s="21"/>
      <c r="E31" s="95"/>
      <c r="F31" s="96"/>
      <c r="G31" s="32"/>
    </row>
    <row r="32" spans="2:7" s="4" customFormat="1" ht="21" thickBot="1" x14ac:dyDescent="0.35">
      <c r="B32" s="6">
        <f>B31+1</f>
        <v>25</v>
      </c>
      <c r="C32" s="36"/>
      <c r="D32" s="22"/>
      <c r="E32" s="9"/>
      <c r="F32" s="97"/>
      <c r="G32" s="33"/>
    </row>
    <row r="33" spans="2:7" s="12" customFormat="1" ht="18.75" thickBot="1" x14ac:dyDescent="0.3">
      <c r="B33" s="245" t="s">
        <v>13</v>
      </c>
      <c r="C33" s="246"/>
      <c r="D33" s="175" t="s">
        <v>7</v>
      </c>
      <c r="E33" s="176"/>
      <c r="F33" s="177"/>
      <c r="G33" s="24" t="s">
        <v>8</v>
      </c>
    </row>
    <row r="34" spans="2:7" x14ac:dyDescent="0.25">
      <c r="B34" s="153"/>
      <c r="C34" s="154"/>
      <c r="D34" s="154"/>
      <c r="E34" s="154"/>
      <c r="F34" s="154"/>
      <c r="G34" s="159"/>
    </row>
    <row r="35" spans="2:7" x14ac:dyDescent="0.25">
      <c r="B35" s="155"/>
      <c r="C35" s="156"/>
      <c r="D35" s="156"/>
      <c r="E35" s="156"/>
      <c r="F35" s="156"/>
      <c r="G35" s="160"/>
    </row>
    <row r="36" spans="2:7" x14ac:dyDescent="0.25">
      <c r="B36" s="155"/>
      <c r="C36" s="156"/>
      <c r="D36" s="156"/>
      <c r="E36" s="156"/>
      <c r="F36" s="156"/>
      <c r="G36" s="160"/>
    </row>
    <row r="37" spans="2:7" x14ac:dyDescent="0.25">
      <c r="B37" s="155"/>
      <c r="C37" s="156"/>
      <c r="D37" s="156"/>
      <c r="E37" s="156"/>
      <c r="F37" s="156"/>
      <c r="G37" s="160"/>
    </row>
    <row r="38" spans="2:7" ht="35.25" customHeight="1" thickBot="1" x14ac:dyDescent="0.3">
      <c r="B38" s="157"/>
      <c r="C38" s="158"/>
      <c r="D38" s="158"/>
      <c r="E38" s="158"/>
      <c r="F38" s="158"/>
      <c r="G38" s="161"/>
    </row>
  </sheetData>
  <sheetProtection selectLockedCells="1"/>
  <mergeCells count="10">
    <mergeCell ref="B34:C38"/>
    <mergeCell ref="D34:F38"/>
    <mergeCell ref="G34:G38"/>
    <mergeCell ref="B3:F3"/>
    <mergeCell ref="D4:F4"/>
    <mergeCell ref="B5:C5"/>
    <mergeCell ref="D5:G5"/>
    <mergeCell ref="E6:F6"/>
    <mergeCell ref="B33:C33"/>
    <mergeCell ref="D33:F33"/>
  </mergeCells>
  <conditionalFormatting sqref="D8:D32">
    <cfRule type="cellIs" dxfId="77" priority="1" operator="equal">
      <formula>3</formula>
    </cfRule>
    <cfRule type="cellIs" dxfId="76"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9" fitToHeight="0"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0" tint="-0.14999847407452621"/>
    <pageSetUpPr fitToPage="1"/>
  </sheetPr>
  <dimension ref="B1:G23"/>
  <sheetViews>
    <sheetView view="pageBreakPreview" zoomScale="70" zoomScaleNormal="55" zoomScaleSheetLayoutView="70" zoomScalePageLayoutView="70" workbookViewId="0">
      <selection activeCell="E12" sqref="E12"/>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12</v>
      </c>
      <c r="D4" s="165" t="str">
        <f>+'Line &amp; frequency'!C1</f>
        <v>CHAINE 5</v>
      </c>
      <c r="E4" s="166"/>
      <c r="F4" s="166"/>
      <c r="G4" s="31" t="s">
        <v>529</v>
      </c>
    </row>
    <row r="5" spans="2:7" ht="39" customHeight="1" thickBot="1" x14ac:dyDescent="0.3">
      <c r="B5" s="167" t="s">
        <v>170</v>
      </c>
      <c r="C5" s="168"/>
      <c r="D5" s="221" t="s">
        <v>255</v>
      </c>
      <c r="E5" s="247"/>
      <c r="F5" s="247"/>
      <c r="G5" s="247"/>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36" x14ac:dyDescent="0.25">
      <c r="B8" s="5">
        <v>1</v>
      </c>
      <c r="C8" s="106" t="s">
        <v>692</v>
      </c>
      <c r="D8" s="21"/>
      <c r="E8" s="19"/>
      <c r="F8" s="20"/>
      <c r="G8" s="32"/>
    </row>
    <row r="9" spans="2:7" s="4" customFormat="1" ht="28.5" customHeight="1" x14ac:dyDescent="0.25">
      <c r="B9" s="6">
        <v>2</v>
      </c>
      <c r="C9" s="106"/>
      <c r="D9" s="21"/>
      <c r="E9" s="19"/>
      <c r="F9" s="20"/>
      <c r="G9" s="32"/>
    </row>
    <row r="10" spans="2:7" s="4" customFormat="1" ht="36.75" customHeight="1" x14ac:dyDescent="0.25">
      <c r="B10" s="6">
        <f>B9+1</f>
        <v>3</v>
      </c>
      <c r="C10" s="106"/>
      <c r="D10" s="21"/>
      <c r="E10" s="19"/>
      <c r="F10" s="20"/>
      <c r="G10" s="32"/>
    </row>
    <row r="11" spans="2:7" s="4" customFormat="1" ht="43.5" customHeight="1" x14ac:dyDescent="0.25">
      <c r="B11" s="35">
        <f>+B10+1</f>
        <v>4</v>
      </c>
      <c r="C11" s="106"/>
      <c r="D11" s="21"/>
      <c r="E11" s="19"/>
      <c r="F11" s="20"/>
      <c r="G11" s="32"/>
    </row>
    <row r="12" spans="2:7" s="4" customFormat="1" ht="40.5" customHeight="1" x14ac:dyDescent="0.25">
      <c r="B12" s="6">
        <f>B11+1</f>
        <v>5</v>
      </c>
      <c r="C12" s="106"/>
      <c r="D12" s="21"/>
      <c r="E12" s="19"/>
      <c r="F12" s="20"/>
      <c r="G12" s="32"/>
    </row>
    <row r="13" spans="2:7" s="4" customFormat="1" ht="36.75" customHeight="1" x14ac:dyDescent="0.25">
      <c r="B13" s="6">
        <v>6</v>
      </c>
      <c r="C13" s="106"/>
      <c r="D13" s="21"/>
      <c r="E13" s="19"/>
      <c r="F13" s="20"/>
      <c r="G13" s="32"/>
    </row>
    <row r="14" spans="2:7" s="4" customFormat="1" ht="18.75" x14ac:dyDescent="0.25">
      <c r="B14" s="6">
        <v>7</v>
      </c>
      <c r="C14" s="106"/>
      <c r="D14" s="21"/>
      <c r="E14" s="19"/>
      <c r="F14" s="20"/>
      <c r="G14" s="32"/>
    </row>
    <row r="15" spans="2:7" s="4" customFormat="1" ht="18.75" x14ac:dyDescent="0.25">
      <c r="B15" s="35">
        <f>+B14+1</f>
        <v>8</v>
      </c>
      <c r="C15" s="106"/>
      <c r="D15" s="21"/>
      <c r="E15" s="19"/>
      <c r="F15" s="20"/>
      <c r="G15" s="32"/>
    </row>
    <row r="16" spans="2:7" s="4" customFormat="1" ht="18.75" x14ac:dyDescent="0.25">
      <c r="B16" s="6">
        <v>9</v>
      </c>
      <c r="C16" s="106"/>
      <c r="D16" s="21"/>
      <c r="E16" s="19"/>
      <c r="F16" s="20"/>
      <c r="G16" s="32"/>
    </row>
    <row r="17" spans="2:7" s="4" customFormat="1" ht="19.5" thickBot="1" x14ac:dyDescent="0.3">
      <c r="B17" s="6"/>
      <c r="C17" s="106"/>
      <c r="D17" s="21"/>
      <c r="E17" s="19"/>
      <c r="F17" s="20"/>
      <c r="G17" s="32"/>
    </row>
    <row r="18" spans="2:7" ht="18.75" thickBot="1" x14ac:dyDescent="0.3">
      <c r="B18" s="245" t="s">
        <v>13</v>
      </c>
      <c r="C18" s="246"/>
      <c r="D18" s="175" t="s">
        <v>7</v>
      </c>
      <c r="E18" s="176"/>
      <c r="F18" s="177"/>
      <c r="G18" s="24" t="s">
        <v>8</v>
      </c>
    </row>
    <row r="19" spans="2:7" x14ac:dyDescent="0.25">
      <c r="B19" s="153"/>
      <c r="C19" s="154"/>
      <c r="D19" s="154"/>
      <c r="E19" s="154"/>
      <c r="F19" s="154"/>
      <c r="G19" s="159"/>
    </row>
    <row r="20" spans="2:7" x14ac:dyDescent="0.25">
      <c r="B20" s="155"/>
      <c r="C20" s="156"/>
      <c r="D20" s="156"/>
      <c r="E20" s="156"/>
      <c r="F20" s="156"/>
      <c r="G20" s="160"/>
    </row>
    <row r="21" spans="2:7" x14ac:dyDescent="0.25">
      <c r="B21" s="155"/>
      <c r="C21" s="156"/>
      <c r="D21" s="156"/>
      <c r="E21" s="156"/>
      <c r="F21" s="156"/>
      <c r="G21" s="160"/>
    </row>
    <row r="22" spans="2:7" x14ac:dyDescent="0.25">
      <c r="B22" s="155"/>
      <c r="C22" s="156"/>
      <c r="D22" s="156"/>
      <c r="E22" s="156"/>
      <c r="F22" s="156"/>
      <c r="G22" s="160"/>
    </row>
    <row r="23" spans="2:7" ht="15.75" thickBot="1" x14ac:dyDescent="0.3">
      <c r="B23" s="157"/>
      <c r="C23" s="158"/>
      <c r="D23" s="158"/>
      <c r="E23" s="158"/>
      <c r="F23" s="158"/>
      <c r="G23" s="161"/>
    </row>
  </sheetData>
  <sheetProtection selectLockedCells="1"/>
  <mergeCells count="10">
    <mergeCell ref="B19:C23"/>
    <mergeCell ref="D19:F23"/>
    <mergeCell ref="G19:G23"/>
    <mergeCell ref="B3:F3"/>
    <mergeCell ref="D4:F4"/>
    <mergeCell ref="B5:C5"/>
    <mergeCell ref="D5:G5"/>
    <mergeCell ref="E6:F6"/>
    <mergeCell ref="B18:C18"/>
    <mergeCell ref="D18:F18"/>
  </mergeCells>
  <conditionalFormatting sqref="D8:D17">
    <cfRule type="cellIs" dxfId="75" priority="1" operator="equal">
      <formula>3</formula>
    </cfRule>
    <cfRule type="cellIs" dxfId="74" priority="2" operator="equal">
      <formula>4</formula>
    </cfRule>
  </conditionalFormatting>
  <printOptions horizontalCentered="1"/>
  <pageMargins left="0.15748031496062992" right="7.874015748031496E-2" top="0.19685039370078741" bottom="0.15748031496062992" header="0.31496062992125984" footer="0.31496062992125984"/>
  <pageSetup paperSize="9" scale="56" fitToHeight="3" orientation="portrait" r:id="rId1"/>
  <colBreaks count="1" manualBreakCount="1">
    <brk id="3" min="2" max="111" man="1"/>
  </col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8">
    <tabColor theme="0" tint="-0.14999847407452621"/>
    <pageSetUpPr fitToPage="1"/>
  </sheetPr>
  <dimension ref="B1:G61"/>
  <sheetViews>
    <sheetView view="pageBreakPreview" topLeftCell="D7" zoomScale="55" zoomScaleNormal="55" zoomScaleSheetLayoutView="55" zoomScalePageLayoutView="70" workbookViewId="0">
      <selection activeCell="G42" sqref="G42"/>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22</v>
      </c>
      <c r="D4" s="165" t="str">
        <f>+'Line &amp; frequency'!C1</f>
        <v>CHAINE 5</v>
      </c>
      <c r="E4" s="166"/>
      <c r="F4" s="166"/>
      <c r="G4" s="31" t="str">
        <f>+'Line &amp; frequency'!C2</f>
        <v>HEBDOMADAIRE</v>
      </c>
    </row>
    <row r="5" spans="2:7" ht="39" customHeight="1" thickBot="1" x14ac:dyDescent="0.3">
      <c r="B5" s="167" t="s">
        <v>170</v>
      </c>
      <c r="C5" s="168"/>
      <c r="D5" s="221"/>
      <c r="E5" s="247"/>
      <c r="F5" s="247"/>
      <c r="G5" s="247"/>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40.5" x14ac:dyDescent="0.25">
      <c r="B8" s="35">
        <v>1</v>
      </c>
      <c r="C8" s="36" t="s">
        <v>258</v>
      </c>
      <c r="D8" s="21"/>
      <c r="E8" s="19"/>
      <c r="F8" s="20"/>
      <c r="G8" s="32"/>
    </row>
    <row r="9" spans="2:7" s="4" customFormat="1" ht="40.5" x14ac:dyDescent="0.25">
      <c r="B9" s="6">
        <f>B8+1</f>
        <v>2</v>
      </c>
      <c r="C9" s="36" t="s">
        <v>259</v>
      </c>
      <c r="D9" s="21"/>
      <c r="E9" s="19"/>
      <c r="F9" s="20"/>
      <c r="G9" s="32"/>
    </row>
    <row r="10" spans="2:7" s="4" customFormat="1" ht="40.5" x14ac:dyDescent="0.25">
      <c r="B10" s="35">
        <f t="shared" ref="B10:B54" si="0">+B9+1</f>
        <v>3</v>
      </c>
      <c r="C10" s="36" t="s">
        <v>260</v>
      </c>
      <c r="D10" s="21"/>
      <c r="E10" s="19"/>
      <c r="F10" s="20"/>
      <c r="G10" s="32"/>
    </row>
    <row r="11" spans="2:7" s="4" customFormat="1" ht="40.5" x14ac:dyDescent="0.25">
      <c r="B11" s="6">
        <f t="shared" ref="B11:B55" si="1">B10+1</f>
        <v>4</v>
      </c>
      <c r="C11" s="36" t="s">
        <v>261</v>
      </c>
      <c r="D11" s="21"/>
      <c r="E11" s="19"/>
      <c r="F11" s="20"/>
      <c r="G11" s="32"/>
    </row>
    <row r="12" spans="2:7" s="4" customFormat="1" ht="40.5" x14ac:dyDescent="0.25">
      <c r="B12" s="35">
        <f t="shared" si="0"/>
        <v>5</v>
      </c>
      <c r="C12" s="36" t="s">
        <v>279</v>
      </c>
      <c r="D12" s="21"/>
      <c r="E12" s="19"/>
      <c r="F12" s="20"/>
      <c r="G12" s="32"/>
    </row>
    <row r="13" spans="2:7" s="4" customFormat="1" ht="20.25" x14ac:dyDescent="0.25">
      <c r="B13" s="6">
        <f t="shared" si="1"/>
        <v>6</v>
      </c>
      <c r="C13" s="36" t="s">
        <v>24</v>
      </c>
      <c r="D13" s="21"/>
      <c r="E13" s="19"/>
      <c r="F13" s="20"/>
      <c r="G13" s="32"/>
    </row>
    <row r="14" spans="2:7" s="4" customFormat="1" ht="40.5" x14ac:dyDescent="0.25">
      <c r="B14" s="35">
        <f t="shared" si="0"/>
        <v>7</v>
      </c>
      <c r="C14" s="36" t="s">
        <v>262</v>
      </c>
      <c r="D14" s="21"/>
      <c r="E14" s="19"/>
      <c r="F14" s="20"/>
      <c r="G14" s="32"/>
    </row>
    <row r="15" spans="2:7" s="4" customFormat="1" ht="40.5" x14ac:dyDescent="0.25">
      <c r="B15" s="6">
        <f t="shared" si="1"/>
        <v>8</v>
      </c>
      <c r="C15" s="36" t="s">
        <v>263</v>
      </c>
      <c r="D15" s="21"/>
      <c r="E15" s="19"/>
      <c r="F15" s="20"/>
      <c r="G15" s="32"/>
    </row>
    <row r="16" spans="2:7" s="4" customFormat="1" ht="40.5" x14ac:dyDescent="0.25">
      <c r="B16" s="35">
        <f t="shared" si="0"/>
        <v>9</v>
      </c>
      <c r="C16" s="36" t="s">
        <v>265</v>
      </c>
      <c r="D16" s="21"/>
      <c r="E16" s="19"/>
      <c r="F16" s="20"/>
      <c r="G16" s="32"/>
    </row>
    <row r="17" spans="2:7" s="4" customFormat="1" ht="40.5" x14ac:dyDescent="0.25">
      <c r="B17" s="6">
        <f t="shared" si="1"/>
        <v>10</v>
      </c>
      <c r="C17" s="36" t="s">
        <v>267</v>
      </c>
      <c r="D17" s="21"/>
      <c r="E17" s="19"/>
      <c r="F17" s="20"/>
      <c r="G17" s="32"/>
    </row>
    <row r="18" spans="2:7" s="4" customFormat="1" ht="40.5" x14ac:dyDescent="0.25">
      <c r="B18" s="35">
        <f t="shared" si="0"/>
        <v>11</v>
      </c>
      <c r="C18" s="36" t="s">
        <v>266</v>
      </c>
      <c r="D18" s="21"/>
      <c r="E18" s="19"/>
      <c r="F18" s="20"/>
      <c r="G18" s="32"/>
    </row>
    <row r="19" spans="2:7" s="4" customFormat="1" ht="40.5" x14ac:dyDescent="0.25">
      <c r="B19" s="6">
        <f t="shared" si="1"/>
        <v>12</v>
      </c>
      <c r="C19" s="36" t="s">
        <v>268</v>
      </c>
      <c r="D19" s="21"/>
      <c r="E19" s="19"/>
      <c r="F19" s="20"/>
      <c r="G19" s="32"/>
    </row>
    <row r="20" spans="2:7" s="4" customFormat="1" ht="40.5" x14ac:dyDescent="0.25">
      <c r="B20" s="35">
        <f t="shared" si="0"/>
        <v>13</v>
      </c>
      <c r="C20" s="36" t="s">
        <v>269</v>
      </c>
      <c r="D20" s="21"/>
      <c r="E20" s="19"/>
      <c r="F20" s="20"/>
      <c r="G20" s="32"/>
    </row>
    <row r="21" spans="2:7" s="4" customFormat="1" ht="40.5" customHeight="1" x14ac:dyDescent="0.25">
      <c r="B21" s="6">
        <f t="shared" si="1"/>
        <v>14</v>
      </c>
      <c r="C21" s="36" t="s">
        <v>270</v>
      </c>
      <c r="D21" s="21"/>
      <c r="E21" s="19"/>
      <c r="F21" s="20"/>
      <c r="G21" s="32"/>
    </row>
    <row r="22" spans="2:7" s="4" customFormat="1" ht="40.5" x14ac:dyDescent="0.25">
      <c r="B22" s="35">
        <f t="shared" si="0"/>
        <v>15</v>
      </c>
      <c r="C22" s="36" t="s">
        <v>272</v>
      </c>
      <c r="D22" s="21"/>
      <c r="E22" s="19"/>
      <c r="F22" s="20"/>
      <c r="G22" s="32"/>
    </row>
    <row r="23" spans="2:7" s="4" customFormat="1" ht="40.5" x14ac:dyDescent="0.25">
      <c r="B23" s="6">
        <f t="shared" si="1"/>
        <v>16</v>
      </c>
      <c r="C23" s="36" t="s">
        <v>110</v>
      </c>
      <c r="D23" s="21"/>
      <c r="E23" s="19"/>
      <c r="F23" s="20"/>
      <c r="G23" s="32"/>
    </row>
    <row r="24" spans="2:7" s="4" customFormat="1" ht="40.5" x14ac:dyDescent="0.25">
      <c r="B24" s="35">
        <f t="shared" si="0"/>
        <v>17</v>
      </c>
      <c r="C24" s="36" t="s">
        <v>271</v>
      </c>
      <c r="D24" s="21"/>
      <c r="E24" s="19"/>
      <c r="F24" s="20"/>
      <c r="G24" s="32"/>
    </row>
    <row r="25" spans="2:7" s="4" customFormat="1" ht="40.5" x14ac:dyDescent="0.25">
      <c r="B25" s="6">
        <f t="shared" si="1"/>
        <v>18</v>
      </c>
      <c r="C25" s="36" t="s">
        <v>111</v>
      </c>
      <c r="D25" s="21"/>
      <c r="E25" s="19"/>
      <c r="F25" s="20"/>
      <c r="G25" s="32"/>
    </row>
    <row r="26" spans="2:7" s="4" customFormat="1" ht="40.5" x14ac:dyDescent="0.25">
      <c r="B26" s="35">
        <f t="shared" si="0"/>
        <v>19</v>
      </c>
      <c r="C26" s="36" t="s">
        <v>273</v>
      </c>
      <c r="D26" s="21"/>
      <c r="E26" s="19"/>
      <c r="F26" s="20"/>
      <c r="G26" s="32"/>
    </row>
    <row r="27" spans="2:7" s="4" customFormat="1" ht="60.75" x14ac:dyDescent="0.25">
      <c r="B27" s="6">
        <f t="shared" si="1"/>
        <v>20</v>
      </c>
      <c r="C27" s="36" t="s">
        <v>275</v>
      </c>
      <c r="D27" s="21"/>
      <c r="E27" s="19"/>
      <c r="F27" s="20"/>
      <c r="G27" s="32"/>
    </row>
    <row r="28" spans="2:7" s="4" customFormat="1" ht="40.5" x14ac:dyDescent="0.25">
      <c r="B28" s="35">
        <f t="shared" si="0"/>
        <v>21</v>
      </c>
      <c r="C28" s="36" t="s">
        <v>274</v>
      </c>
      <c r="D28" s="21"/>
      <c r="E28" s="19"/>
      <c r="F28" s="20"/>
      <c r="G28" s="32"/>
    </row>
    <row r="29" spans="2:7" s="4" customFormat="1" ht="60.75" x14ac:dyDescent="0.25">
      <c r="B29" s="6">
        <f t="shared" si="1"/>
        <v>22</v>
      </c>
      <c r="C29" s="36" t="s">
        <v>276</v>
      </c>
      <c r="D29" s="21"/>
      <c r="E29" s="19"/>
      <c r="F29" s="20"/>
      <c r="G29" s="32"/>
    </row>
    <row r="30" spans="2:7" s="4" customFormat="1" ht="60.75" x14ac:dyDescent="0.25">
      <c r="B30" s="35">
        <f t="shared" si="0"/>
        <v>23</v>
      </c>
      <c r="C30" s="36" t="s">
        <v>277</v>
      </c>
      <c r="D30" s="21"/>
      <c r="E30" s="19"/>
      <c r="F30" s="20"/>
      <c r="G30" s="32"/>
    </row>
    <row r="31" spans="2:7" ht="40.5" x14ac:dyDescent="0.25">
      <c r="B31" s="6">
        <f t="shared" si="1"/>
        <v>24</v>
      </c>
      <c r="C31" s="17" t="s">
        <v>112</v>
      </c>
      <c r="D31" s="22"/>
      <c r="E31" s="7"/>
      <c r="F31" s="8"/>
      <c r="G31" s="33"/>
    </row>
    <row r="32" spans="2:7" ht="60.75" x14ac:dyDescent="0.25">
      <c r="B32" s="35">
        <f t="shared" si="0"/>
        <v>25</v>
      </c>
      <c r="C32" s="17" t="s">
        <v>113</v>
      </c>
      <c r="D32" s="22"/>
      <c r="E32" s="7"/>
      <c r="F32" s="8"/>
      <c r="G32" s="33"/>
    </row>
    <row r="33" spans="2:7" ht="40.5" x14ac:dyDescent="0.25">
      <c r="B33" s="6">
        <f t="shared" si="1"/>
        <v>26</v>
      </c>
      <c r="C33" s="17" t="s">
        <v>114</v>
      </c>
      <c r="D33" s="22"/>
      <c r="E33" s="7"/>
      <c r="F33" s="8"/>
      <c r="G33" s="33"/>
    </row>
    <row r="34" spans="2:7" ht="40.5" x14ac:dyDescent="0.25">
      <c r="B34" s="35">
        <f t="shared" si="0"/>
        <v>27</v>
      </c>
      <c r="C34" s="17" t="s">
        <v>278</v>
      </c>
      <c r="D34" s="22"/>
      <c r="E34" s="7"/>
      <c r="F34" s="8"/>
      <c r="G34" s="33"/>
    </row>
    <row r="35" spans="2:7" ht="40.5" x14ac:dyDescent="0.25">
      <c r="B35" s="6">
        <f t="shared" si="1"/>
        <v>28</v>
      </c>
      <c r="C35" s="17" t="s">
        <v>28</v>
      </c>
      <c r="D35" s="22"/>
      <c r="E35" s="7"/>
      <c r="F35" s="8"/>
      <c r="G35" s="33"/>
    </row>
    <row r="36" spans="2:7" ht="40.5" x14ac:dyDescent="0.25">
      <c r="B36" s="35">
        <f t="shared" si="0"/>
        <v>29</v>
      </c>
      <c r="C36" s="17" t="s">
        <v>115</v>
      </c>
      <c r="D36" s="22"/>
      <c r="E36" s="7"/>
      <c r="F36" s="8"/>
      <c r="G36" s="33"/>
    </row>
    <row r="37" spans="2:7" ht="40.5" x14ac:dyDescent="0.25">
      <c r="B37" s="6">
        <f t="shared" si="1"/>
        <v>30</v>
      </c>
      <c r="C37" s="17" t="s">
        <v>116</v>
      </c>
      <c r="D37" s="22"/>
      <c r="E37" s="7"/>
      <c r="F37" s="8"/>
      <c r="G37" s="33"/>
    </row>
    <row r="38" spans="2:7" ht="40.5" x14ac:dyDescent="0.25">
      <c r="B38" s="35">
        <f t="shared" si="0"/>
        <v>31</v>
      </c>
      <c r="C38" s="17" t="s">
        <v>117</v>
      </c>
      <c r="D38" s="22"/>
      <c r="E38" s="7"/>
      <c r="F38" s="8"/>
      <c r="G38" s="33"/>
    </row>
    <row r="39" spans="2:7" ht="40.5" x14ac:dyDescent="0.25">
      <c r="B39" s="6">
        <f t="shared" si="1"/>
        <v>32</v>
      </c>
      <c r="C39" s="17" t="s">
        <v>280</v>
      </c>
      <c r="D39" s="22"/>
      <c r="E39" s="7"/>
      <c r="F39" s="8"/>
      <c r="G39" s="33"/>
    </row>
    <row r="40" spans="2:7" ht="60.75" x14ac:dyDescent="0.25">
      <c r="B40" s="35">
        <f t="shared" si="0"/>
        <v>33</v>
      </c>
      <c r="C40" s="17" t="s">
        <v>281</v>
      </c>
      <c r="D40" s="22"/>
      <c r="E40" s="7"/>
      <c r="F40" s="8"/>
      <c r="G40" s="33"/>
    </row>
    <row r="41" spans="2:7" ht="40.5" x14ac:dyDescent="0.25">
      <c r="B41" s="6">
        <f t="shared" si="1"/>
        <v>34</v>
      </c>
      <c r="C41" s="17" t="s">
        <v>282</v>
      </c>
      <c r="D41" s="22"/>
      <c r="E41" s="7"/>
      <c r="F41" s="8"/>
      <c r="G41" s="33"/>
    </row>
    <row r="42" spans="2:7" ht="60.75" x14ac:dyDescent="0.25">
      <c r="B42" s="35">
        <f t="shared" si="0"/>
        <v>35</v>
      </c>
      <c r="C42" s="17" t="s">
        <v>118</v>
      </c>
      <c r="D42" s="22"/>
      <c r="E42" s="7"/>
      <c r="F42" s="8"/>
      <c r="G42" s="33"/>
    </row>
    <row r="43" spans="2:7" ht="60.75" x14ac:dyDescent="0.25">
      <c r="B43" s="6">
        <f t="shared" si="1"/>
        <v>36</v>
      </c>
      <c r="C43" s="17" t="s">
        <v>283</v>
      </c>
      <c r="D43" s="22"/>
      <c r="E43" s="7"/>
      <c r="F43" s="8"/>
      <c r="G43" s="33"/>
    </row>
    <row r="44" spans="2:7" ht="60.75" x14ac:dyDescent="0.25">
      <c r="B44" s="35">
        <f t="shared" si="0"/>
        <v>37</v>
      </c>
      <c r="C44" s="17" t="s">
        <v>284</v>
      </c>
      <c r="D44" s="22"/>
      <c r="E44" s="7"/>
      <c r="F44" s="8"/>
      <c r="G44" s="33"/>
    </row>
    <row r="45" spans="2:7" ht="40.5" x14ac:dyDescent="0.25">
      <c r="B45" s="6">
        <f t="shared" si="1"/>
        <v>38</v>
      </c>
      <c r="C45" s="17" t="s">
        <v>285</v>
      </c>
      <c r="D45" s="22"/>
      <c r="E45" s="7"/>
      <c r="F45" s="8"/>
      <c r="G45" s="33"/>
    </row>
    <row r="46" spans="2:7" ht="60.75" x14ac:dyDescent="0.25">
      <c r="B46" s="35">
        <f t="shared" si="0"/>
        <v>39</v>
      </c>
      <c r="C46" s="17" t="s">
        <v>605</v>
      </c>
      <c r="D46" s="22"/>
      <c r="E46" s="7"/>
      <c r="F46" s="8"/>
      <c r="G46" s="33"/>
    </row>
    <row r="47" spans="2:7" ht="60.75" x14ac:dyDescent="0.25">
      <c r="B47" s="6">
        <f t="shared" si="1"/>
        <v>40</v>
      </c>
      <c r="C47" s="17" t="s">
        <v>604</v>
      </c>
      <c r="D47" s="22"/>
      <c r="E47" s="33"/>
      <c r="F47" s="8"/>
    </row>
    <row r="48" spans="2:7" ht="60.75" x14ac:dyDescent="0.25">
      <c r="B48" s="35">
        <f t="shared" si="0"/>
        <v>41</v>
      </c>
      <c r="C48" s="17" t="s">
        <v>35</v>
      </c>
      <c r="D48" s="22"/>
      <c r="E48" s="33"/>
      <c r="F48" s="8"/>
    </row>
    <row r="49" spans="2:7" ht="60.75" x14ac:dyDescent="0.25">
      <c r="B49" s="6">
        <f t="shared" si="1"/>
        <v>42</v>
      </c>
      <c r="C49" s="17" t="s">
        <v>33</v>
      </c>
      <c r="D49" s="22"/>
      <c r="E49" s="33"/>
      <c r="F49" s="8"/>
    </row>
    <row r="50" spans="2:7" ht="20.25" x14ac:dyDescent="0.25">
      <c r="B50" s="35">
        <f t="shared" si="0"/>
        <v>43</v>
      </c>
      <c r="C50" s="17" t="s">
        <v>176</v>
      </c>
      <c r="D50" s="22"/>
      <c r="E50" s="7"/>
      <c r="F50" s="8"/>
      <c r="G50" s="33"/>
    </row>
    <row r="51" spans="2:7" ht="40.5" x14ac:dyDescent="0.25">
      <c r="B51" s="6">
        <f t="shared" si="1"/>
        <v>44</v>
      </c>
      <c r="C51" s="17" t="s">
        <v>181</v>
      </c>
      <c r="D51" s="22"/>
      <c r="E51" s="7"/>
      <c r="F51" s="8"/>
      <c r="G51" s="33"/>
    </row>
    <row r="52" spans="2:7" ht="40.5" x14ac:dyDescent="0.25">
      <c r="B52" s="35">
        <f t="shared" si="0"/>
        <v>45</v>
      </c>
      <c r="C52" s="36" t="s">
        <v>422</v>
      </c>
      <c r="D52" s="22"/>
      <c r="E52" s="7"/>
      <c r="F52" s="8"/>
      <c r="G52" s="33"/>
    </row>
    <row r="53" spans="2:7" ht="40.5" x14ac:dyDescent="0.25">
      <c r="B53" s="6">
        <f t="shared" si="1"/>
        <v>46</v>
      </c>
      <c r="C53" s="17" t="s">
        <v>438</v>
      </c>
      <c r="D53" s="22"/>
      <c r="E53" s="7"/>
      <c r="F53" s="8"/>
      <c r="G53" s="33"/>
    </row>
    <row r="54" spans="2:7" ht="66.75" customHeight="1" x14ac:dyDescent="0.25">
      <c r="B54" s="35">
        <f t="shared" si="0"/>
        <v>47</v>
      </c>
      <c r="C54" s="17" t="s">
        <v>616</v>
      </c>
      <c r="D54" s="38"/>
      <c r="E54" s="39"/>
      <c r="F54" s="40"/>
      <c r="G54" s="41"/>
    </row>
    <row r="55" spans="2:7" ht="54" customHeight="1" thickBot="1" x14ac:dyDescent="0.3">
      <c r="B55" s="6">
        <f t="shared" si="1"/>
        <v>48</v>
      </c>
      <c r="C55" s="103" t="s">
        <v>444</v>
      </c>
      <c r="D55" s="38"/>
      <c r="E55" s="39"/>
      <c r="F55" s="40"/>
      <c r="G55" s="41"/>
    </row>
    <row r="56" spans="2:7" ht="18.75" thickBot="1" x14ac:dyDescent="0.3">
      <c r="B56" s="245" t="s">
        <v>13</v>
      </c>
      <c r="C56" s="246"/>
      <c r="D56" s="175" t="s">
        <v>7</v>
      </c>
      <c r="E56" s="176"/>
      <c r="F56" s="177"/>
      <c r="G56" s="24" t="s">
        <v>8</v>
      </c>
    </row>
    <row r="57" spans="2:7" x14ac:dyDescent="0.25">
      <c r="B57" s="153"/>
      <c r="C57" s="154"/>
      <c r="D57" s="154"/>
      <c r="E57" s="154"/>
      <c r="F57" s="154"/>
      <c r="G57" s="159"/>
    </row>
    <row r="58" spans="2:7" x14ac:dyDescent="0.25">
      <c r="B58" s="155"/>
      <c r="C58" s="156"/>
      <c r="D58" s="156"/>
      <c r="E58" s="156"/>
      <c r="F58" s="156"/>
      <c r="G58" s="160"/>
    </row>
    <row r="59" spans="2:7" x14ac:dyDescent="0.25">
      <c r="B59" s="155"/>
      <c r="C59" s="156"/>
      <c r="D59" s="156"/>
      <c r="E59" s="156"/>
      <c r="F59" s="156"/>
      <c r="G59" s="160"/>
    </row>
    <row r="60" spans="2:7" x14ac:dyDescent="0.25">
      <c r="B60" s="155"/>
      <c r="C60" s="156"/>
      <c r="D60" s="156"/>
      <c r="E60" s="156"/>
      <c r="F60" s="156"/>
      <c r="G60" s="160"/>
    </row>
    <row r="61" spans="2:7" ht="15.75" thickBot="1" x14ac:dyDescent="0.3">
      <c r="B61" s="157"/>
      <c r="C61" s="158"/>
      <c r="D61" s="158"/>
      <c r="E61" s="158"/>
      <c r="F61" s="158"/>
      <c r="G61" s="161"/>
    </row>
  </sheetData>
  <sheetProtection selectLockedCells="1"/>
  <mergeCells count="10">
    <mergeCell ref="B57:C61"/>
    <mergeCell ref="D57:F61"/>
    <mergeCell ref="G57:G61"/>
    <mergeCell ref="B3:F3"/>
    <mergeCell ref="D4:F4"/>
    <mergeCell ref="E6:F6"/>
    <mergeCell ref="B56:C56"/>
    <mergeCell ref="D56:F56"/>
    <mergeCell ref="B5:C5"/>
    <mergeCell ref="D5:G5"/>
  </mergeCells>
  <conditionalFormatting sqref="D8:D55">
    <cfRule type="cellIs" dxfId="57" priority="3" operator="equal">
      <formula>3</formula>
    </cfRule>
    <cfRule type="cellIs" dxfId="56" priority="4" operator="equal">
      <formula>4</formula>
    </cfRule>
  </conditionalFormatting>
  <printOptions horizontalCentered="1"/>
  <pageMargins left="0.15748031496062992" right="7.874015748031496E-2" top="0.19685039370078741" bottom="0.15748031496062992" header="0.31496062992125984" footer="0.31496062992125984"/>
  <pageSetup paperSize="9" scale="56" fitToHeight="3" orientation="portrait" r:id="rId1"/>
  <colBreaks count="1" manualBreakCount="1">
    <brk id="3" min="2" max="111"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9">
    <tabColor theme="0" tint="-0.14999847407452621"/>
    <pageSetUpPr fitToPage="1"/>
  </sheetPr>
  <dimension ref="B1:G23"/>
  <sheetViews>
    <sheetView view="pageBreakPreview" zoomScale="70" zoomScaleNormal="55" zoomScaleSheetLayoutView="70" zoomScalePageLayoutView="70" workbookViewId="0">
      <selection activeCell="G42" sqref="G42"/>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22</v>
      </c>
      <c r="D4" s="165" t="str">
        <f>+'Line &amp; frequency'!C1</f>
        <v>CHAINE 5</v>
      </c>
      <c r="E4" s="166"/>
      <c r="F4" s="166"/>
      <c r="G4" s="31" t="s">
        <v>496</v>
      </c>
    </row>
    <row r="5" spans="2:7" ht="39" customHeight="1" thickBot="1" x14ac:dyDescent="0.3">
      <c r="B5" s="167" t="s">
        <v>170</v>
      </c>
      <c r="C5" s="168"/>
      <c r="D5" s="221" t="s">
        <v>671</v>
      </c>
      <c r="E5" s="247"/>
      <c r="F5" s="247"/>
      <c r="G5" s="247"/>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54" x14ac:dyDescent="0.25">
      <c r="B8" s="5">
        <v>1</v>
      </c>
      <c r="C8" s="106" t="s">
        <v>499</v>
      </c>
      <c r="D8" s="21"/>
      <c r="E8" s="19"/>
      <c r="F8" s="20"/>
      <c r="G8" s="32"/>
    </row>
    <row r="9" spans="2:7" s="4" customFormat="1" ht="28.5" customHeight="1" x14ac:dyDescent="0.25">
      <c r="B9" s="6">
        <v>2</v>
      </c>
      <c r="C9" s="106" t="s">
        <v>500</v>
      </c>
      <c r="D9" s="21"/>
      <c r="E9" s="19"/>
      <c r="F9" s="20"/>
      <c r="G9" s="32"/>
    </row>
    <row r="10" spans="2:7" s="4" customFormat="1" ht="36.75" customHeight="1" x14ac:dyDescent="0.25">
      <c r="B10" s="6">
        <f>B9+1</f>
        <v>3</v>
      </c>
      <c r="C10" s="106" t="s">
        <v>501</v>
      </c>
      <c r="D10" s="21"/>
      <c r="E10" s="19"/>
      <c r="F10" s="20"/>
      <c r="G10" s="32"/>
    </row>
    <row r="11" spans="2:7" s="4" customFormat="1" ht="43.5" customHeight="1" x14ac:dyDescent="0.25">
      <c r="B11" s="35">
        <f>+B10+1</f>
        <v>4</v>
      </c>
      <c r="C11" s="106" t="s">
        <v>503</v>
      </c>
      <c r="D11" s="21"/>
      <c r="E11" s="19"/>
      <c r="F11" s="20"/>
      <c r="G11" s="32"/>
    </row>
    <row r="12" spans="2:7" s="4" customFormat="1" ht="40.5" customHeight="1" x14ac:dyDescent="0.25">
      <c r="B12" s="6">
        <f>B11+1</f>
        <v>5</v>
      </c>
      <c r="C12" s="106" t="s">
        <v>502</v>
      </c>
      <c r="D12" s="21"/>
      <c r="E12" s="19"/>
      <c r="F12" s="20"/>
      <c r="G12" s="32"/>
    </row>
    <row r="13" spans="2:7" s="4" customFormat="1" ht="36.75" customHeight="1" x14ac:dyDescent="0.25">
      <c r="B13" s="6">
        <v>6</v>
      </c>
      <c r="C13" s="106" t="s">
        <v>504</v>
      </c>
      <c r="D13" s="21"/>
      <c r="E13" s="19"/>
      <c r="F13" s="20"/>
      <c r="G13" s="32"/>
    </row>
    <row r="14" spans="2:7" s="4" customFormat="1" ht="36" x14ac:dyDescent="0.25">
      <c r="B14" s="6">
        <v>7</v>
      </c>
      <c r="C14" s="106" t="s">
        <v>505</v>
      </c>
      <c r="D14" s="21"/>
      <c r="E14" s="19"/>
      <c r="F14" s="20"/>
      <c r="G14" s="32"/>
    </row>
    <row r="15" spans="2:7" s="4" customFormat="1" ht="36" x14ac:dyDescent="0.25">
      <c r="B15" s="35">
        <f>+B14+1</f>
        <v>8</v>
      </c>
      <c r="C15" s="106" t="s">
        <v>497</v>
      </c>
      <c r="D15" s="21"/>
      <c r="E15" s="19"/>
      <c r="F15" s="20"/>
      <c r="G15" s="32"/>
    </row>
    <row r="16" spans="2:7" s="4" customFormat="1" ht="54" x14ac:dyDescent="0.25">
      <c r="B16" s="6">
        <v>9</v>
      </c>
      <c r="C16" s="106" t="s">
        <v>498</v>
      </c>
      <c r="D16" s="21"/>
      <c r="E16" s="19"/>
      <c r="F16" s="20"/>
      <c r="G16" s="32"/>
    </row>
    <row r="17" spans="2:7" s="4" customFormat="1" ht="19.5" thickBot="1" x14ac:dyDescent="0.3">
      <c r="B17" s="6"/>
      <c r="C17" s="106"/>
      <c r="D17" s="21"/>
      <c r="E17" s="19"/>
      <c r="F17" s="20"/>
      <c r="G17" s="32"/>
    </row>
    <row r="18" spans="2:7" ht="18.75" thickBot="1" x14ac:dyDescent="0.3">
      <c r="B18" s="245" t="s">
        <v>13</v>
      </c>
      <c r="C18" s="246"/>
      <c r="D18" s="175" t="s">
        <v>7</v>
      </c>
      <c r="E18" s="176"/>
      <c r="F18" s="177"/>
      <c r="G18" s="24" t="s">
        <v>8</v>
      </c>
    </row>
    <row r="19" spans="2:7" x14ac:dyDescent="0.25">
      <c r="B19" s="153"/>
      <c r="C19" s="154"/>
      <c r="D19" s="154"/>
      <c r="E19" s="154"/>
      <c r="F19" s="154"/>
      <c r="G19" s="159"/>
    </row>
    <row r="20" spans="2:7" x14ac:dyDescent="0.25">
      <c r="B20" s="155"/>
      <c r="C20" s="156"/>
      <c r="D20" s="156"/>
      <c r="E20" s="156"/>
      <c r="F20" s="156"/>
      <c r="G20" s="160"/>
    </row>
    <row r="21" spans="2:7" x14ac:dyDescent="0.25">
      <c r="B21" s="155"/>
      <c r="C21" s="156"/>
      <c r="D21" s="156"/>
      <c r="E21" s="156"/>
      <c r="F21" s="156"/>
      <c r="G21" s="160"/>
    </row>
    <row r="22" spans="2:7" x14ac:dyDescent="0.25">
      <c r="B22" s="155"/>
      <c r="C22" s="156"/>
      <c r="D22" s="156"/>
      <c r="E22" s="156"/>
      <c r="F22" s="156"/>
      <c r="G22" s="160"/>
    </row>
    <row r="23" spans="2:7" ht="15.75" thickBot="1" x14ac:dyDescent="0.3">
      <c r="B23" s="157"/>
      <c r="C23" s="158"/>
      <c r="D23" s="158"/>
      <c r="E23" s="158"/>
      <c r="F23" s="158"/>
      <c r="G23" s="161"/>
    </row>
  </sheetData>
  <sheetProtection selectLockedCells="1"/>
  <mergeCells count="10">
    <mergeCell ref="B19:C23"/>
    <mergeCell ref="D19:F23"/>
    <mergeCell ref="G19:G23"/>
    <mergeCell ref="B3:F3"/>
    <mergeCell ref="D4:F4"/>
    <mergeCell ref="B5:C5"/>
    <mergeCell ref="D5:G5"/>
    <mergeCell ref="E6:F6"/>
    <mergeCell ref="B18:C18"/>
    <mergeCell ref="D18:F18"/>
  </mergeCells>
  <conditionalFormatting sqref="D8:D17">
    <cfRule type="cellIs" dxfId="55" priority="1" operator="equal">
      <formula>3</formula>
    </cfRule>
    <cfRule type="cellIs" dxfId="54" priority="2" operator="equal">
      <formula>4</formula>
    </cfRule>
  </conditionalFormatting>
  <printOptions horizontalCentered="1"/>
  <pageMargins left="0.15748031496062992" right="7.874015748031496E-2" top="0.19685039370078741" bottom="0.15748031496062992" header="0.31496062992125984" footer="0.31496062992125984"/>
  <pageSetup paperSize="9" scale="56" fitToHeight="3" orientation="portrait" r:id="rId1"/>
  <colBreaks count="1" manualBreakCount="1">
    <brk id="3" min="2" max="111" man="1"/>
  </col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0" tint="-0.14999847407452621"/>
    <pageSetUpPr fitToPage="1"/>
  </sheetPr>
  <dimension ref="B1:G23"/>
  <sheetViews>
    <sheetView view="pageBreakPreview" zoomScale="70" zoomScaleNormal="55" zoomScaleSheetLayoutView="70" zoomScalePageLayoutView="70" workbookViewId="0">
      <selection activeCell="G42" sqref="G42"/>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22</v>
      </c>
      <c r="D4" s="165" t="str">
        <f>+'Line &amp; frequency'!C1</f>
        <v>CHAINE 5</v>
      </c>
      <c r="E4" s="166"/>
      <c r="F4" s="166"/>
      <c r="G4" s="31" t="s">
        <v>529</v>
      </c>
    </row>
    <row r="5" spans="2:7" ht="39" customHeight="1" thickBot="1" x14ac:dyDescent="0.3">
      <c r="B5" s="167" t="s">
        <v>170</v>
      </c>
      <c r="C5" s="168"/>
      <c r="D5" s="221" t="s">
        <v>671</v>
      </c>
      <c r="E5" s="247"/>
      <c r="F5" s="247"/>
      <c r="G5" s="247"/>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36" x14ac:dyDescent="0.25">
      <c r="B8" s="5">
        <v>1</v>
      </c>
      <c r="C8" s="106" t="s">
        <v>692</v>
      </c>
      <c r="D8" s="21"/>
      <c r="E8" s="19"/>
      <c r="F8" s="20"/>
      <c r="G8" s="32"/>
    </row>
    <row r="9" spans="2:7" s="4" customFormat="1" ht="28.5" customHeight="1" x14ac:dyDescent="0.25">
      <c r="B9" s="6">
        <v>2</v>
      </c>
      <c r="C9" s="106"/>
      <c r="D9" s="21"/>
      <c r="E9" s="19"/>
      <c r="F9" s="20"/>
      <c r="G9" s="32"/>
    </row>
    <row r="10" spans="2:7" s="4" customFormat="1" ht="36.75" customHeight="1" x14ac:dyDescent="0.25">
      <c r="B10" s="6">
        <f>B9+1</f>
        <v>3</v>
      </c>
      <c r="C10" s="106"/>
      <c r="D10" s="21"/>
      <c r="E10" s="19"/>
      <c r="F10" s="20"/>
      <c r="G10" s="32"/>
    </row>
    <row r="11" spans="2:7" s="4" customFormat="1" ht="43.5" customHeight="1" x14ac:dyDescent="0.25">
      <c r="B11" s="35">
        <f>+B10+1</f>
        <v>4</v>
      </c>
      <c r="C11" s="106"/>
      <c r="D11" s="21"/>
      <c r="E11" s="19"/>
      <c r="F11" s="20"/>
      <c r="G11" s="32"/>
    </row>
    <row r="12" spans="2:7" s="4" customFormat="1" ht="40.5" customHeight="1" x14ac:dyDescent="0.25">
      <c r="B12" s="6">
        <f>B11+1</f>
        <v>5</v>
      </c>
      <c r="C12" s="106"/>
      <c r="D12" s="21"/>
      <c r="E12" s="19"/>
      <c r="F12" s="20"/>
      <c r="G12" s="32"/>
    </row>
    <row r="13" spans="2:7" s="4" customFormat="1" ht="36.75" customHeight="1" x14ac:dyDescent="0.25">
      <c r="B13" s="6">
        <v>6</v>
      </c>
      <c r="C13" s="106"/>
      <c r="D13" s="21"/>
      <c r="E13" s="19"/>
      <c r="F13" s="20"/>
      <c r="G13" s="32"/>
    </row>
    <row r="14" spans="2:7" s="4" customFormat="1" ht="18.75" x14ac:dyDescent="0.25">
      <c r="B14" s="6">
        <v>7</v>
      </c>
      <c r="C14" s="106"/>
      <c r="D14" s="21"/>
      <c r="E14" s="19"/>
      <c r="F14" s="20"/>
      <c r="G14" s="32"/>
    </row>
    <row r="15" spans="2:7" s="4" customFormat="1" ht="18.75" x14ac:dyDescent="0.25">
      <c r="B15" s="35">
        <f>+B14+1</f>
        <v>8</v>
      </c>
      <c r="C15" s="106"/>
      <c r="D15" s="21"/>
      <c r="E15" s="19"/>
      <c r="F15" s="20"/>
      <c r="G15" s="32"/>
    </row>
    <row r="16" spans="2:7" s="4" customFormat="1" ht="18.75" x14ac:dyDescent="0.25">
      <c r="B16" s="6">
        <v>9</v>
      </c>
      <c r="C16" s="106"/>
      <c r="D16" s="21"/>
      <c r="E16" s="19"/>
      <c r="F16" s="20"/>
      <c r="G16" s="32"/>
    </row>
    <row r="17" spans="2:7" s="4" customFormat="1" ht="19.5" thickBot="1" x14ac:dyDescent="0.3">
      <c r="B17" s="6"/>
      <c r="C17" s="106"/>
      <c r="D17" s="21"/>
      <c r="E17" s="19"/>
      <c r="F17" s="20"/>
      <c r="G17" s="32"/>
    </row>
    <row r="18" spans="2:7" ht="18.75" thickBot="1" x14ac:dyDescent="0.3">
      <c r="B18" s="245" t="s">
        <v>13</v>
      </c>
      <c r="C18" s="246"/>
      <c r="D18" s="175" t="s">
        <v>7</v>
      </c>
      <c r="E18" s="176"/>
      <c r="F18" s="177"/>
      <c r="G18" s="24" t="s">
        <v>8</v>
      </c>
    </row>
    <row r="19" spans="2:7" x14ac:dyDescent="0.25">
      <c r="B19" s="153"/>
      <c r="C19" s="154"/>
      <c r="D19" s="154"/>
      <c r="E19" s="154"/>
      <c r="F19" s="154"/>
      <c r="G19" s="159"/>
    </row>
    <row r="20" spans="2:7" x14ac:dyDescent="0.25">
      <c r="B20" s="155"/>
      <c r="C20" s="156"/>
      <c r="D20" s="156"/>
      <c r="E20" s="156"/>
      <c r="F20" s="156"/>
      <c r="G20" s="160"/>
    </row>
    <row r="21" spans="2:7" x14ac:dyDescent="0.25">
      <c r="B21" s="155"/>
      <c r="C21" s="156"/>
      <c r="D21" s="156"/>
      <c r="E21" s="156"/>
      <c r="F21" s="156"/>
      <c r="G21" s="160"/>
    </row>
    <row r="22" spans="2:7" x14ac:dyDescent="0.25">
      <c r="B22" s="155"/>
      <c r="C22" s="156"/>
      <c r="D22" s="156"/>
      <c r="E22" s="156"/>
      <c r="F22" s="156"/>
      <c r="G22" s="160"/>
    </row>
    <row r="23" spans="2:7" ht="15.75" thickBot="1" x14ac:dyDescent="0.3">
      <c r="B23" s="157"/>
      <c r="C23" s="158"/>
      <c r="D23" s="158"/>
      <c r="E23" s="158"/>
      <c r="F23" s="158"/>
      <c r="G23" s="161"/>
    </row>
  </sheetData>
  <sheetProtection selectLockedCells="1"/>
  <mergeCells count="10">
    <mergeCell ref="B19:C23"/>
    <mergeCell ref="D19:F23"/>
    <mergeCell ref="G19:G23"/>
    <mergeCell ref="B3:F3"/>
    <mergeCell ref="D4:F4"/>
    <mergeCell ref="B5:C5"/>
    <mergeCell ref="D5:G5"/>
    <mergeCell ref="E6:F6"/>
    <mergeCell ref="B18:C18"/>
    <mergeCell ref="D18:F18"/>
  </mergeCells>
  <conditionalFormatting sqref="D8:D17">
    <cfRule type="cellIs" dxfId="43" priority="1" operator="equal">
      <formula>3</formula>
    </cfRule>
    <cfRule type="cellIs" dxfId="42" priority="2" operator="equal">
      <formula>4</formula>
    </cfRule>
  </conditionalFormatting>
  <printOptions horizontalCentered="1"/>
  <pageMargins left="0.15748031496062992" right="7.874015748031496E-2" top="0.19685039370078741" bottom="0.15748031496062992" header="0.31496062992125984" footer="0.31496062992125984"/>
  <pageSetup paperSize="9" scale="56" fitToHeight="3" orientation="portrait" r:id="rId1"/>
  <colBreaks count="1" manualBreakCount="1">
    <brk id="3" min="2" max="111" man="1"/>
  </col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8">
    <tabColor theme="0" tint="-0.14999847407452621"/>
    <pageSetUpPr fitToPage="1"/>
  </sheetPr>
  <dimension ref="B1:G81"/>
  <sheetViews>
    <sheetView view="pageBreakPreview" zoomScale="55" zoomScaleNormal="55" zoomScaleSheetLayoutView="55" zoomScalePageLayoutView="70" workbookViewId="0">
      <selection activeCell="G15" sqref="G15"/>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19</v>
      </c>
      <c r="D4" s="165" t="str">
        <f>+'Line &amp; frequency'!C1</f>
        <v>CHAINE 5</v>
      </c>
      <c r="E4" s="166"/>
      <c r="F4" s="166"/>
      <c r="G4" s="31" t="str">
        <f>+'Line &amp; frequency'!C2</f>
        <v>HEBDOMADAIRE</v>
      </c>
    </row>
    <row r="5" spans="2:7" ht="39" customHeight="1" thickBot="1" x14ac:dyDescent="0.3">
      <c r="B5" s="167" t="s">
        <v>170</v>
      </c>
      <c r="C5" s="168"/>
      <c r="D5" s="169" t="s">
        <v>711</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16" t="s">
        <v>80</v>
      </c>
      <c r="D8" s="21"/>
      <c r="E8" s="19"/>
      <c r="F8" s="20"/>
      <c r="G8" s="32"/>
    </row>
    <row r="9" spans="2:7" s="4" customFormat="1" ht="64.5" customHeight="1" x14ac:dyDescent="0.25">
      <c r="B9" s="6">
        <f>B8+1</f>
        <v>2</v>
      </c>
      <c r="C9" s="36" t="s">
        <v>81</v>
      </c>
      <c r="D9" s="21"/>
      <c r="E9" s="19"/>
      <c r="F9" s="20"/>
      <c r="G9" s="32"/>
    </row>
    <row r="10" spans="2:7" s="4" customFormat="1" ht="64.5" customHeight="1" x14ac:dyDescent="0.25">
      <c r="B10" s="35">
        <f>+B9+1</f>
        <v>3</v>
      </c>
      <c r="C10" s="36" t="s">
        <v>82</v>
      </c>
      <c r="D10" s="21"/>
      <c r="E10" s="19"/>
      <c r="F10" s="20"/>
      <c r="G10" s="32"/>
    </row>
    <row r="11" spans="2:7" s="4" customFormat="1" ht="64.5" customHeight="1" x14ac:dyDescent="0.25">
      <c r="B11" s="6">
        <f>B10+1</f>
        <v>4</v>
      </c>
      <c r="C11" s="36" t="s">
        <v>139</v>
      </c>
      <c r="D11" s="21"/>
      <c r="E11" s="19"/>
      <c r="F11" s="20"/>
      <c r="G11" s="56"/>
    </row>
    <row r="12" spans="2:7" s="4" customFormat="1" ht="64.5" customHeight="1" x14ac:dyDescent="0.25">
      <c r="B12" s="35">
        <f>+B11+1</f>
        <v>5</v>
      </c>
      <c r="C12" s="36" t="s">
        <v>83</v>
      </c>
      <c r="D12" s="21"/>
      <c r="E12" s="19"/>
      <c r="F12" s="20"/>
      <c r="G12" s="32"/>
    </row>
    <row r="13" spans="2:7" s="4" customFormat="1" ht="64.5" customHeight="1" x14ac:dyDescent="0.25">
      <c r="B13" s="6">
        <f>B12+1</f>
        <v>6</v>
      </c>
      <c r="C13" s="36" t="s">
        <v>140</v>
      </c>
      <c r="D13" s="21"/>
      <c r="E13" s="19"/>
      <c r="F13" s="20"/>
      <c r="G13" s="32"/>
    </row>
    <row r="14" spans="2:7" s="4" customFormat="1" ht="64.5" customHeight="1" x14ac:dyDescent="0.25">
      <c r="B14" s="35">
        <f>+B13+1</f>
        <v>7</v>
      </c>
      <c r="C14" s="36" t="s">
        <v>141</v>
      </c>
      <c r="D14" s="21"/>
      <c r="E14" s="19"/>
      <c r="F14" s="20"/>
      <c r="G14" s="32"/>
    </row>
    <row r="15" spans="2:7" s="4" customFormat="1" ht="64.5" customHeight="1" x14ac:dyDescent="0.25">
      <c r="B15" s="6">
        <f>B14+1</f>
        <v>8</v>
      </c>
      <c r="C15" s="36" t="s">
        <v>142</v>
      </c>
      <c r="D15" s="21"/>
      <c r="E15" s="19"/>
      <c r="F15" s="20"/>
      <c r="G15" s="32"/>
    </row>
    <row r="16" spans="2:7" s="4" customFormat="1" ht="64.5" customHeight="1" x14ac:dyDescent="0.25">
      <c r="B16" s="35">
        <f>+B15+1</f>
        <v>9</v>
      </c>
      <c r="C16" s="36" t="s">
        <v>143</v>
      </c>
      <c r="D16" s="21"/>
      <c r="E16" s="19"/>
      <c r="F16" s="20"/>
      <c r="G16" s="32"/>
    </row>
    <row r="17" spans="2:7" s="4" customFormat="1" ht="64.5" customHeight="1" x14ac:dyDescent="0.25">
      <c r="B17" s="6">
        <f>B16+1</f>
        <v>10</v>
      </c>
      <c r="C17" s="36" t="s">
        <v>144</v>
      </c>
      <c r="D17" s="21"/>
      <c r="E17" s="19"/>
      <c r="F17" s="20"/>
      <c r="G17" s="32"/>
    </row>
    <row r="18" spans="2:7" s="4" customFormat="1" ht="64.5" customHeight="1" x14ac:dyDescent="0.25">
      <c r="B18" s="35">
        <f>+B17+1</f>
        <v>11</v>
      </c>
      <c r="C18" s="36" t="s">
        <v>145</v>
      </c>
      <c r="D18" s="21"/>
      <c r="E18" s="19"/>
      <c r="F18" s="20"/>
      <c r="G18" s="32"/>
    </row>
    <row r="19" spans="2:7" s="4" customFormat="1" ht="64.5" customHeight="1" x14ac:dyDescent="0.25">
      <c r="B19" s="6">
        <f>B18+1</f>
        <v>12</v>
      </c>
      <c r="C19" s="36" t="s">
        <v>146</v>
      </c>
      <c r="D19" s="21"/>
      <c r="E19" s="19"/>
      <c r="F19" s="20"/>
      <c r="G19" s="32"/>
    </row>
    <row r="20" spans="2:7" s="4" customFormat="1" ht="64.5" customHeight="1" x14ac:dyDescent="0.25">
      <c r="B20" s="35">
        <f>+B19+1</f>
        <v>13</v>
      </c>
      <c r="C20" s="36" t="s">
        <v>147</v>
      </c>
      <c r="D20" s="21"/>
      <c r="E20" s="19"/>
      <c r="F20" s="20"/>
      <c r="G20" s="32"/>
    </row>
    <row r="21" spans="2:7" s="4" customFormat="1" ht="64.5" customHeight="1" x14ac:dyDescent="0.25">
      <c r="B21" s="6">
        <f>B20+1</f>
        <v>14</v>
      </c>
      <c r="C21" s="36" t="s">
        <v>78</v>
      </c>
      <c r="D21" s="21"/>
      <c r="E21" s="19"/>
      <c r="F21" s="20"/>
      <c r="G21" s="32"/>
    </row>
    <row r="22" spans="2:7" s="4" customFormat="1" ht="64.5" customHeight="1" x14ac:dyDescent="0.25">
      <c r="B22" s="35">
        <f>+B21+1</f>
        <v>15</v>
      </c>
      <c r="C22" s="36" t="s">
        <v>79</v>
      </c>
      <c r="D22" s="21"/>
      <c r="E22" s="19"/>
      <c r="F22" s="20"/>
      <c r="G22" s="32"/>
    </row>
    <row r="23" spans="2:7" s="4" customFormat="1" ht="64.5" customHeight="1" x14ac:dyDescent="0.25">
      <c r="B23" s="6">
        <f>B22+1</f>
        <v>16</v>
      </c>
      <c r="C23" s="36" t="s">
        <v>148</v>
      </c>
      <c r="D23" s="21"/>
      <c r="E23" s="19"/>
      <c r="F23" s="20"/>
      <c r="G23" s="32"/>
    </row>
    <row r="24" spans="2:7" s="4" customFormat="1" ht="64.5" customHeight="1" x14ac:dyDescent="0.25">
      <c r="B24" s="35">
        <f>+B23+1</f>
        <v>17</v>
      </c>
      <c r="C24" s="36" t="s">
        <v>149</v>
      </c>
      <c r="D24" s="21"/>
      <c r="E24" s="19"/>
      <c r="F24" s="20"/>
      <c r="G24" s="32"/>
    </row>
    <row r="25" spans="2:7" s="4" customFormat="1" ht="64.5" customHeight="1" x14ac:dyDescent="0.25">
      <c r="B25" s="6">
        <f>B24+1</f>
        <v>18</v>
      </c>
      <c r="C25" s="36" t="s">
        <v>150</v>
      </c>
      <c r="D25" s="21"/>
      <c r="E25" s="19"/>
      <c r="F25" s="20"/>
      <c r="G25" s="32"/>
    </row>
    <row r="26" spans="2:7" s="4" customFormat="1" ht="64.5" customHeight="1" x14ac:dyDescent="0.25">
      <c r="B26" s="35">
        <f>+B25+1</f>
        <v>19</v>
      </c>
      <c r="C26" s="36" t="s">
        <v>151</v>
      </c>
      <c r="D26" s="21"/>
      <c r="E26" s="19"/>
      <c r="F26" s="20"/>
      <c r="G26" s="32"/>
    </row>
    <row r="27" spans="2:7" s="4" customFormat="1" ht="64.5" customHeight="1" x14ac:dyDescent="0.25">
      <c r="B27" s="6">
        <f>B26+1</f>
        <v>20</v>
      </c>
      <c r="C27" s="36" t="s">
        <v>84</v>
      </c>
      <c r="D27" s="21"/>
      <c r="E27" s="19"/>
      <c r="F27" s="20"/>
      <c r="G27" s="32"/>
    </row>
    <row r="28" spans="2:7" s="4" customFormat="1" ht="64.5" customHeight="1" x14ac:dyDescent="0.25">
      <c r="B28" s="35">
        <f>+B27+1</f>
        <v>21</v>
      </c>
      <c r="C28" s="36" t="s">
        <v>77</v>
      </c>
      <c r="D28" s="21"/>
      <c r="E28" s="19"/>
      <c r="F28" s="20"/>
      <c r="G28" s="32"/>
    </row>
    <row r="29" spans="2:7" s="4" customFormat="1" ht="64.5" customHeight="1" x14ac:dyDescent="0.25">
      <c r="B29" s="6">
        <f>B28+1</f>
        <v>22</v>
      </c>
      <c r="C29" s="36" t="s">
        <v>76</v>
      </c>
      <c r="D29" s="21"/>
      <c r="E29" s="19"/>
      <c r="F29" s="20"/>
      <c r="G29" s="32"/>
    </row>
    <row r="30" spans="2:7" s="4" customFormat="1" ht="64.5" customHeight="1" x14ac:dyDescent="0.25">
      <c r="B30" s="35">
        <f>+B29+1</f>
        <v>23</v>
      </c>
      <c r="C30" s="36" t="s">
        <v>152</v>
      </c>
      <c r="D30" s="21"/>
      <c r="E30" s="19"/>
      <c r="F30" s="20"/>
      <c r="G30" s="32"/>
    </row>
    <row r="31" spans="2:7" s="4" customFormat="1" ht="64.5" customHeight="1" x14ac:dyDescent="0.25">
      <c r="B31" s="6">
        <f>B30+1</f>
        <v>24</v>
      </c>
      <c r="C31" s="36" t="s">
        <v>153</v>
      </c>
      <c r="D31" s="21"/>
      <c r="E31" s="19"/>
      <c r="F31" s="20"/>
      <c r="G31" s="32"/>
    </row>
    <row r="32" spans="2:7" s="4" customFormat="1" ht="64.5" customHeight="1" x14ac:dyDescent="0.25">
      <c r="B32" s="35">
        <f>+B31+1</f>
        <v>25</v>
      </c>
      <c r="C32" s="36" t="s">
        <v>85</v>
      </c>
      <c r="D32" s="21"/>
      <c r="E32" s="19"/>
      <c r="F32" s="20"/>
      <c r="G32" s="32"/>
    </row>
    <row r="33" spans="2:7" s="4" customFormat="1" ht="64.5" customHeight="1" x14ac:dyDescent="0.25">
      <c r="B33" s="6">
        <f>B32+1</f>
        <v>26</v>
      </c>
      <c r="C33" s="36" t="s">
        <v>154</v>
      </c>
      <c r="D33" s="21"/>
      <c r="E33" s="19"/>
      <c r="F33" s="20"/>
      <c r="G33" s="32"/>
    </row>
    <row r="34" spans="2:7" s="4" customFormat="1" ht="64.5" customHeight="1" x14ac:dyDescent="0.25">
      <c r="B34" s="35">
        <f>+B33+1</f>
        <v>27</v>
      </c>
      <c r="C34" s="36" t="s">
        <v>86</v>
      </c>
      <c r="D34" s="21"/>
      <c r="E34" s="19"/>
      <c r="F34" s="20"/>
      <c r="G34" s="32"/>
    </row>
    <row r="35" spans="2:7" s="4" customFormat="1" ht="64.5" customHeight="1" x14ac:dyDescent="0.25">
      <c r="B35" s="6">
        <f>B34+1</f>
        <v>28</v>
      </c>
      <c r="C35" s="36" t="s">
        <v>87</v>
      </c>
      <c r="D35" s="21"/>
      <c r="E35" s="19"/>
      <c r="F35" s="20"/>
      <c r="G35" s="32"/>
    </row>
    <row r="36" spans="2:7" s="4" customFormat="1" ht="64.5" customHeight="1" x14ac:dyDescent="0.25">
      <c r="B36" s="35">
        <f>+B35+1</f>
        <v>29</v>
      </c>
      <c r="C36" s="36" t="s">
        <v>88</v>
      </c>
      <c r="D36" s="21"/>
      <c r="E36" s="19"/>
      <c r="F36" s="20"/>
      <c r="G36" s="32"/>
    </row>
    <row r="37" spans="2:7" s="4" customFormat="1" ht="64.5" customHeight="1" x14ac:dyDescent="0.25">
      <c r="B37" s="6">
        <f>B36+1</f>
        <v>30</v>
      </c>
      <c r="C37" s="36" t="s">
        <v>89</v>
      </c>
      <c r="D37" s="21"/>
      <c r="E37" s="19"/>
      <c r="F37" s="20"/>
      <c r="G37" s="32"/>
    </row>
    <row r="38" spans="2:7" s="4" customFormat="1" ht="64.5" customHeight="1" x14ac:dyDescent="0.25">
      <c r="B38" s="35">
        <f>+B37+1</f>
        <v>31</v>
      </c>
      <c r="C38" s="36" t="s">
        <v>155</v>
      </c>
      <c r="D38" s="21"/>
      <c r="E38" s="19"/>
      <c r="F38" s="20"/>
      <c r="G38" s="32"/>
    </row>
    <row r="39" spans="2:7" s="4" customFormat="1" ht="64.5" customHeight="1" x14ac:dyDescent="0.25">
      <c r="B39" s="6">
        <f>B38+1</f>
        <v>32</v>
      </c>
      <c r="C39" s="36" t="s">
        <v>90</v>
      </c>
      <c r="D39" s="21"/>
      <c r="E39" s="19"/>
      <c r="F39" s="20"/>
      <c r="G39" s="32"/>
    </row>
    <row r="40" spans="2:7" s="4" customFormat="1" ht="64.5" customHeight="1" x14ac:dyDescent="0.25">
      <c r="B40" s="35">
        <f>+B39+1</f>
        <v>33</v>
      </c>
      <c r="C40" s="36" t="s">
        <v>91</v>
      </c>
      <c r="D40" s="21"/>
      <c r="E40" s="19"/>
      <c r="F40" s="20"/>
      <c r="G40" s="32"/>
    </row>
    <row r="41" spans="2:7" s="4" customFormat="1" ht="64.5" customHeight="1" x14ac:dyDescent="0.25">
      <c r="B41" s="6">
        <f>B40+1</f>
        <v>34</v>
      </c>
      <c r="C41" s="36" t="s">
        <v>92</v>
      </c>
      <c r="D41" s="21"/>
      <c r="E41" s="19"/>
      <c r="F41" s="20"/>
      <c r="G41" s="32"/>
    </row>
    <row r="42" spans="2:7" s="4" customFormat="1" ht="64.5" customHeight="1" x14ac:dyDescent="0.25">
      <c r="B42" s="35">
        <f>+B41+1</f>
        <v>35</v>
      </c>
      <c r="C42" s="36" t="s">
        <v>93</v>
      </c>
      <c r="D42" s="21"/>
      <c r="E42" s="19"/>
      <c r="F42" s="20"/>
      <c r="G42" s="32"/>
    </row>
    <row r="43" spans="2:7" s="4" customFormat="1" ht="64.5" customHeight="1" x14ac:dyDescent="0.25">
      <c r="B43" s="6">
        <f>B42+1</f>
        <v>36</v>
      </c>
      <c r="C43" s="36" t="s">
        <v>94</v>
      </c>
      <c r="D43" s="21"/>
      <c r="E43" s="19"/>
      <c r="F43" s="20"/>
      <c r="G43" s="32"/>
    </row>
    <row r="44" spans="2:7" s="4" customFormat="1" ht="64.5" customHeight="1" x14ac:dyDescent="0.25">
      <c r="B44" s="35">
        <f>+B43+1</f>
        <v>37</v>
      </c>
      <c r="C44" s="36" t="s">
        <v>95</v>
      </c>
      <c r="D44" s="21"/>
      <c r="E44" s="19"/>
      <c r="F44" s="20"/>
      <c r="G44" s="32"/>
    </row>
    <row r="45" spans="2:7" s="4" customFormat="1" ht="64.5" customHeight="1" x14ac:dyDescent="0.25">
      <c r="B45" s="6">
        <f>B44+1</f>
        <v>38</v>
      </c>
      <c r="C45" s="36" t="s">
        <v>96</v>
      </c>
      <c r="D45" s="21"/>
      <c r="E45" s="19"/>
      <c r="F45" s="20"/>
      <c r="G45" s="32"/>
    </row>
    <row r="46" spans="2:7" s="4" customFormat="1" ht="64.5" customHeight="1" x14ac:dyDescent="0.25">
      <c r="B46" s="35">
        <f>+B45+1</f>
        <v>39</v>
      </c>
      <c r="C46" s="36" t="s">
        <v>97</v>
      </c>
      <c r="D46" s="21"/>
      <c r="E46" s="19"/>
      <c r="F46" s="20"/>
      <c r="G46" s="32"/>
    </row>
    <row r="47" spans="2:7" s="4" customFormat="1" ht="64.5" customHeight="1" x14ac:dyDescent="0.25">
      <c r="B47" s="6">
        <f>B46+1</f>
        <v>40</v>
      </c>
      <c r="C47" s="36" t="s">
        <v>98</v>
      </c>
      <c r="D47" s="21"/>
      <c r="E47" s="19"/>
      <c r="F47" s="20"/>
      <c r="G47" s="32"/>
    </row>
    <row r="48" spans="2:7" s="4" customFormat="1" ht="64.5" customHeight="1" x14ac:dyDescent="0.25">
      <c r="B48" s="35">
        <f>+B47+1</f>
        <v>41</v>
      </c>
      <c r="C48" s="36" t="s">
        <v>99</v>
      </c>
      <c r="D48" s="21"/>
      <c r="E48" s="19"/>
      <c r="F48" s="20"/>
      <c r="G48" s="32"/>
    </row>
    <row r="49" spans="2:7" s="4" customFormat="1" ht="64.5" customHeight="1" x14ac:dyDescent="0.25">
      <c r="B49" s="6">
        <f>B48+1</f>
        <v>42</v>
      </c>
      <c r="C49" s="36" t="s">
        <v>100</v>
      </c>
      <c r="D49" s="21"/>
      <c r="E49" s="19"/>
      <c r="F49" s="20"/>
      <c r="G49" s="32"/>
    </row>
    <row r="50" spans="2:7" s="4" customFormat="1" ht="64.5" customHeight="1" x14ac:dyDescent="0.25">
      <c r="B50" s="35">
        <f>+B49+1</f>
        <v>43</v>
      </c>
      <c r="C50" s="36" t="s">
        <v>101</v>
      </c>
      <c r="D50" s="21"/>
      <c r="E50" s="19"/>
      <c r="F50" s="20"/>
      <c r="G50" s="32"/>
    </row>
    <row r="51" spans="2:7" s="4" customFormat="1" ht="64.5" customHeight="1" x14ac:dyDescent="0.25">
      <c r="B51" s="6">
        <f>B50+1</f>
        <v>44</v>
      </c>
      <c r="C51" s="36" t="s">
        <v>102</v>
      </c>
      <c r="D51" s="21"/>
      <c r="E51" s="19"/>
      <c r="F51" s="20"/>
      <c r="G51" s="32"/>
    </row>
    <row r="52" spans="2:7" s="4" customFormat="1" ht="64.5" customHeight="1" x14ac:dyDescent="0.25">
      <c r="B52" s="35">
        <f>+B51+1</f>
        <v>45</v>
      </c>
      <c r="C52" s="36" t="s">
        <v>103</v>
      </c>
      <c r="D52" s="21"/>
      <c r="E52" s="19"/>
      <c r="F52" s="20"/>
      <c r="G52" s="32"/>
    </row>
    <row r="53" spans="2:7" s="4" customFormat="1" ht="64.5" customHeight="1" x14ac:dyDescent="0.25">
      <c r="B53" s="6">
        <f>B52+1</f>
        <v>46</v>
      </c>
      <c r="C53" s="36" t="s">
        <v>104</v>
      </c>
      <c r="D53" s="21"/>
      <c r="E53" s="19"/>
      <c r="F53" s="20"/>
      <c r="G53" s="32"/>
    </row>
    <row r="54" spans="2:7" s="4" customFormat="1" ht="64.5" customHeight="1" x14ac:dyDescent="0.25">
      <c r="B54" s="35">
        <f>+B53+1</f>
        <v>47</v>
      </c>
      <c r="C54" s="36" t="s">
        <v>105</v>
      </c>
      <c r="D54" s="21"/>
      <c r="E54" s="19"/>
      <c r="F54" s="20"/>
      <c r="G54" s="32"/>
    </row>
    <row r="55" spans="2:7" s="4" customFormat="1" ht="64.5" customHeight="1" x14ac:dyDescent="0.25">
      <c r="B55" s="6">
        <f>B54+1</f>
        <v>48</v>
      </c>
      <c r="C55" s="36" t="s">
        <v>106</v>
      </c>
      <c r="D55" s="21"/>
      <c r="E55" s="19"/>
      <c r="F55" s="20"/>
      <c r="G55" s="32"/>
    </row>
    <row r="56" spans="2:7" s="4" customFormat="1" ht="64.5" customHeight="1" x14ac:dyDescent="0.25">
      <c r="B56" s="35">
        <f>+B55+1</f>
        <v>49</v>
      </c>
      <c r="C56" s="36" t="s">
        <v>107</v>
      </c>
      <c r="D56" s="21"/>
      <c r="E56" s="19"/>
      <c r="F56" s="20"/>
      <c r="G56" s="32"/>
    </row>
    <row r="57" spans="2:7" s="4" customFormat="1" ht="64.5" customHeight="1" x14ac:dyDescent="0.25">
      <c r="B57" s="6">
        <f>B56+1</f>
        <v>50</v>
      </c>
      <c r="C57" s="36" t="s">
        <v>156</v>
      </c>
      <c r="D57" s="21"/>
      <c r="E57" s="19"/>
      <c r="F57" s="20"/>
      <c r="G57" s="32"/>
    </row>
    <row r="58" spans="2:7" s="12" customFormat="1" ht="43.5" customHeight="1" x14ac:dyDescent="0.25">
      <c r="B58" s="35">
        <f>+B57+1</f>
        <v>51</v>
      </c>
      <c r="C58" s="17" t="s">
        <v>108</v>
      </c>
      <c r="D58" s="22"/>
      <c r="E58" s="7"/>
      <c r="F58" s="8"/>
      <c r="G58" s="33"/>
    </row>
    <row r="59" spans="2:7" ht="40.5" x14ac:dyDescent="0.25">
      <c r="B59" s="6">
        <f>B58+1</f>
        <v>52</v>
      </c>
      <c r="C59" s="17" t="s">
        <v>157</v>
      </c>
      <c r="D59" s="22"/>
      <c r="E59" s="7"/>
      <c r="F59" s="8"/>
      <c r="G59" s="33"/>
    </row>
    <row r="60" spans="2:7" ht="40.5" x14ac:dyDescent="0.25">
      <c r="B60" s="35">
        <f>+B59+1</f>
        <v>53</v>
      </c>
      <c r="C60" s="17" t="s">
        <v>109</v>
      </c>
      <c r="D60" s="22"/>
      <c r="E60" s="7"/>
      <c r="F60" s="8"/>
      <c r="G60" s="33"/>
    </row>
    <row r="61" spans="2:7" ht="40.5" x14ac:dyDescent="0.25">
      <c r="B61" s="6">
        <f>B60+1</f>
        <v>54</v>
      </c>
      <c r="C61" s="17" t="s">
        <v>158</v>
      </c>
      <c r="D61" s="22"/>
      <c r="E61" s="7"/>
      <c r="F61" s="8"/>
      <c r="G61" s="33"/>
    </row>
    <row r="62" spans="2:7" ht="66" customHeight="1" x14ac:dyDescent="0.25">
      <c r="B62" s="35">
        <f>+B61+1</f>
        <v>55</v>
      </c>
      <c r="C62" s="17" t="s">
        <v>159</v>
      </c>
      <c r="D62" s="22"/>
      <c r="E62" s="7"/>
      <c r="F62" s="8"/>
      <c r="G62" s="33"/>
    </row>
    <row r="63" spans="2:7" ht="48.75" customHeight="1" x14ac:dyDescent="0.25">
      <c r="B63" s="6">
        <f>B62+1</f>
        <v>56</v>
      </c>
      <c r="C63" s="17" t="s">
        <v>160</v>
      </c>
      <c r="D63" s="22"/>
      <c r="E63" s="7"/>
      <c r="F63" s="8"/>
      <c r="G63" s="33"/>
    </row>
    <row r="64" spans="2:7" ht="40.5" x14ac:dyDescent="0.25">
      <c r="B64" s="35">
        <f>+B63+1</f>
        <v>57</v>
      </c>
      <c r="C64" s="17" t="s">
        <v>126</v>
      </c>
      <c r="D64" s="22"/>
      <c r="E64" s="7"/>
      <c r="F64" s="8"/>
      <c r="G64" s="33"/>
    </row>
    <row r="65" spans="2:7" ht="51.75" customHeight="1" x14ac:dyDescent="0.25">
      <c r="B65" s="6">
        <f t="shared" ref="B65:B75" si="0">B64+1</f>
        <v>58</v>
      </c>
      <c r="C65" s="17" t="s">
        <v>175</v>
      </c>
      <c r="D65" s="22"/>
      <c r="E65" s="7"/>
      <c r="F65" s="8"/>
      <c r="G65" s="33"/>
    </row>
    <row r="66" spans="2:7" ht="31.5" customHeight="1" x14ac:dyDescent="0.25">
      <c r="B66" s="35">
        <f t="shared" ref="B66:B74" si="1">+B65+1</f>
        <v>59</v>
      </c>
      <c r="C66" s="17" t="s">
        <v>176</v>
      </c>
      <c r="D66" s="22"/>
      <c r="E66" s="7"/>
      <c r="F66" s="8"/>
      <c r="G66" s="33"/>
    </row>
    <row r="67" spans="2:7" ht="40.5" x14ac:dyDescent="0.25">
      <c r="B67" s="6">
        <f t="shared" si="0"/>
        <v>60</v>
      </c>
      <c r="C67" s="17" t="s">
        <v>191</v>
      </c>
      <c r="D67" s="22"/>
      <c r="E67" s="7"/>
      <c r="F67" s="8"/>
      <c r="G67" s="33"/>
    </row>
    <row r="68" spans="2:7" ht="40.5" x14ac:dyDescent="0.25">
      <c r="B68" s="35">
        <f t="shared" si="1"/>
        <v>61</v>
      </c>
      <c r="C68" s="17" t="s">
        <v>193</v>
      </c>
      <c r="D68" s="22"/>
      <c r="E68" s="7"/>
      <c r="F68" s="8"/>
      <c r="G68" s="33"/>
    </row>
    <row r="69" spans="2:7" ht="40.5" x14ac:dyDescent="0.25">
      <c r="B69" s="6">
        <f t="shared" si="0"/>
        <v>62</v>
      </c>
      <c r="C69" s="17" t="s">
        <v>192</v>
      </c>
      <c r="D69" s="22"/>
      <c r="E69" s="7"/>
      <c r="F69" s="8"/>
      <c r="G69" s="33"/>
    </row>
    <row r="70" spans="2:7" ht="40.5" x14ac:dyDescent="0.25">
      <c r="B70" s="35">
        <f t="shared" si="1"/>
        <v>63</v>
      </c>
      <c r="C70" s="17" t="s">
        <v>181</v>
      </c>
      <c r="D70" s="22"/>
      <c r="E70" s="7"/>
      <c r="F70" s="8"/>
      <c r="G70" s="33"/>
    </row>
    <row r="71" spans="2:7" ht="45" customHeight="1" x14ac:dyDescent="0.25">
      <c r="B71" s="6">
        <f t="shared" si="0"/>
        <v>64</v>
      </c>
      <c r="C71" s="17" t="s">
        <v>508</v>
      </c>
      <c r="D71" s="22"/>
      <c r="E71" s="7"/>
      <c r="F71" s="8"/>
      <c r="G71" s="33"/>
    </row>
    <row r="72" spans="2:7" ht="40.5" x14ac:dyDescent="0.25">
      <c r="B72" s="35">
        <f t="shared" si="1"/>
        <v>65</v>
      </c>
      <c r="C72" s="17" t="s">
        <v>694</v>
      </c>
      <c r="D72" s="22"/>
      <c r="E72" s="7"/>
      <c r="F72" s="8"/>
      <c r="G72" s="33"/>
    </row>
    <row r="73" spans="2:7" ht="20.25" x14ac:dyDescent="0.25">
      <c r="B73" s="6">
        <f t="shared" si="0"/>
        <v>66</v>
      </c>
      <c r="C73" s="17"/>
      <c r="D73" s="22"/>
      <c r="E73" s="7"/>
      <c r="F73" s="8"/>
      <c r="G73" s="33"/>
    </row>
    <row r="74" spans="2:7" ht="20.25" x14ac:dyDescent="0.25">
      <c r="B74" s="35">
        <f t="shared" si="1"/>
        <v>67</v>
      </c>
      <c r="C74" s="17"/>
      <c r="D74" s="22"/>
      <c r="E74" s="7"/>
      <c r="F74" s="8"/>
      <c r="G74" s="33"/>
    </row>
    <row r="75" spans="2:7" ht="21" thickBot="1" x14ac:dyDescent="0.3">
      <c r="B75" s="6">
        <f t="shared" si="0"/>
        <v>68</v>
      </c>
      <c r="C75" s="17"/>
      <c r="D75" s="22"/>
      <c r="E75" s="7"/>
      <c r="F75" s="8"/>
      <c r="G75" s="33"/>
    </row>
    <row r="76" spans="2:7" ht="18.75" thickBot="1" x14ac:dyDescent="0.3">
      <c r="B76" s="245" t="s">
        <v>13</v>
      </c>
      <c r="C76" s="246"/>
      <c r="D76" s="175" t="s">
        <v>7</v>
      </c>
      <c r="E76" s="176"/>
      <c r="F76" s="177"/>
      <c r="G76" s="24" t="s">
        <v>8</v>
      </c>
    </row>
    <row r="77" spans="2:7" x14ac:dyDescent="0.25">
      <c r="B77" s="153"/>
      <c r="C77" s="154"/>
      <c r="D77" s="154"/>
      <c r="E77" s="154"/>
      <c r="F77" s="154"/>
      <c r="G77" s="159"/>
    </row>
    <row r="78" spans="2:7" x14ac:dyDescent="0.25">
      <c r="B78" s="155"/>
      <c r="C78" s="156"/>
      <c r="D78" s="156"/>
      <c r="E78" s="156"/>
      <c r="F78" s="156"/>
      <c r="G78" s="160"/>
    </row>
    <row r="79" spans="2:7" x14ac:dyDescent="0.25">
      <c r="B79" s="155"/>
      <c r="C79" s="156"/>
      <c r="D79" s="156"/>
      <c r="E79" s="156"/>
      <c r="F79" s="156"/>
      <c r="G79" s="160"/>
    </row>
    <row r="80" spans="2:7" x14ac:dyDescent="0.25">
      <c r="B80" s="155"/>
      <c r="C80" s="156"/>
      <c r="D80" s="156"/>
      <c r="E80" s="156"/>
      <c r="F80" s="156"/>
      <c r="G80" s="160"/>
    </row>
    <row r="81" spans="2:7" ht="15.75" thickBot="1" x14ac:dyDescent="0.3">
      <c r="B81" s="157"/>
      <c r="C81" s="158"/>
      <c r="D81" s="158"/>
      <c r="E81" s="158"/>
      <c r="F81" s="158"/>
      <c r="G81" s="161"/>
    </row>
  </sheetData>
  <sheetProtection selectLockedCells="1"/>
  <mergeCells count="10">
    <mergeCell ref="B77:C81"/>
    <mergeCell ref="D77:F81"/>
    <mergeCell ref="G77:G81"/>
    <mergeCell ref="B3:F3"/>
    <mergeCell ref="D4:F4"/>
    <mergeCell ref="E6:F6"/>
    <mergeCell ref="B76:C76"/>
    <mergeCell ref="D76:F76"/>
    <mergeCell ref="B5:C5"/>
    <mergeCell ref="D5:G5"/>
  </mergeCells>
  <conditionalFormatting sqref="D8:D75">
    <cfRule type="cellIs" dxfId="73" priority="3" operator="equal">
      <formula>3</formula>
    </cfRule>
    <cfRule type="cellIs" dxfId="72" priority="4" operator="equal">
      <formula>4</formula>
    </cfRule>
  </conditionalFormatting>
  <printOptions horizontalCentered="1"/>
  <pageMargins left="0.15748031496062992" right="7.874015748031496E-2" top="0.19685039370078741" bottom="0.15748031496062992" header="0.31496062992125984" footer="0.31496062992125984"/>
  <pageSetup paperSize="9" scale="56" fitToHeight="3"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4">
    <tabColor theme="0" tint="-0.14999847407452621"/>
    <pageSetUpPr fitToPage="1"/>
  </sheetPr>
  <dimension ref="B1:G42"/>
  <sheetViews>
    <sheetView view="pageBreakPreview" topLeftCell="A2" zoomScale="55" zoomScaleNormal="55" zoomScaleSheetLayoutView="55" zoomScalePageLayoutView="70" workbookViewId="0">
      <selection activeCell="G4" sqref="G4"/>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19</v>
      </c>
      <c r="D4" s="165" t="str">
        <f>+'Line &amp; frequency'!C1</f>
        <v>CHAINE 5</v>
      </c>
      <c r="E4" s="166"/>
      <c r="F4" s="166"/>
      <c r="G4" s="31" t="s">
        <v>368</v>
      </c>
    </row>
    <row r="5" spans="2:7" ht="39" customHeight="1" thickBot="1" x14ac:dyDescent="0.3">
      <c r="B5" s="167" t="s">
        <v>170</v>
      </c>
      <c r="C5" s="168"/>
      <c r="D5" s="169"/>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36" t="s">
        <v>397</v>
      </c>
      <c r="D8" s="21"/>
      <c r="E8" s="19"/>
      <c r="F8" s="20"/>
      <c r="G8" s="32"/>
    </row>
    <row r="9" spans="2:7" s="4" customFormat="1" ht="51" customHeight="1" x14ac:dyDescent="0.25">
      <c r="B9" s="6">
        <f>B8+1</f>
        <v>2</v>
      </c>
      <c r="C9" s="36" t="s">
        <v>398</v>
      </c>
      <c r="D9" s="21"/>
      <c r="E9" s="19"/>
      <c r="F9" s="20"/>
      <c r="G9" s="32"/>
    </row>
    <row r="10" spans="2:7" s="4" customFormat="1" ht="51" customHeight="1" x14ac:dyDescent="0.25">
      <c r="B10" s="35">
        <f>+B9+1</f>
        <v>3</v>
      </c>
      <c r="C10" s="36" t="s">
        <v>399</v>
      </c>
      <c r="D10" s="21"/>
      <c r="E10" s="19"/>
      <c r="F10" s="20"/>
      <c r="G10" s="32"/>
    </row>
    <row r="11" spans="2:7" s="4" customFormat="1" ht="64.5" customHeight="1" x14ac:dyDescent="0.25">
      <c r="B11" s="6">
        <f>B10+1</f>
        <v>4</v>
      </c>
      <c r="C11" s="36" t="s">
        <v>400</v>
      </c>
      <c r="D11" s="21"/>
      <c r="E11" s="19"/>
      <c r="F11" s="20"/>
      <c r="G11" s="56"/>
    </row>
    <row r="12" spans="2:7" s="4" customFormat="1" ht="64.5" customHeight="1" x14ac:dyDescent="0.25">
      <c r="B12" s="35">
        <f>+B11+1</f>
        <v>5</v>
      </c>
      <c r="C12" s="36" t="s">
        <v>155</v>
      </c>
      <c r="D12" s="21"/>
      <c r="E12" s="19"/>
      <c r="F12" s="20"/>
      <c r="G12" s="32"/>
    </row>
    <row r="13" spans="2:7" s="4" customFormat="1" ht="64.5" customHeight="1" x14ac:dyDescent="0.25">
      <c r="B13" s="6">
        <f>B12+1</f>
        <v>6</v>
      </c>
      <c r="C13" s="36" t="s">
        <v>401</v>
      </c>
      <c r="D13" s="21"/>
      <c r="E13" s="19"/>
      <c r="F13" s="20"/>
      <c r="G13" s="32"/>
    </row>
    <row r="14" spans="2:7" s="4" customFormat="1" ht="64.5" customHeight="1" x14ac:dyDescent="0.25">
      <c r="B14" s="35">
        <f>+B13+1</f>
        <v>7</v>
      </c>
      <c r="C14" s="36" t="s">
        <v>402</v>
      </c>
      <c r="D14" s="21"/>
      <c r="E14" s="19"/>
      <c r="F14" s="20"/>
      <c r="G14" s="32"/>
    </row>
    <row r="15" spans="2:7" s="4" customFormat="1" ht="64.5" customHeight="1" x14ac:dyDescent="0.25">
      <c r="B15" s="6">
        <f>B14+1</f>
        <v>8</v>
      </c>
      <c r="C15" s="36" t="s">
        <v>403</v>
      </c>
      <c r="D15" s="21"/>
      <c r="E15" s="19"/>
      <c r="F15" s="20"/>
      <c r="G15" s="32"/>
    </row>
    <row r="16" spans="2:7" s="4" customFormat="1" ht="64.5" customHeight="1" x14ac:dyDescent="0.25">
      <c r="B16" s="35">
        <f>+B15+1</f>
        <v>9</v>
      </c>
      <c r="C16" s="36" t="s">
        <v>404</v>
      </c>
      <c r="D16" s="21"/>
      <c r="E16" s="19"/>
      <c r="F16" s="20"/>
      <c r="G16" s="32"/>
    </row>
    <row r="17" spans="2:7" s="4" customFormat="1" ht="64.5" customHeight="1" x14ac:dyDescent="0.25">
      <c r="B17" s="6">
        <f>B16+1</f>
        <v>10</v>
      </c>
      <c r="C17" s="36" t="s">
        <v>405</v>
      </c>
      <c r="D17" s="21"/>
      <c r="E17" s="19"/>
      <c r="F17" s="20"/>
      <c r="G17" s="32"/>
    </row>
    <row r="18" spans="2:7" s="4" customFormat="1" ht="64.5" customHeight="1" x14ac:dyDescent="0.25">
      <c r="B18" s="35">
        <f>+B17+1</f>
        <v>11</v>
      </c>
      <c r="C18" s="36" t="s">
        <v>406</v>
      </c>
      <c r="D18" s="21"/>
      <c r="E18" s="19"/>
      <c r="F18" s="20"/>
      <c r="G18" s="32"/>
    </row>
    <row r="19" spans="2:7" s="4" customFormat="1" ht="64.5" customHeight="1" x14ac:dyDescent="0.25">
      <c r="B19" s="6">
        <f>B18+1</f>
        <v>12</v>
      </c>
      <c r="C19" s="36" t="s">
        <v>407</v>
      </c>
      <c r="D19" s="21"/>
      <c r="E19" s="19"/>
      <c r="F19" s="20"/>
      <c r="G19" s="32"/>
    </row>
    <row r="20" spans="2:7" s="4" customFormat="1" ht="64.5" customHeight="1" x14ac:dyDescent="0.25">
      <c r="B20" s="35">
        <f>+B19+1</f>
        <v>13</v>
      </c>
      <c r="C20" s="36" t="s">
        <v>408</v>
      </c>
      <c r="D20" s="21"/>
      <c r="E20" s="19"/>
      <c r="F20" s="20"/>
      <c r="G20" s="32"/>
    </row>
    <row r="21" spans="2:7" s="4" customFormat="1" ht="64.5" customHeight="1" x14ac:dyDescent="0.25">
      <c r="B21" s="6">
        <f>B20+1</f>
        <v>14</v>
      </c>
      <c r="C21" s="36" t="s">
        <v>409</v>
      </c>
      <c r="D21" s="21"/>
      <c r="E21" s="19"/>
      <c r="F21" s="20"/>
      <c r="G21" s="32"/>
    </row>
    <row r="22" spans="2:7" s="4" customFormat="1" ht="64.5" customHeight="1" x14ac:dyDescent="0.25">
      <c r="B22" s="35">
        <f>+B21+1</f>
        <v>15</v>
      </c>
      <c r="C22" s="36" t="s">
        <v>410</v>
      </c>
      <c r="D22" s="21"/>
      <c r="E22" s="19"/>
      <c r="F22" s="20"/>
      <c r="G22" s="32"/>
    </row>
    <row r="23" spans="2:7" s="4" customFormat="1" ht="64.5" customHeight="1" x14ac:dyDescent="0.25">
      <c r="B23" s="6">
        <f>B22+1</f>
        <v>16</v>
      </c>
      <c r="C23" s="36" t="s">
        <v>411</v>
      </c>
      <c r="D23" s="21"/>
      <c r="E23" s="19"/>
      <c r="F23" s="20"/>
      <c r="G23" s="32"/>
    </row>
    <row r="24" spans="2:7" s="4" customFormat="1" ht="64.5" customHeight="1" x14ac:dyDescent="0.25">
      <c r="B24" s="35">
        <f>+B23+1</f>
        <v>17</v>
      </c>
      <c r="C24" s="36" t="s">
        <v>412</v>
      </c>
      <c r="D24" s="21"/>
      <c r="E24" s="19"/>
      <c r="F24" s="20"/>
      <c r="G24" s="32"/>
    </row>
    <row r="25" spans="2:7" s="4" customFormat="1" ht="64.5" customHeight="1" x14ac:dyDescent="0.25">
      <c r="B25" s="6">
        <f>B24+1</f>
        <v>18</v>
      </c>
      <c r="C25" s="36" t="s">
        <v>413</v>
      </c>
      <c r="D25" s="21"/>
      <c r="E25" s="19"/>
      <c r="F25" s="20"/>
      <c r="G25" s="32"/>
    </row>
    <row r="26" spans="2:7" s="4" customFormat="1" ht="64.5" customHeight="1" x14ac:dyDescent="0.25">
      <c r="B26" s="35">
        <f>+B25+1</f>
        <v>19</v>
      </c>
      <c r="C26" s="36" t="s">
        <v>414</v>
      </c>
      <c r="D26" s="21"/>
      <c r="E26" s="19"/>
      <c r="F26" s="20"/>
      <c r="G26" s="32"/>
    </row>
    <row r="27" spans="2:7" s="4" customFormat="1" ht="64.5" customHeight="1" x14ac:dyDescent="0.25">
      <c r="B27" s="6">
        <f>B26+1</f>
        <v>20</v>
      </c>
      <c r="C27" s="36" t="s">
        <v>415</v>
      </c>
      <c r="D27" s="21"/>
      <c r="E27" s="19"/>
      <c r="F27" s="20"/>
      <c r="G27" s="32"/>
    </row>
    <row r="28" spans="2:7" s="4" customFormat="1" ht="64.5" customHeight="1" x14ac:dyDescent="0.25">
      <c r="B28" s="35">
        <f>+B27+1</f>
        <v>21</v>
      </c>
      <c r="C28" s="36" t="s">
        <v>416</v>
      </c>
      <c r="D28" s="21"/>
      <c r="E28" s="19"/>
      <c r="F28" s="20"/>
      <c r="G28" s="32"/>
    </row>
    <row r="29" spans="2:7" s="4" customFormat="1" ht="64.5" customHeight="1" x14ac:dyDescent="0.25">
      <c r="B29" s="6">
        <f>B28+1</f>
        <v>22</v>
      </c>
      <c r="C29" s="36" t="s">
        <v>417</v>
      </c>
      <c r="D29" s="21"/>
      <c r="E29" s="19"/>
      <c r="F29" s="20"/>
      <c r="G29" s="32"/>
    </row>
    <row r="30" spans="2:7" s="4" customFormat="1" ht="64.5" customHeight="1" x14ac:dyDescent="0.25">
      <c r="B30" s="35">
        <f>+B29+1</f>
        <v>23</v>
      </c>
      <c r="C30" s="36" t="s">
        <v>418</v>
      </c>
      <c r="D30" s="21"/>
      <c r="E30" s="19"/>
      <c r="F30" s="20"/>
      <c r="G30" s="32"/>
    </row>
    <row r="31" spans="2:7" s="4" customFormat="1" ht="64.5" customHeight="1" x14ac:dyDescent="0.25">
      <c r="B31" s="6">
        <f>B30+1</f>
        <v>24</v>
      </c>
      <c r="C31" s="36" t="s">
        <v>419</v>
      </c>
      <c r="D31" s="21"/>
      <c r="E31" s="19"/>
      <c r="F31" s="20"/>
      <c r="G31" s="32"/>
    </row>
    <row r="32" spans="2:7" s="4" customFormat="1" ht="64.5" customHeight="1" x14ac:dyDescent="0.25">
      <c r="B32" s="35">
        <f>+B31+1</f>
        <v>25</v>
      </c>
      <c r="C32" s="36" t="s">
        <v>420</v>
      </c>
      <c r="D32" s="21"/>
      <c r="E32" s="19"/>
      <c r="F32" s="20"/>
      <c r="G32" s="32"/>
    </row>
    <row r="33" spans="2:7" s="4" customFormat="1" ht="64.5" customHeight="1" x14ac:dyDescent="0.25">
      <c r="B33" s="6">
        <f>B32+1</f>
        <v>26</v>
      </c>
      <c r="C33" s="36" t="s">
        <v>421</v>
      </c>
      <c r="D33" s="21"/>
      <c r="E33" s="19"/>
      <c r="F33" s="20"/>
      <c r="G33" s="32"/>
    </row>
    <row r="34" spans="2:7" s="4" customFormat="1" ht="64.5" customHeight="1" x14ac:dyDescent="0.25">
      <c r="B34" s="35">
        <f>+B33+1</f>
        <v>27</v>
      </c>
      <c r="C34" s="36" t="s">
        <v>615</v>
      </c>
      <c r="D34" s="21"/>
      <c r="E34" s="19"/>
      <c r="F34" s="20"/>
      <c r="G34" s="32"/>
    </row>
    <row r="35" spans="2:7" s="4" customFormat="1" ht="64.5" customHeight="1" x14ac:dyDescent="0.25">
      <c r="B35" s="6">
        <f>B34+1</f>
        <v>28</v>
      </c>
      <c r="C35" s="36" t="s">
        <v>634</v>
      </c>
      <c r="D35" s="21"/>
      <c r="E35" s="19"/>
      <c r="F35" s="20"/>
      <c r="G35" s="32"/>
    </row>
    <row r="36" spans="2:7" s="4" customFormat="1" ht="64.5" customHeight="1" thickBot="1" x14ac:dyDescent="0.3">
      <c r="B36" s="35">
        <f>+B35+1</f>
        <v>29</v>
      </c>
      <c r="C36" s="36"/>
      <c r="D36" s="21"/>
      <c r="E36" s="19"/>
      <c r="F36" s="20"/>
      <c r="G36" s="32"/>
    </row>
    <row r="37" spans="2:7" ht="18.75" thickBot="1" x14ac:dyDescent="0.3">
      <c r="B37" s="245" t="s">
        <v>13</v>
      </c>
      <c r="C37" s="246"/>
      <c r="D37" s="175" t="s">
        <v>7</v>
      </c>
      <c r="E37" s="176"/>
      <c r="F37" s="177"/>
      <c r="G37" s="24" t="s">
        <v>8</v>
      </c>
    </row>
    <row r="38" spans="2:7" x14ac:dyDescent="0.25">
      <c r="B38" s="153"/>
      <c r="C38" s="154"/>
      <c r="D38" s="154"/>
      <c r="E38" s="154"/>
      <c r="F38" s="154"/>
      <c r="G38" s="159"/>
    </row>
    <row r="39" spans="2:7" x14ac:dyDescent="0.25">
      <c r="B39" s="155"/>
      <c r="C39" s="156"/>
      <c r="D39" s="156"/>
      <c r="E39" s="156"/>
      <c r="F39" s="156"/>
      <c r="G39" s="160"/>
    </row>
    <row r="40" spans="2:7" x14ac:dyDescent="0.25">
      <c r="B40" s="155"/>
      <c r="C40" s="156"/>
      <c r="D40" s="156"/>
      <c r="E40" s="156"/>
      <c r="F40" s="156"/>
      <c r="G40" s="160"/>
    </row>
    <row r="41" spans="2:7" x14ac:dyDescent="0.25">
      <c r="B41" s="155"/>
      <c r="C41" s="156"/>
      <c r="D41" s="156"/>
      <c r="E41" s="156"/>
      <c r="F41" s="156"/>
      <c r="G41" s="160"/>
    </row>
    <row r="42" spans="2:7" ht="15.75" thickBot="1" x14ac:dyDescent="0.3">
      <c r="B42" s="157"/>
      <c r="C42" s="158"/>
      <c r="D42" s="158"/>
      <c r="E42" s="158"/>
      <c r="F42" s="158"/>
      <c r="G42" s="161"/>
    </row>
  </sheetData>
  <sheetProtection selectLockedCells="1"/>
  <mergeCells count="10">
    <mergeCell ref="B38:C42"/>
    <mergeCell ref="D38:F42"/>
    <mergeCell ref="G38:G42"/>
    <mergeCell ref="B3:F3"/>
    <mergeCell ref="D4:F4"/>
    <mergeCell ref="B5:C5"/>
    <mergeCell ref="D5:G5"/>
    <mergeCell ref="E6:F6"/>
    <mergeCell ref="B37:C37"/>
    <mergeCell ref="D37:F37"/>
  </mergeCells>
  <conditionalFormatting sqref="D8:D36">
    <cfRule type="cellIs" dxfId="71" priority="1" operator="equal">
      <formula>3</formula>
    </cfRule>
    <cfRule type="cellIs" dxfId="70" priority="2" operator="equal">
      <formula>4</formula>
    </cfRule>
  </conditionalFormatting>
  <printOptions horizontalCentered="1"/>
  <pageMargins left="0.15748031496062992" right="7.874015748031496E-2" top="0.19685039370078741" bottom="0.15748031496062992" header="0.31496062992125984" footer="0.31496062992125984"/>
  <pageSetup paperSize="9" scale="56" fitToHeight="3"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6">
    <tabColor theme="0" tint="-0.14999847407452621"/>
    <pageSetUpPr fitToPage="1"/>
  </sheetPr>
  <dimension ref="B1:G30"/>
  <sheetViews>
    <sheetView view="pageBreakPreview" zoomScale="60" zoomScaleNormal="55" zoomScalePageLayoutView="70" workbookViewId="0">
      <selection activeCell="E12" sqref="E12"/>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19</v>
      </c>
      <c r="D4" s="165" t="str">
        <f>+'Line &amp; frequency'!C1</f>
        <v>CHAINE 5</v>
      </c>
      <c r="E4" s="166"/>
      <c r="F4" s="166"/>
      <c r="G4" s="31" t="s">
        <v>424</v>
      </c>
    </row>
    <row r="5" spans="2:7" ht="39" customHeight="1" thickBot="1" x14ac:dyDescent="0.3">
      <c r="B5" s="167" t="s">
        <v>170</v>
      </c>
      <c r="C5" s="168"/>
      <c r="D5" s="169" t="s">
        <v>253</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36" t="s">
        <v>425</v>
      </c>
      <c r="D8" s="21"/>
      <c r="E8" s="19"/>
      <c r="F8" s="20"/>
      <c r="G8" s="32"/>
    </row>
    <row r="9" spans="2:7" s="4" customFormat="1" ht="64.5" customHeight="1" x14ac:dyDescent="0.25">
      <c r="B9" s="6">
        <f>B8+1</f>
        <v>2</v>
      </c>
      <c r="C9" s="36" t="s">
        <v>426</v>
      </c>
      <c r="D9" s="21"/>
      <c r="E9" s="19"/>
      <c r="F9" s="20"/>
      <c r="G9" s="32"/>
    </row>
    <row r="10" spans="2:7" s="4" customFormat="1" ht="64.5" customHeight="1" x14ac:dyDescent="0.25">
      <c r="B10" s="35">
        <f>+B9+1</f>
        <v>3</v>
      </c>
      <c r="C10" s="36" t="s">
        <v>427</v>
      </c>
      <c r="D10" s="21"/>
      <c r="E10" s="19"/>
      <c r="F10" s="20"/>
      <c r="G10" s="32"/>
    </row>
    <row r="11" spans="2:7" s="4" customFormat="1" ht="64.5" customHeight="1" x14ac:dyDescent="0.25">
      <c r="B11" s="6">
        <f>B10+1</f>
        <v>4</v>
      </c>
      <c r="C11" s="36" t="s">
        <v>635</v>
      </c>
      <c r="D11" s="21"/>
      <c r="E11" s="19"/>
      <c r="F11" s="20"/>
      <c r="G11" s="56"/>
    </row>
    <row r="12" spans="2:7" s="4" customFormat="1" ht="64.5" customHeight="1" x14ac:dyDescent="0.25">
      <c r="B12" s="35">
        <f>+B11+1</f>
        <v>5</v>
      </c>
      <c r="C12" s="36" t="s">
        <v>428</v>
      </c>
      <c r="D12" s="21"/>
      <c r="E12" s="19"/>
      <c r="F12" s="20"/>
      <c r="G12" s="32"/>
    </row>
    <row r="13" spans="2:7" s="4" customFormat="1" ht="64.5" customHeight="1" x14ac:dyDescent="0.25">
      <c r="B13" s="6">
        <f>B12+1</f>
        <v>6</v>
      </c>
      <c r="C13" s="36" t="s">
        <v>429</v>
      </c>
      <c r="D13" s="21"/>
      <c r="E13" s="19"/>
      <c r="F13" s="20"/>
      <c r="G13" s="32"/>
    </row>
    <row r="14" spans="2:7" s="4" customFormat="1" ht="64.5" customHeight="1" x14ac:dyDescent="0.25">
      <c r="B14" s="35">
        <f>+B13+1</f>
        <v>7</v>
      </c>
      <c r="C14" s="36" t="s">
        <v>430</v>
      </c>
      <c r="D14" s="21"/>
      <c r="E14" s="19"/>
      <c r="F14" s="20"/>
      <c r="G14" s="32"/>
    </row>
    <row r="15" spans="2:7" s="4" customFormat="1" ht="64.5" customHeight="1" x14ac:dyDescent="0.25">
      <c r="B15" s="6">
        <f>B14+1</f>
        <v>8</v>
      </c>
      <c r="C15" s="36" t="s">
        <v>431</v>
      </c>
      <c r="D15" s="21"/>
      <c r="E15" s="19"/>
      <c r="F15" s="20"/>
      <c r="G15" s="32"/>
    </row>
    <row r="16" spans="2:7" s="4" customFormat="1" ht="64.5" customHeight="1" x14ac:dyDescent="0.25">
      <c r="B16" s="35">
        <f>+B15+1</f>
        <v>9</v>
      </c>
      <c r="C16" s="36" t="s">
        <v>432</v>
      </c>
      <c r="D16" s="21"/>
      <c r="E16" s="19"/>
      <c r="F16" s="20"/>
      <c r="G16" s="32"/>
    </row>
    <row r="17" spans="2:7" s="4" customFormat="1" ht="64.5" customHeight="1" x14ac:dyDescent="0.25">
      <c r="B17" s="6">
        <f>B16+1</f>
        <v>10</v>
      </c>
      <c r="C17" s="36" t="s">
        <v>433</v>
      </c>
      <c r="D17" s="21"/>
      <c r="E17" s="19"/>
      <c r="F17" s="20"/>
      <c r="G17" s="32"/>
    </row>
    <row r="18" spans="2:7" s="4" customFormat="1" ht="64.5" customHeight="1" x14ac:dyDescent="0.25">
      <c r="B18" s="35">
        <f>+B17+1</f>
        <v>11</v>
      </c>
      <c r="C18" s="36" t="s">
        <v>434</v>
      </c>
      <c r="D18" s="21"/>
      <c r="E18" s="19"/>
      <c r="F18" s="20"/>
      <c r="G18" s="32"/>
    </row>
    <row r="19" spans="2:7" s="4" customFormat="1" ht="64.5" customHeight="1" x14ac:dyDescent="0.25">
      <c r="B19" s="6">
        <f>B18+1</f>
        <v>12</v>
      </c>
      <c r="C19" s="36" t="s">
        <v>435</v>
      </c>
      <c r="D19" s="21"/>
      <c r="E19" s="19"/>
      <c r="F19" s="20"/>
      <c r="G19" s="32"/>
    </row>
    <row r="20" spans="2:7" s="4" customFormat="1" ht="64.5" customHeight="1" x14ac:dyDescent="0.25">
      <c r="B20" s="35">
        <f>+B19+1</f>
        <v>13</v>
      </c>
      <c r="C20" s="36" t="s">
        <v>436</v>
      </c>
      <c r="D20" s="21"/>
      <c r="E20" s="19"/>
      <c r="F20" s="20"/>
      <c r="G20" s="32"/>
    </row>
    <row r="21" spans="2:7" s="4" customFormat="1" ht="64.5" customHeight="1" x14ac:dyDescent="0.25">
      <c r="B21" s="6">
        <f>B20+1</f>
        <v>14</v>
      </c>
      <c r="C21" s="36" t="s">
        <v>437</v>
      </c>
      <c r="D21" s="21"/>
      <c r="E21" s="19"/>
      <c r="F21" s="20"/>
      <c r="G21" s="32"/>
    </row>
    <row r="22" spans="2:7" s="4" customFormat="1" ht="64.5" customHeight="1" x14ac:dyDescent="0.25">
      <c r="B22" s="35">
        <f>+B21+1</f>
        <v>15</v>
      </c>
      <c r="C22" s="36"/>
      <c r="D22" s="21"/>
      <c r="E22" s="19"/>
      <c r="F22" s="20"/>
      <c r="G22" s="32"/>
    </row>
    <row r="23" spans="2:7" s="4" customFormat="1" ht="64.5" customHeight="1" x14ac:dyDescent="0.25">
      <c r="B23" s="6">
        <f>B22+1</f>
        <v>16</v>
      </c>
      <c r="C23" s="36"/>
      <c r="D23" s="21"/>
      <c r="E23" s="19"/>
      <c r="F23" s="20"/>
      <c r="G23" s="32"/>
    </row>
    <row r="24" spans="2:7" s="4" customFormat="1" ht="64.5" customHeight="1" thickBot="1" x14ac:dyDescent="0.3">
      <c r="B24" s="35">
        <f>+B23+1</f>
        <v>17</v>
      </c>
      <c r="C24" s="36"/>
      <c r="D24" s="21"/>
      <c r="E24" s="19"/>
      <c r="F24" s="20"/>
      <c r="G24" s="32"/>
    </row>
    <row r="25" spans="2:7" ht="18.75" thickBot="1" x14ac:dyDescent="0.3">
      <c r="B25" s="245" t="s">
        <v>13</v>
      </c>
      <c r="C25" s="246"/>
      <c r="D25" s="175" t="s">
        <v>7</v>
      </c>
      <c r="E25" s="176"/>
      <c r="F25" s="177"/>
      <c r="G25" s="24" t="s">
        <v>8</v>
      </c>
    </row>
    <row r="26" spans="2:7" x14ac:dyDescent="0.25">
      <c r="B26" s="153"/>
      <c r="C26" s="154"/>
      <c r="D26" s="154"/>
      <c r="E26" s="154"/>
      <c r="F26" s="154"/>
      <c r="G26" s="159"/>
    </row>
    <row r="27" spans="2:7" x14ac:dyDescent="0.25">
      <c r="B27" s="155"/>
      <c r="C27" s="156"/>
      <c r="D27" s="156"/>
      <c r="E27" s="156"/>
      <c r="F27" s="156"/>
      <c r="G27" s="160"/>
    </row>
    <row r="28" spans="2:7" x14ac:dyDescent="0.25">
      <c r="B28" s="155"/>
      <c r="C28" s="156"/>
      <c r="D28" s="156"/>
      <c r="E28" s="156"/>
      <c r="F28" s="156"/>
      <c r="G28" s="160"/>
    </row>
    <row r="29" spans="2:7" x14ac:dyDescent="0.25">
      <c r="B29" s="155"/>
      <c r="C29" s="156"/>
      <c r="D29" s="156"/>
      <c r="E29" s="156"/>
      <c r="F29" s="156"/>
      <c r="G29" s="160"/>
    </row>
    <row r="30" spans="2:7" ht="15.75" thickBot="1" x14ac:dyDescent="0.3">
      <c r="B30" s="157"/>
      <c r="C30" s="158"/>
      <c r="D30" s="158"/>
      <c r="E30" s="158"/>
      <c r="F30" s="158"/>
      <c r="G30" s="161"/>
    </row>
  </sheetData>
  <sheetProtection selectLockedCells="1"/>
  <mergeCells count="10">
    <mergeCell ref="B26:C30"/>
    <mergeCell ref="D26:F30"/>
    <mergeCell ref="G26:G30"/>
    <mergeCell ref="B3:F3"/>
    <mergeCell ref="D4:F4"/>
    <mergeCell ref="B5:C5"/>
    <mergeCell ref="D5:G5"/>
    <mergeCell ref="E6:F6"/>
    <mergeCell ref="B25:C25"/>
    <mergeCell ref="D25:F25"/>
  </mergeCells>
  <conditionalFormatting sqref="D8:D24">
    <cfRule type="cellIs" dxfId="41" priority="1" operator="equal">
      <formula>3</formula>
    </cfRule>
    <cfRule type="cellIs" dxfId="40" priority="2" operator="equal">
      <formula>4</formula>
    </cfRule>
  </conditionalFormatting>
  <printOptions horizontalCentered="1"/>
  <pageMargins left="0.15748031496062992" right="7.874015748031496E-2" top="0.19685039370078741" bottom="0.15748031496062992" header="0.31496062992125984" footer="0.31496062992125984"/>
  <pageSetup paperSize="9" scale="56" fitToHeight="3"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5">
    <tabColor theme="0" tint="-0.14999847407452621"/>
    <pageSetUpPr fitToPage="1"/>
  </sheetPr>
  <dimension ref="B1:G18"/>
  <sheetViews>
    <sheetView view="pageBreakPreview" zoomScale="55" zoomScaleNormal="55" zoomScaleSheetLayoutView="55" zoomScalePageLayoutView="70" workbookViewId="0">
      <selection activeCell="G42" sqref="G42"/>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19</v>
      </c>
      <c r="D4" s="165" t="str">
        <f>+'Line &amp; frequency'!C1</f>
        <v>CHAINE 5</v>
      </c>
      <c r="E4" s="166"/>
      <c r="F4" s="166"/>
      <c r="G4" s="31" t="s">
        <v>529</v>
      </c>
    </row>
    <row r="5" spans="2:7" ht="39" customHeight="1" thickBot="1" x14ac:dyDescent="0.3">
      <c r="B5" s="167" t="s">
        <v>170</v>
      </c>
      <c r="C5" s="168"/>
      <c r="D5" s="169" t="s">
        <v>253</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131" t="s">
        <v>602</v>
      </c>
      <c r="D8" s="21"/>
      <c r="E8" s="19"/>
      <c r="F8" s="20"/>
      <c r="G8" s="32"/>
    </row>
    <row r="9" spans="2:7" s="4" customFormat="1" ht="64.5" customHeight="1" x14ac:dyDescent="0.25">
      <c r="B9" s="6">
        <f>B8+1</f>
        <v>2</v>
      </c>
      <c r="C9" s="36" t="s">
        <v>693</v>
      </c>
      <c r="D9" s="21"/>
      <c r="E9" s="19"/>
      <c r="F9" s="20"/>
      <c r="G9" s="32"/>
    </row>
    <row r="10" spans="2:7" s="4" customFormat="1" ht="64.5" customHeight="1" x14ac:dyDescent="0.25">
      <c r="B10" s="35">
        <f>+B9+1</f>
        <v>3</v>
      </c>
      <c r="C10" s="36"/>
      <c r="D10" s="21"/>
      <c r="E10" s="19"/>
      <c r="F10" s="20"/>
      <c r="G10" s="32"/>
    </row>
    <row r="11" spans="2:7" s="4" customFormat="1" ht="64.5" customHeight="1" x14ac:dyDescent="0.25">
      <c r="B11" s="6">
        <f>B10+1</f>
        <v>4</v>
      </c>
      <c r="C11" s="36"/>
      <c r="D11" s="21"/>
      <c r="E11" s="19"/>
      <c r="F11" s="20"/>
      <c r="G11" s="56"/>
    </row>
    <row r="12" spans="2:7" s="4" customFormat="1" ht="64.5" customHeight="1" thickBot="1" x14ac:dyDescent="0.3">
      <c r="B12" s="35">
        <f>+B11+1</f>
        <v>5</v>
      </c>
      <c r="C12" s="36"/>
      <c r="D12" s="21"/>
      <c r="E12" s="19"/>
      <c r="F12" s="20"/>
      <c r="G12" s="32"/>
    </row>
    <row r="13" spans="2:7" ht="18.75" thickBot="1" x14ac:dyDescent="0.3">
      <c r="B13" s="245" t="s">
        <v>13</v>
      </c>
      <c r="C13" s="246"/>
      <c r="D13" s="175" t="s">
        <v>7</v>
      </c>
      <c r="E13" s="176"/>
      <c r="F13" s="177"/>
      <c r="G13" s="24" t="s">
        <v>8</v>
      </c>
    </row>
    <row r="14" spans="2:7" x14ac:dyDescent="0.25">
      <c r="B14" s="153"/>
      <c r="C14" s="154"/>
      <c r="D14" s="154"/>
      <c r="E14" s="154"/>
      <c r="F14" s="154"/>
      <c r="G14" s="159"/>
    </row>
    <row r="15" spans="2:7" x14ac:dyDescent="0.25">
      <c r="B15" s="155"/>
      <c r="C15" s="156"/>
      <c r="D15" s="156"/>
      <c r="E15" s="156"/>
      <c r="F15" s="156"/>
      <c r="G15" s="160"/>
    </row>
    <row r="16" spans="2:7" x14ac:dyDescent="0.25">
      <c r="B16" s="155"/>
      <c r="C16" s="156"/>
      <c r="D16" s="156"/>
      <c r="E16" s="156"/>
      <c r="F16" s="156"/>
      <c r="G16" s="160"/>
    </row>
    <row r="17" spans="2:7" x14ac:dyDescent="0.25">
      <c r="B17" s="155"/>
      <c r="C17" s="156"/>
      <c r="D17" s="156"/>
      <c r="E17" s="156"/>
      <c r="F17" s="156"/>
      <c r="G17" s="160"/>
    </row>
    <row r="18" spans="2:7" ht="15.75" thickBot="1" x14ac:dyDescent="0.3">
      <c r="B18" s="157"/>
      <c r="C18" s="158"/>
      <c r="D18" s="158"/>
      <c r="E18" s="158"/>
      <c r="F18" s="158"/>
      <c r="G18" s="161"/>
    </row>
  </sheetData>
  <sheetProtection selectLockedCells="1"/>
  <mergeCells count="10">
    <mergeCell ref="B14:C18"/>
    <mergeCell ref="D14:F18"/>
    <mergeCell ref="G14:G18"/>
    <mergeCell ref="B3:F3"/>
    <mergeCell ref="D4:F4"/>
    <mergeCell ref="B5:C5"/>
    <mergeCell ref="D5:G5"/>
    <mergeCell ref="E6:F6"/>
    <mergeCell ref="B13:C13"/>
    <mergeCell ref="D13:F13"/>
  </mergeCells>
  <conditionalFormatting sqref="D8:D12">
    <cfRule type="cellIs" dxfId="69" priority="1" operator="equal">
      <formula>3</formula>
    </cfRule>
    <cfRule type="cellIs" dxfId="68" priority="2" operator="equal">
      <formula>4</formula>
    </cfRule>
  </conditionalFormatting>
  <printOptions horizontalCentered="1"/>
  <pageMargins left="0.15748031496062992" right="7.874015748031496E-2" top="0.19685039370078741" bottom="0.15748031496062992" header="0.31496062992125984" footer="0.31496062992125984"/>
  <pageSetup paperSize="9" scale="56" fitToHeight="3"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9">
    <tabColor theme="0" tint="-0.14999847407452621"/>
    <pageSetUpPr fitToPage="1"/>
  </sheetPr>
  <dimension ref="B1:G21"/>
  <sheetViews>
    <sheetView view="pageBreakPreview" zoomScale="55" zoomScaleNormal="55" zoomScaleSheetLayoutView="55" zoomScalePageLayoutView="70" workbookViewId="0">
      <selection activeCell="G15" sqref="G15"/>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20</v>
      </c>
      <c r="D4" s="165" t="str">
        <f>+'Line &amp; frequency'!C1</f>
        <v>CHAINE 5</v>
      </c>
      <c r="E4" s="166"/>
      <c r="F4" s="166"/>
      <c r="G4" s="31" t="s">
        <v>14</v>
      </c>
    </row>
    <row r="5" spans="2:7" ht="39" customHeight="1" thickBot="1" x14ac:dyDescent="0.3">
      <c r="B5" s="167" t="s">
        <v>170</v>
      </c>
      <c r="C5" s="168"/>
      <c r="D5" s="169"/>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40.5" x14ac:dyDescent="0.25">
      <c r="B8" s="5">
        <v>1</v>
      </c>
      <c r="C8" s="16" t="s">
        <v>524</v>
      </c>
      <c r="D8" s="21"/>
      <c r="E8" s="19"/>
      <c r="F8" s="20"/>
      <c r="G8" s="32"/>
    </row>
    <row r="9" spans="2:7" s="4" customFormat="1" ht="51.75" customHeight="1" x14ac:dyDescent="0.25">
      <c r="B9" s="6">
        <f>B8+1</f>
        <v>2</v>
      </c>
      <c r="C9" s="36" t="s">
        <v>525</v>
      </c>
      <c r="D9" s="21"/>
      <c r="E9" s="19"/>
      <c r="F9" s="20"/>
      <c r="G9" s="32"/>
    </row>
    <row r="10" spans="2:7" s="4" customFormat="1" ht="40.5" x14ac:dyDescent="0.25">
      <c r="B10" s="35">
        <f>+B9+1</f>
        <v>3</v>
      </c>
      <c r="C10" s="36" t="s">
        <v>526</v>
      </c>
      <c r="D10" s="21"/>
      <c r="E10" s="19"/>
      <c r="F10" s="20"/>
      <c r="G10" s="32"/>
    </row>
    <row r="11" spans="2:7" s="4" customFormat="1" ht="50.25" customHeight="1" x14ac:dyDescent="0.25">
      <c r="B11" s="6">
        <f>B10+1</f>
        <v>4</v>
      </c>
      <c r="C11" s="36" t="s">
        <v>527</v>
      </c>
      <c r="D11" s="21"/>
      <c r="E11" s="19"/>
      <c r="F11" s="20"/>
      <c r="G11" s="32"/>
    </row>
    <row r="12" spans="2:7" s="4" customFormat="1" ht="40.5" x14ac:dyDescent="0.25">
      <c r="B12" s="35">
        <f>+B11+1</f>
        <v>5</v>
      </c>
      <c r="C12" s="36" t="s">
        <v>528</v>
      </c>
      <c r="D12" s="21"/>
      <c r="E12" s="19"/>
      <c r="F12" s="20"/>
      <c r="G12" s="32"/>
    </row>
    <row r="13" spans="2:7" s="4" customFormat="1" ht="60" customHeight="1" x14ac:dyDescent="0.25">
      <c r="B13" s="6">
        <f>B12+1</f>
        <v>6</v>
      </c>
      <c r="C13" s="36" t="s">
        <v>714</v>
      </c>
      <c r="D13" s="21"/>
      <c r="E13" s="19"/>
      <c r="F13" s="20"/>
      <c r="G13" s="152"/>
    </row>
    <row r="14" spans="2:7" s="4" customFormat="1" ht="27" customHeight="1" x14ac:dyDescent="0.25">
      <c r="B14" s="35">
        <f>+B13+1</f>
        <v>7</v>
      </c>
      <c r="C14" s="36"/>
      <c r="D14" s="21"/>
      <c r="E14" s="19"/>
      <c r="F14" s="20"/>
      <c r="G14" s="32"/>
    </row>
    <row r="15" spans="2:7" s="4" customFormat="1" ht="64.5" customHeight="1" thickBot="1" x14ac:dyDescent="0.3">
      <c r="B15" s="6">
        <f>B14+1</f>
        <v>8</v>
      </c>
      <c r="C15" s="36"/>
      <c r="D15" s="21"/>
      <c r="E15" s="19"/>
      <c r="F15" s="20"/>
      <c r="G15" s="32"/>
    </row>
    <row r="16" spans="2:7" ht="18.75" thickBot="1" x14ac:dyDescent="0.3">
      <c r="B16" s="245" t="s">
        <v>13</v>
      </c>
      <c r="C16" s="246"/>
      <c r="D16" s="175" t="s">
        <v>7</v>
      </c>
      <c r="E16" s="176"/>
      <c r="F16" s="177"/>
      <c r="G16" s="24" t="s">
        <v>8</v>
      </c>
    </row>
    <row r="17" spans="2:7" x14ac:dyDescent="0.25">
      <c r="B17" s="153"/>
      <c r="C17" s="154"/>
      <c r="D17" s="154"/>
      <c r="E17" s="154"/>
      <c r="F17" s="154"/>
      <c r="G17" s="159"/>
    </row>
    <row r="18" spans="2:7" x14ac:dyDescent="0.25">
      <c r="B18" s="155"/>
      <c r="C18" s="156"/>
      <c r="D18" s="156"/>
      <c r="E18" s="156"/>
      <c r="F18" s="156"/>
      <c r="G18" s="160"/>
    </row>
    <row r="19" spans="2:7" x14ac:dyDescent="0.25">
      <c r="B19" s="155"/>
      <c r="C19" s="156"/>
      <c r="D19" s="156"/>
      <c r="E19" s="156"/>
      <c r="F19" s="156"/>
      <c r="G19" s="160"/>
    </row>
    <row r="20" spans="2:7" x14ac:dyDescent="0.25">
      <c r="B20" s="155"/>
      <c r="C20" s="156"/>
      <c r="D20" s="156"/>
      <c r="E20" s="156"/>
      <c r="F20" s="156"/>
      <c r="G20" s="160"/>
    </row>
    <row r="21" spans="2:7" ht="15.75" thickBot="1" x14ac:dyDescent="0.3">
      <c r="B21" s="157"/>
      <c r="C21" s="158"/>
      <c r="D21" s="158"/>
      <c r="E21" s="158"/>
      <c r="F21" s="158"/>
      <c r="G21" s="161"/>
    </row>
  </sheetData>
  <sheetProtection selectLockedCells="1"/>
  <mergeCells count="10">
    <mergeCell ref="B17:C21"/>
    <mergeCell ref="D17:F21"/>
    <mergeCell ref="G17:G21"/>
    <mergeCell ref="B3:F3"/>
    <mergeCell ref="D4:F4"/>
    <mergeCell ref="E6:F6"/>
    <mergeCell ref="B16:C16"/>
    <mergeCell ref="D16:F16"/>
    <mergeCell ref="B5:C5"/>
    <mergeCell ref="D5:G5"/>
  </mergeCells>
  <conditionalFormatting sqref="D8:D15">
    <cfRule type="cellIs" dxfId="67" priority="3" operator="equal">
      <formula>3</formula>
    </cfRule>
    <cfRule type="cellIs" dxfId="66"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6"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0" tint="-0.14999847407452621"/>
    <pageSetUpPr fitToPage="1"/>
  </sheetPr>
  <dimension ref="B1:G21"/>
  <sheetViews>
    <sheetView view="pageBreakPreview" zoomScale="55" zoomScaleNormal="55" zoomScaleSheetLayoutView="55" zoomScalePageLayoutView="70" workbookViewId="0">
      <selection activeCell="G3" sqref="G3"/>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20</v>
      </c>
      <c r="D4" s="165" t="str">
        <f>+'Line &amp; frequency'!C1</f>
        <v>CHAINE 5</v>
      </c>
      <c r="E4" s="166"/>
      <c r="F4" s="166"/>
      <c r="G4" s="31" t="s">
        <v>368</v>
      </c>
    </row>
    <row r="5" spans="2:7" ht="39" customHeight="1" thickBot="1" x14ac:dyDescent="0.3">
      <c r="B5" s="167" t="s">
        <v>170</v>
      </c>
      <c r="C5" s="168"/>
      <c r="D5" s="169" t="s">
        <v>679</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0.75" customHeight="1" x14ac:dyDescent="0.25">
      <c r="B8" s="5">
        <v>1</v>
      </c>
      <c r="C8" s="16" t="s">
        <v>236</v>
      </c>
      <c r="D8" s="21"/>
      <c r="E8" s="19"/>
      <c r="F8" s="20"/>
      <c r="G8" s="32"/>
    </row>
    <row r="9" spans="2:7" s="4" customFormat="1" ht="51.75" customHeight="1" x14ac:dyDescent="0.25">
      <c r="B9" s="6">
        <f>B8+1</f>
        <v>2</v>
      </c>
      <c r="C9" s="36" t="s">
        <v>238</v>
      </c>
      <c r="D9" s="21"/>
      <c r="E9" s="19"/>
      <c r="F9" s="20"/>
      <c r="G9" s="32"/>
    </row>
    <row r="10" spans="2:7" s="4" customFormat="1" ht="60" customHeight="1" x14ac:dyDescent="0.25">
      <c r="B10" s="35">
        <v>3</v>
      </c>
      <c r="C10" s="36" t="s">
        <v>237</v>
      </c>
      <c r="D10" s="21"/>
      <c r="E10" s="19"/>
      <c r="F10" s="20"/>
      <c r="G10" s="32"/>
    </row>
    <row r="11" spans="2:7" s="4" customFormat="1" ht="50.25" customHeight="1" x14ac:dyDescent="0.25">
      <c r="B11" s="6"/>
      <c r="C11" s="36"/>
      <c r="D11" s="21"/>
      <c r="E11" s="19"/>
      <c r="F11" s="20"/>
      <c r="G11" s="32"/>
    </row>
    <row r="12" spans="2:7" s="4" customFormat="1" ht="20.25" x14ac:dyDescent="0.25">
      <c r="B12" s="35"/>
      <c r="C12" s="36"/>
      <c r="D12" s="21"/>
      <c r="E12" s="19"/>
      <c r="F12" s="20"/>
      <c r="G12" s="32"/>
    </row>
    <row r="13" spans="2:7" s="4" customFormat="1" ht="60" customHeight="1" x14ac:dyDescent="0.25">
      <c r="B13" s="6"/>
      <c r="C13" s="36"/>
      <c r="D13" s="21"/>
      <c r="E13" s="19"/>
      <c r="F13" s="20"/>
      <c r="G13" s="32"/>
    </row>
    <row r="14" spans="2:7" s="4" customFormat="1" ht="27" customHeight="1" x14ac:dyDescent="0.25">
      <c r="B14" s="35"/>
      <c r="C14" s="36"/>
      <c r="D14" s="21"/>
      <c r="E14" s="19"/>
      <c r="F14" s="20"/>
      <c r="G14" s="32"/>
    </row>
    <row r="15" spans="2:7" s="4" customFormat="1" ht="64.5" customHeight="1" thickBot="1" x14ac:dyDescent="0.3">
      <c r="B15" s="6"/>
      <c r="C15" s="36"/>
      <c r="D15" s="21"/>
      <c r="E15" s="19"/>
      <c r="F15" s="20"/>
      <c r="G15" s="32"/>
    </row>
    <row r="16" spans="2:7" ht="18.75" thickBot="1" x14ac:dyDescent="0.3">
      <c r="B16" s="245" t="s">
        <v>13</v>
      </c>
      <c r="C16" s="246"/>
      <c r="D16" s="175" t="s">
        <v>7</v>
      </c>
      <c r="E16" s="176"/>
      <c r="F16" s="177"/>
      <c r="G16" s="24" t="s">
        <v>8</v>
      </c>
    </row>
    <row r="17" spans="2:7" x14ac:dyDescent="0.25">
      <c r="B17" s="153"/>
      <c r="C17" s="154"/>
      <c r="D17" s="154"/>
      <c r="E17" s="154"/>
      <c r="F17" s="154"/>
      <c r="G17" s="159"/>
    </row>
    <row r="18" spans="2:7" x14ac:dyDescent="0.25">
      <c r="B18" s="155"/>
      <c r="C18" s="156"/>
      <c r="D18" s="156"/>
      <c r="E18" s="156"/>
      <c r="F18" s="156"/>
      <c r="G18" s="160"/>
    </row>
    <row r="19" spans="2:7" x14ac:dyDescent="0.25">
      <c r="B19" s="155"/>
      <c r="C19" s="156"/>
      <c r="D19" s="156"/>
      <c r="E19" s="156"/>
      <c r="F19" s="156"/>
      <c r="G19" s="160"/>
    </row>
    <row r="20" spans="2:7" x14ac:dyDescent="0.25">
      <c r="B20" s="155"/>
      <c r="C20" s="156"/>
      <c r="D20" s="156"/>
      <c r="E20" s="156"/>
      <c r="F20" s="156"/>
      <c r="G20" s="160"/>
    </row>
    <row r="21" spans="2:7" ht="15.75" thickBot="1" x14ac:dyDescent="0.3">
      <c r="B21" s="157"/>
      <c r="C21" s="158"/>
      <c r="D21" s="158"/>
      <c r="E21" s="158"/>
      <c r="F21" s="158"/>
      <c r="G21" s="161"/>
    </row>
  </sheetData>
  <sheetProtection selectLockedCells="1"/>
  <mergeCells count="10">
    <mergeCell ref="B17:C21"/>
    <mergeCell ref="D17:F21"/>
    <mergeCell ref="G17:G21"/>
    <mergeCell ref="B3:F3"/>
    <mergeCell ref="D4:F4"/>
    <mergeCell ref="B5:C5"/>
    <mergeCell ref="D5:G5"/>
    <mergeCell ref="E6:F6"/>
    <mergeCell ref="B16:C16"/>
    <mergeCell ref="D16:F16"/>
  </mergeCells>
  <conditionalFormatting sqref="D8:D15">
    <cfRule type="cellIs" dxfId="65" priority="1" operator="equal">
      <formula>3</formula>
    </cfRule>
    <cfRule type="cellIs" dxfId="64"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6"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tabColor theme="0" tint="-0.14999847407452621"/>
    <pageSetUpPr fitToPage="1"/>
  </sheetPr>
  <dimension ref="B1:G44"/>
  <sheetViews>
    <sheetView view="pageBreakPreview" zoomScale="55" zoomScaleNormal="55" zoomScaleSheetLayoutView="55" zoomScalePageLayoutView="70" workbookViewId="0">
      <selection activeCell="G18" sqref="G18"/>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16</v>
      </c>
      <c r="D4" s="165" t="str">
        <f>+'Line &amp; frequency'!C1</f>
        <v>CHAINE 5</v>
      </c>
      <c r="E4" s="166"/>
      <c r="F4" s="166"/>
      <c r="G4" s="31" t="str">
        <f>+'Line &amp; frequency'!C2</f>
        <v>HEBDOMADAIRE</v>
      </c>
    </row>
    <row r="5" spans="2:7" ht="32.25" customHeight="1" thickBot="1" x14ac:dyDescent="0.3">
      <c r="B5" s="167" t="s">
        <v>170</v>
      </c>
      <c r="C5" s="168"/>
      <c r="D5" s="169"/>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16" t="s">
        <v>36</v>
      </c>
      <c r="D8" s="21"/>
      <c r="E8" s="19"/>
      <c r="F8" s="20"/>
      <c r="G8" s="32"/>
    </row>
    <row r="9" spans="2:7" s="4" customFormat="1" ht="60" customHeight="1" x14ac:dyDescent="0.25">
      <c r="B9" s="6">
        <f>B8+1</f>
        <v>2</v>
      </c>
      <c r="C9" s="36" t="s">
        <v>638</v>
      </c>
      <c r="D9" s="21"/>
      <c r="E9" s="19"/>
      <c r="F9" s="20"/>
      <c r="G9" s="32"/>
    </row>
    <row r="10" spans="2:7" s="4" customFormat="1" ht="51.75" customHeight="1" x14ac:dyDescent="0.25">
      <c r="B10" s="6">
        <v>3</v>
      </c>
      <c r="C10" s="36" t="s">
        <v>177</v>
      </c>
      <c r="D10" s="21"/>
      <c r="E10" s="19"/>
      <c r="F10" s="20"/>
      <c r="G10" s="32"/>
    </row>
    <row r="11" spans="2:7" s="4" customFormat="1" ht="64.5" customHeight="1" x14ac:dyDescent="0.25">
      <c r="B11" s="35">
        <f>+B10+1</f>
        <v>4</v>
      </c>
      <c r="C11" s="36" t="s">
        <v>639</v>
      </c>
      <c r="D11" s="21"/>
      <c r="E11" s="19"/>
      <c r="F11" s="20"/>
      <c r="G11" s="32"/>
    </row>
    <row r="12" spans="2:7" s="4" customFormat="1" ht="45.75" customHeight="1" x14ac:dyDescent="0.25">
      <c r="B12" s="6">
        <f>B11+1</f>
        <v>5</v>
      </c>
      <c r="C12" s="36" t="s">
        <v>640</v>
      </c>
      <c r="D12" s="21"/>
      <c r="E12" s="19"/>
      <c r="F12" s="20"/>
      <c r="G12" s="32"/>
    </row>
    <row r="13" spans="2:7" s="4" customFormat="1" ht="45.75" customHeight="1" x14ac:dyDescent="0.25">
      <c r="B13" s="35">
        <f>+B12+1</f>
        <v>6</v>
      </c>
      <c r="C13" s="36" t="s">
        <v>641</v>
      </c>
      <c r="D13" s="21"/>
      <c r="E13" s="19"/>
      <c r="F13" s="20"/>
      <c r="G13" s="32"/>
    </row>
    <row r="14" spans="2:7" s="4" customFormat="1" ht="64.5" customHeight="1" x14ac:dyDescent="0.25">
      <c r="B14" s="6">
        <f>B13+1</f>
        <v>7</v>
      </c>
      <c r="C14" s="36" t="s">
        <v>688</v>
      </c>
      <c r="D14" s="21"/>
      <c r="E14" s="19"/>
      <c r="F14" s="20"/>
      <c r="G14" s="32"/>
    </row>
    <row r="15" spans="2:7" s="4" customFormat="1" ht="64.5" customHeight="1" x14ac:dyDescent="0.25">
      <c r="B15" s="6">
        <f t="shared" ref="B15:B38" si="0">B14+1</f>
        <v>8</v>
      </c>
      <c r="C15" s="36" t="s">
        <v>727</v>
      </c>
      <c r="D15" s="21"/>
      <c r="E15" s="19"/>
      <c r="F15" s="20"/>
      <c r="G15" s="32"/>
    </row>
    <row r="16" spans="2:7" s="4" customFormat="1" ht="64.5" customHeight="1" x14ac:dyDescent="0.25">
      <c r="B16" s="6">
        <f t="shared" si="0"/>
        <v>9</v>
      </c>
      <c r="C16" s="36" t="s">
        <v>642</v>
      </c>
      <c r="D16" s="21"/>
      <c r="E16" s="19"/>
      <c r="F16" s="20"/>
      <c r="G16" s="32"/>
    </row>
    <row r="17" spans="2:7" s="4" customFormat="1" ht="57.75" customHeight="1" x14ac:dyDescent="0.25">
      <c r="B17" s="6">
        <f t="shared" si="0"/>
        <v>10</v>
      </c>
      <c r="C17" s="36" t="s">
        <v>643</v>
      </c>
      <c r="D17" s="21"/>
      <c r="E17" s="19"/>
      <c r="F17" s="20"/>
      <c r="G17" s="32"/>
    </row>
    <row r="18" spans="2:7" s="4" customFormat="1" ht="57.75" customHeight="1" x14ac:dyDescent="0.25">
      <c r="B18" s="6">
        <f t="shared" si="0"/>
        <v>11</v>
      </c>
      <c r="C18" s="36" t="s">
        <v>644</v>
      </c>
      <c r="D18" s="21"/>
      <c r="E18" s="19"/>
      <c r="F18" s="20"/>
      <c r="G18" s="32"/>
    </row>
    <row r="19" spans="2:7" s="4" customFormat="1" ht="64.5" customHeight="1" x14ac:dyDescent="0.25">
      <c r="B19" s="6">
        <f t="shared" si="0"/>
        <v>12</v>
      </c>
      <c r="C19" s="36" t="s">
        <v>645</v>
      </c>
      <c r="D19" s="21"/>
      <c r="E19" s="19"/>
      <c r="F19" s="20"/>
      <c r="G19" s="32"/>
    </row>
    <row r="20" spans="2:7" s="4" customFormat="1" ht="64.5" customHeight="1" x14ac:dyDescent="0.25">
      <c r="B20" s="6">
        <f t="shared" si="0"/>
        <v>13</v>
      </c>
      <c r="C20" s="36" t="s">
        <v>654</v>
      </c>
      <c r="D20" s="21"/>
      <c r="E20" s="19"/>
      <c r="F20" s="20"/>
      <c r="G20" s="32"/>
    </row>
    <row r="21" spans="2:7" s="4" customFormat="1" ht="64.5" customHeight="1" x14ac:dyDescent="0.25">
      <c r="B21" s="6">
        <f t="shared" si="0"/>
        <v>14</v>
      </c>
      <c r="C21" s="127" t="s">
        <v>646</v>
      </c>
      <c r="D21" s="21"/>
      <c r="E21" s="19"/>
      <c r="F21" s="20"/>
      <c r="G21" s="32"/>
    </row>
    <row r="22" spans="2:7" s="4" customFormat="1" ht="64.5" customHeight="1" x14ac:dyDescent="0.25">
      <c r="B22" s="6">
        <f t="shared" si="0"/>
        <v>15</v>
      </c>
      <c r="C22" s="127" t="s">
        <v>655</v>
      </c>
      <c r="D22" s="21"/>
      <c r="E22" s="19"/>
      <c r="F22" s="20"/>
      <c r="G22" s="32"/>
    </row>
    <row r="23" spans="2:7" s="4" customFormat="1" ht="64.5" customHeight="1" x14ac:dyDescent="0.25">
      <c r="B23" s="6">
        <f t="shared" si="0"/>
        <v>16</v>
      </c>
      <c r="C23" s="127" t="s">
        <v>656</v>
      </c>
      <c r="D23" s="21"/>
      <c r="E23" s="19"/>
      <c r="F23" s="20"/>
      <c r="G23" s="32"/>
    </row>
    <row r="24" spans="2:7" s="4" customFormat="1" ht="32.25" customHeight="1" x14ac:dyDescent="0.25">
      <c r="B24" s="6">
        <f t="shared" si="0"/>
        <v>17</v>
      </c>
      <c r="C24" s="52" t="s">
        <v>168</v>
      </c>
      <c r="D24" s="51"/>
      <c r="E24" s="19"/>
      <c r="F24" s="20"/>
      <c r="G24" s="32"/>
    </row>
    <row r="25" spans="2:7" s="4" customFormat="1" ht="30" customHeight="1" x14ac:dyDescent="0.25">
      <c r="B25" s="6">
        <f t="shared" si="0"/>
        <v>18</v>
      </c>
      <c r="C25" s="52" t="s">
        <v>169</v>
      </c>
      <c r="D25" s="51"/>
      <c r="E25" s="19"/>
      <c r="F25" s="20"/>
      <c r="G25" s="32"/>
    </row>
    <row r="26" spans="2:7" s="4" customFormat="1" ht="40.5" x14ac:dyDescent="0.25">
      <c r="B26" s="6">
        <f t="shared" si="0"/>
        <v>19</v>
      </c>
      <c r="C26" s="17" t="s">
        <v>647</v>
      </c>
      <c r="D26" s="51"/>
      <c r="E26" s="19"/>
      <c r="F26" s="20"/>
      <c r="G26" s="32"/>
    </row>
    <row r="27" spans="2:7" s="4" customFormat="1" ht="40.5" x14ac:dyDescent="0.25">
      <c r="B27" s="6">
        <f t="shared" si="0"/>
        <v>20</v>
      </c>
      <c r="C27" s="52" t="s">
        <v>648</v>
      </c>
      <c r="D27" s="51"/>
      <c r="E27" s="19"/>
      <c r="F27" s="20"/>
      <c r="G27" s="32"/>
    </row>
    <row r="28" spans="2:7" s="4" customFormat="1" ht="64.5" customHeight="1" x14ac:dyDescent="0.25">
      <c r="B28" s="6">
        <f t="shared" si="0"/>
        <v>21</v>
      </c>
      <c r="C28" s="36" t="s">
        <v>179</v>
      </c>
      <c r="D28" s="21"/>
      <c r="E28" s="19"/>
      <c r="F28" s="20"/>
      <c r="G28" s="32"/>
    </row>
    <row r="29" spans="2:7" s="4" customFormat="1" ht="64.5" customHeight="1" x14ac:dyDescent="0.25">
      <c r="B29" s="6">
        <f t="shared" si="0"/>
        <v>22</v>
      </c>
      <c r="C29" s="17" t="s">
        <v>181</v>
      </c>
      <c r="D29" s="21"/>
      <c r="E29" s="19"/>
      <c r="F29" s="20"/>
      <c r="G29" s="32"/>
    </row>
    <row r="30" spans="2:7" s="4" customFormat="1" ht="64.5" customHeight="1" x14ac:dyDescent="0.25">
      <c r="B30" s="6">
        <f t="shared" si="0"/>
        <v>23</v>
      </c>
      <c r="C30" s="36" t="s">
        <v>446</v>
      </c>
      <c r="D30" s="21"/>
      <c r="E30" s="19"/>
      <c r="F30" s="20"/>
      <c r="G30" s="32"/>
    </row>
    <row r="31" spans="2:7" s="4" customFormat="1" ht="64.5" customHeight="1" x14ac:dyDescent="0.25">
      <c r="B31" s="6">
        <f t="shared" si="0"/>
        <v>24</v>
      </c>
      <c r="C31" s="36" t="s">
        <v>649</v>
      </c>
      <c r="D31" s="21"/>
      <c r="E31" s="19"/>
      <c r="F31" s="20"/>
      <c r="G31" s="32"/>
    </row>
    <row r="32" spans="2:7" s="4" customFormat="1" ht="64.5" customHeight="1" x14ac:dyDescent="0.25">
      <c r="B32" s="6">
        <f t="shared" si="0"/>
        <v>25</v>
      </c>
      <c r="C32" s="36" t="s">
        <v>650</v>
      </c>
      <c r="D32" s="21"/>
      <c r="E32" s="19"/>
      <c r="F32" s="20"/>
      <c r="G32" s="32"/>
    </row>
    <row r="33" spans="2:7" s="4" customFormat="1" ht="64.5" customHeight="1" x14ac:dyDescent="0.25">
      <c r="B33" s="6">
        <f t="shared" si="0"/>
        <v>26</v>
      </c>
      <c r="C33" s="36" t="s">
        <v>651</v>
      </c>
      <c r="D33" s="21"/>
      <c r="E33" s="19"/>
      <c r="F33" s="20"/>
      <c r="G33" s="32"/>
    </row>
    <row r="34" spans="2:7" s="4" customFormat="1" ht="54.75" customHeight="1" x14ac:dyDescent="0.25">
      <c r="B34" s="6">
        <f t="shared" si="0"/>
        <v>27</v>
      </c>
      <c r="C34" s="36" t="s">
        <v>652</v>
      </c>
      <c r="D34" s="21"/>
      <c r="E34" s="19"/>
      <c r="F34" s="20"/>
      <c r="G34" s="32"/>
    </row>
    <row r="35" spans="2:7" s="4" customFormat="1" ht="57" customHeight="1" x14ac:dyDescent="0.25">
      <c r="B35" s="6">
        <f t="shared" si="0"/>
        <v>28</v>
      </c>
      <c r="C35" s="36" t="s">
        <v>653</v>
      </c>
      <c r="D35" s="21"/>
      <c r="E35" s="19"/>
      <c r="F35" s="20"/>
      <c r="G35" s="32"/>
    </row>
    <row r="36" spans="2:7" s="4" customFormat="1" ht="64.5" customHeight="1" x14ac:dyDescent="0.25">
      <c r="B36" s="6">
        <f t="shared" si="0"/>
        <v>29</v>
      </c>
      <c r="C36" s="36" t="s">
        <v>677</v>
      </c>
      <c r="D36" s="21"/>
      <c r="E36" s="19"/>
      <c r="F36" s="20"/>
      <c r="G36" s="32"/>
    </row>
    <row r="37" spans="2:7" s="4" customFormat="1" ht="64.5" customHeight="1" x14ac:dyDescent="0.25">
      <c r="B37" s="6">
        <f t="shared" si="0"/>
        <v>30</v>
      </c>
      <c r="C37" s="36" t="s">
        <v>690</v>
      </c>
      <c r="D37" s="21"/>
      <c r="E37" s="19"/>
      <c r="F37" s="20"/>
      <c r="G37" s="32"/>
    </row>
    <row r="38" spans="2:7" s="4" customFormat="1" ht="64.5" customHeight="1" thickBot="1" x14ac:dyDescent="0.3">
      <c r="B38" s="6">
        <f t="shared" si="0"/>
        <v>31</v>
      </c>
      <c r="C38" s="130" t="s">
        <v>691</v>
      </c>
      <c r="D38" s="21"/>
      <c r="E38" s="19"/>
      <c r="F38" s="20"/>
      <c r="G38" s="32"/>
    </row>
    <row r="39" spans="2:7" ht="18.75" thickBot="1" x14ac:dyDescent="0.3">
      <c r="B39" s="245" t="s">
        <v>13</v>
      </c>
      <c r="C39" s="246"/>
      <c r="D39" s="175" t="s">
        <v>7</v>
      </c>
      <c r="E39" s="176"/>
      <c r="F39" s="177"/>
      <c r="G39" s="24" t="s">
        <v>8</v>
      </c>
    </row>
    <row r="40" spans="2:7" x14ac:dyDescent="0.25">
      <c r="B40" s="153"/>
      <c r="C40" s="154"/>
      <c r="D40" s="154"/>
      <c r="E40" s="154"/>
      <c r="F40" s="154"/>
      <c r="G40" s="159"/>
    </row>
    <row r="41" spans="2:7" x14ac:dyDescent="0.25">
      <c r="B41" s="155"/>
      <c r="C41" s="156"/>
      <c r="D41" s="156"/>
      <c r="E41" s="156"/>
      <c r="F41" s="156"/>
      <c r="G41" s="160"/>
    </row>
    <row r="42" spans="2:7" x14ac:dyDescent="0.25">
      <c r="B42" s="155"/>
      <c r="C42" s="156"/>
      <c r="D42" s="156"/>
      <c r="E42" s="156"/>
      <c r="F42" s="156"/>
      <c r="G42" s="160"/>
    </row>
    <row r="43" spans="2:7" x14ac:dyDescent="0.25">
      <c r="B43" s="155"/>
      <c r="C43" s="156"/>
      <c r="D43" s="156"/>
      <c r="E43" s="156"/>
      <c r="F43" s="156"/>
      <c r="G43" s="160"/>
    </row>
    <row r="44" spans="2:7" ht="15.75" thickBot="1" x14ac:dyDescent="0.3">
      <c r="B44" s="157"/>
      <c r="C44" s="158"/>
      <c r="D44" s="158"/>
      <c r="E44" s="158"/>
      <c r="F44" s="158"/>
      <c r="G44" s="161"/>
    </row>
  </sheetData>
  <sheetProtection selectLockedCells="1"/>
  <mergeCells count="10">
    <mergeCell ref="B40:C44"/>
    <mergeCell ref="D40:F44"/>
    <mergeCell ref="G40:G44"/>
    <mergeCell ref="B3:F3"/>
    <mergeCell ref="D4:F4"/>
    <mergeCell ref="E6:F6"/>
    <mergeCell ref="B39:C39"/>
    <mergeCell ref="D39:F39"/>
    <mergeCell ref="B5:C5"/>
    <mergeCell ref="D5:G5"/>
  </mergeCells>
  <phoneticPr fontId="33" type="noConversion"/>
  <conditionalFormatting sqref="D8:D38">
    <cfRule type="cellIs" dxfId="63" priority="1" operator="equal">
      <formula>3</formula>
    </cfRule>
    <cfRule type="cellIs" dxfId="62"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40"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2">
    <tabColor theme="0" tint="-0.14999847407452621"/>
    <pageSetUpPr fitToPage="1"/>
  </sheetPr>
  <dimension ref="B1:G29"/>
  <sheetViews>
    <sheetView view="pageBreakPreview" zoomScale="60" zoomScaleNormal="55" zoomScalePageLayoutView="70" workbookViewId="0">
      <selection activeCell="G12" sqref="G12"/>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16</v>
      </c>
      <c r="D4" s="165" t="str">
        <f>+'Line &amp; frequency'!C1</f>
        <v>CHAINE 5</v>
      </c>
      <c r="E4" s="166"/>
      <c r="F4" s="166"/>
      <c r="G4" s="31" t="s">
        <v>368</v>
      </c>
    </row>
    <row r="5" spans="2:7" ht="32.25" customHeight="1" thickBot="1" x14ac:dyDescent="0.3">
      <c r="B5" s="167" t="s">
        <v>170</v>
      </c>
      <c r="C5" s="168"/>
      <c r="D5" s="169"/>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102" t="s">
        <v>369</v>
      </c>
      <c r="D8" s="101"/>
      <c r="E8" s="19"/>
      <c r="F8" s="20"/>
      <c r="G8" s="32"/>
    </row>
    <row r="9" spans="2:7" s="4" customFormat="1" ht="54.75" customHeight="1" x14ac:dyDescent="0.25">
      <c r="B9" s="6">
        <f>B8+1</f>
        <v>2</v>
      </c>
      <c r="C9" s="36" t="s">
        <v>370</v>
      </c>
      <c r="D9" s="21"/>
      <c r="E9" s="19"/>
      <c r="F9" s="20"/>
      <c r="G9" s="32"/>
    </row>
    <row r="10" spans="2:7" s="4" customFormat="1" ht="79.5" customHeight="1" x14ac:dyDescent="0.25">
      <c r="B10" s="35">
        <f>+B9+1</f>
        <v>3</v>
      </c>
      <c r="C10" s="36" t="s">
        <v>371</v>
      </c>
      <c r="D10" s="21"/>
      <c r="E10" s="19"/>
      <c r="F10" s="20"/>
      <c r="G10" s="32"/>
    </row>
    <row r="11" spans="2:7" s="4" customFormat="1" ht="70.5" customHeight="1" x14ac:dyDescent="0.25">
      <c r="B11" s="6">
        <f>B10+1</f>
        <v>4</v>
      </c>
      <c r="C11" s="36" t="s">
        <v>372</v>
      </c>
      <c r="D11" s="21"/>
      <c r="E11" s="19"/>
      <c r="F11" s="20"/>
      <c r="G11" s="32"/>
    </row>
    <row r="12" spans="2:7" s="4" customFormat="1" ht="64.5" customHeight="1" x14ac:dyDescent="0.25">
      <c r="B12" s="35">
        <f>+B11+1</f>
        <v>5</v>
      </c>
      <c r="C12" s="36" t="s">
        <v>373</v>
      </c>
      <c r="D12" s="21"/>
      <c r="E12" s="19"/>
      <c r="F12" s="20"/>
      <c r="G12" s="32"/>
    </row>
    <row r="13" spans="2:7" s="4" customFormat="1" ht="55.5" customHeight="1" x14ac:dyDescent="0.25">
      <c r="B13" s="6">
        <f>B12+1</f>
        <v>6</v>
      </c>
      <c r="C13" s="36" t="s">
        <v>374</v>
      </c>
      <c r="D13" s="21"/>
      <c r="E13" s="19"/>
      <c r="F13" s="20"/>
      <c r="G13" s="32"/>
    </row>
    <row r="14" spans="2:7" s="4" customFormat="1" ht="45.75" customHeight="1" x14ac:dyDescent="0.25">
      <c r="B14" s="35">
        <f>+B13+1</f>
        <v>7</v>
      </c>
      <c r="C14" s="36" t="s">
        <v>375</v>
      </c>
      <c r="D14" s="21"/>
      <c r="E14" s="19"/>
      <c r="F14" s="20"/>
      <c r="G14" s="32"/>
    </row>
    <row r="15" spans="2:7" s="4" customFormat="1" ht="64.5" customHeight="1" x14ac:dyDescent="0.25">
      <c r="B15" s="6">
        <f>B14+1</f>
        <v>8</v>
      </c>
      <c r="C15" s="36" t="s">
        <v>376</v>
      </c>
      <c r="D15" s="21"/>
      <c r="E15" s="19"/>
      <c r="F15" s="20"/>
      <c r="G15" s="32"/>
    </row>
    <row r="16" spans="2:7" s="4" customFormat="1" ht="64.5" customHeight="1" x14ac:dyDescent="0.25">
      <c r="B16" s="35">
        <f>+B15+1</f>
        <v>9</v>
      </c>
      <c r="C16" s="36" t="s">
        <v>377</v>
      </c>
      <c r="D16" s="21"/>
      <c r="E16" s="19"/>
      <c r="F16" s="20"/>
      <c r="G16" s="32"/>
    </row>
    <row r="17" spans="2:7" s="4" customFormat="1" ht="64.5" customHeight="1" x14ac:dyDescent="0.25">
      <c r="B17" s="6">
        <f>B16+1</f>
        <v>10</v>
      </c>
      <c r="C17" s="36" t="s">
        <v>378</v>
      </c>
      <c r="D17" s="21"/>
      <c r="E17" s="19"/>
      <c r="F17" s="20"/>
      <c r="G17" s="32"/>
    </row>
    <row r="18" spans="2:7" s="4" customFormat="1" ht="64.5" customHeight="1" x14ac:dyDescent="0.25">
      <c r="B18" s="35">
        <f>+B17+1</f>
        <v>11</v>
      </c>
      <c r="C18" s="36" t="s">
        <v>379</v>
      </c>
      <c r="D18" s="21"/>
      <c r="E18" s="19"/>
      <c r="F18" s="20"/>
      <c r="G18" s="32"/>
    </row>
    <row r="19" spans="2:7" s="4" customFormat="1" ht="64.5" customHeight="1" x14ac:dyDescent="0.25">
      <c r="B19" s="6">
        <f>B18+1</f>
        <v>12</v>
      </c>
      <c r="C19" s="36" t="s">
        <v>176</v>
      </c>
      <c r="D19" s="21"/>
      <c r="E19" s="19"/>
      <c r="F19" s="20"/>
      <c r="G19" s="32"/>
    </row>
    <row r="20" spans="2:7" s="4" customFormat="1" ht="64.5" customHeight="1" x14ac:dyDescent="0.25">
      <c r="B20" s="35">
        <f>+B19+1</f>
        <v>13</v>
      </c>
      <c r="C20" s="36" t="s">
        <v>621</v>
      </c>
      <c r="D20" s="21"/>
      <c r="E20" s="19"/>
      <c r="F20" s="20"/>
      <c r="G20" s="32"/>
    </row>
    <row r="21" spans="2:7" s="4" customFormat="1" ht="64.5" customHeight="1" x14ac:dyDescent="0.25">
      <c r="B21" s="6">
        <f>B20+1</f>
        <v>14</v>
      </c>
      <c r="C21" s="36" t="s">
        <v>632</v>
      </c>
      <c r="D21" s="21"/>
      <c r="E21" s="19"/>
      <c r="F21" s="20"/>
      <c r="G21" s="32"/>
    </row>
    <row r="22" spans="2:7" s="4" customFormat="1" ht="64.5" customHeight="1" x14ac:dyDescent="0.25">
      <c r="B22" s="35">
        <f>+B21+1</f>
        <v>15</v>
      </c>
      <c r="C22" s="102" t="s">
        <v>661</v>
      </c>
      <c r="D22" s="21"/>
      <c r="E22" s="19"/>
      <c r="F22" s="20"/>
      <c r="G22" s="32"/>
    </row>
    <row r="23" spans="2:7" s="4" customFormat="1" ht="64.5" customHeight="1" thickBot="1" x14ac:dyDescent="0.3">
      <c r="B23" s="6">
        <f>B22+1</f>
        <v>16</v>
      </c>
      <c r="C23" s="36" t="s">
        <v>609</v>
      </c>
      <c r="D23" s="21"/>
      <c r="E23" s="19"/>
      <c r="F23" s="20"/>
      <c r="G23" s="32"/>
    </row>
    <row r="24" spans="2:7" ht="18.75" thickBot="1" x14ac:dyDescent="0.3">
      <c r="B24" s="245" t="s">
        <v>13</v>
      </c>
      <c r="C24" s="246"/>
      <c r="D24" s="175" t="s">
        <v>7</v>
      </c>
      <c r="E24" s="176"/>
      <c r="F24" s="177"/>
      <c r="G24" s="24" t="s">
        <v>8</v>
      </c>
    </row>
    <row r="25" spans="2:7" x14ac:dyDescent="0.25">
      <c r="B25" s="153"/>
      <c r="C25" s="154"/>
      <c r="D25" s="154"/>
      <c r="E25" s="154"/>
      <c r="F25" s="154"/>
      <c r="G25" s="159"/>
    </row>
    <row r="26" spans="2:7" x14ac:dyDescent="0.25">
      <c r="B26" s="155"/>
      <c r="C26" s="156"/>
      <c r="D26" s="156"/>
      <c r="E26" s="156"/>
      <c r="F26" s="156"/>
      <c r="G26" s="160"/>
    </row>
    <row r="27" spans="2:7" x14ac:dyDescent="0.25">
      <c r="B27" s="155"/>
      <c r="C27" s="156"/>
      <c r="D27" s="156"/>
      <c r="E27" s="156"/>
      <c r="F27" s="156"/>
      <c r="G27" s="160"/>
    </row>
    <row r="28" spans="2:7" x14ac:dyDescent="0.25">
      <c r="B28" s="155"/>
      <c r="C28" s="156"/>
      <c r="D28" s="156"/>
      <c r="E28" s="156"/>
      <c r="F28" s="156"/>
      <c r="G28" s="160"/>
    </row>
    <row r="29" spans="2:7" ht="15.75" thickBot="1" x14ac:dyDescent="0.3">
      <c r="B29" s="157"/>
      <c r="C29" s="158"/>
      <c r="D29" s="158"/>
      <c r="E29" s="158"/>
      <c r="F29" s="158"/>
      <c r="G29" s="161"/>
    </row>
  </sheetData>
  <sheetProtection selectLockedCells="1"/>
  <mergeCells count="10">
    <mergeCell ref="B25:C29"/>
    <mergeCell ref="D25:F29"/>
    <mergeCell ref="G25:G29"/>
    <mergeCell ref="B3:F3"/>
    <mergeCell ref="D4:F4"/>
    <mergeCell ref="B5:C5"/>
    <mergeCell ref="D5:G5"/>
    <mergeCell ref="E6:F6"/>
    <mergeCell ref="B24:C24"/>
    <mergeCell ref="D24:F24"/>
  </mergeCells>
  <conditionalFormatting sqref="D8:D23">
    <cfRule type="cellIs" dxfId="61" priority="5" operator="equal">
      <formula>3</formula>
    </cfRule>
    <cfRule type="cellIs" dxfId="60" priority="6"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6"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0">
    <tabColor theme="0" tint="-0.14999847407452621"/>
    <pageSetUpPr fitToPage="1"/>
  </sheetPr>
  <dimension ref="B1:G28"/>
  <sheetViews>
    <sheetView view="pageBreakPreview" zoomScale="55" zoomScaleNormal="55" zoomScaleSheetLayoutView="55" zoomScalePageLayoutView="70" workbookViewId="0">
      <selection activeCell="G11" sqref="G11"/>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16</v>
      </c>
      <c r="D4" s="165" t="str">
        <f>+'Line &amp; frequency'!C1</f>
        <v>CHAINE 5</v>
      </c>
      <c r="E4" s="166"/>
      <c r="F4" s="166"/>
      <c r="G4" s="31" t="s">
        <v>424</v>
      </c>
    </row>
    <row r="5" spans="2:7" ht="32.25" customHeight="1" thickBot="1" x14ac:dyDescent="0.3">
      <c r="B5" s="167" t="s">
        <v>170</v>
      </c>
      <c r="C5" s="168"/>
      <c r="D5" s="169"/>
      <c r="E5" s="170"/>
      <c r="F5" s="170"/>
      <c r="G5" s="191"/>
    </row>
    <row r="6" spans="2:7" ht="20.25" customHeight="1" thickBot="1" x14ac:dyDescent="0.3">
      <c r="B6" s="116"/>
      <c r="C6" s="50" t="s">
        <v>167</v>
      </c>
      <c r="E6" s="171" t="s">
        <v>0</v>
      </c>
      <c r="F6" s="172"/>
      <c r="G6" s="117"/>
    </row>
    <row r="7" spans="2:7" s="4" customFormat="1" ht="24" customHeight="1" thickBot="1" x14ac:dyDescent="0.3">
      <c r="B7" s="25" t="s">
        <v>1</v>
      </c>
      <c r="C7" s="26" t="s">
        <v>2</v>
      </c>
      <c r="D7" s="107" t="s">
        <v>3</v>
      </c>
      <c r="E7" s="108" t="s">
        <v>4</v>
      </c>
      <c r="F7" s="109" t="s">
        <v>5</v>
      </c>
      <c r="G7" s="110" t="s">
        <v>6</v>
      </c>
    </row>
    <row r="8" spans="2:7" s="4" customFormat="1" ht="64.5" customHeight="1" x14ac:dyDescent="0.25">
      <c r="B8" s="5">
        <v>1</v>
      </c>
      <c r="C8" s="102" t="s">
        <v>577</v>
      </c>
      <c r="D8" s="112"/>
      <c r="E8" s="113"/>
      <c r="F8" s="114"/>
      <c r="G8" s="118"/>
    </row>
    <row r="9" spans="2:7" s="4" customFormat="1" ht="54.75" customHeight="1" x14ac:dyDescent="0.25">
      <c r="B9" s="6">
        <f>B8+1</f>
        <v>2</v>
      </c>
      <c r="C9" s="102" t="s">
        <v>588</v>
      </c>
      <c r="D9" s="112"/>
      <c r="E9" s="113"/>
      <c r="F9" s="114"/>
      <c r="G9" s="118"/>
    </row>
    <row r="10" spans="2:7" s="4" customFormat="1" ht="45" customHeight="1" x14ac:dyDescent="0.25">
      <c r="B10" s="35">
        <f>+B9+1</f>
        <v>3</v>
      </c>
      <c r="C10" s="102" t="s">
        <v>578</v>
      </c>
      <c r="D10" s="112"/>
      <c r="E10" s="113"/>
      <c r="F10" s="114"/>
      <c r="G10" s="118"/>
    </row>
    <row r="11" spans="2:7" s="4" customFormat="1" ht="51.75" customHeight="1" x14ac:dyDescent="0.25">
      <c r="B11" s="6">
        <f>B10+1</f>
        <v>4</v>
      </c>
      <c r="C11" s="102" t="s">
        <v>579</v>
      </c>
      <c r="D11" s="112"/>
      <c r="E11" s="113"/>
      <c r="F11" s="114"/>
      <c r="G11" s="118"/>
    </row>
    <row r="12" spans="2:7" s="4" customFormat="1" ht="64.5" customHeight="1" x14ac:dyDescent="0.25">
      <c r="B12" s="35">
        <f>+B11+1</f>
        <v>5</v>
      </c>
      <c r="C12" s="102" t="s">
        <v>580</v>
      </c>
      <c r="D12" s="112"/>
      <c r="E12" s="113"/>
      <c r="F12" s="114"/>
      <c r="G12" s="118"/>
    </row>
    <row r="13" spans="2:7" s="4" customFormat="1" ht="45.75" customHeight="1" x14ac:dyDescent="0.25">
      <c r="B13" s="6">
        <f>B12+1</f>
        <v>6</v>
      </c>
      <c r="C13" s="102" t="s">
        <v>581</v>
      </c>
      <c r="D13" s="112"/>
      <c r="E13" s="113"/>
      <c r="F13" s="114"/>
      <c r="G13" s="118"/>
    </row>
    <row r="14" spans="2:7" s="4" customFormat="1" ht="45.75" customHeight="1" x14ac:dyDescent="0.25">
      <c r="B14" s="35">
        <f>+B13+1</f>
        <v>7</v>
      </c>
      <c r="C14" s="102" t="s">
        <v>582</v>
      </c>
      <c r="D14" s="112"/>
      <c r="E14" s="113"/>
      <c r="F14" s="114"/>
      <c r="G14" s="118"/>
    </row>
    <row r="15" spans="2:7" s="4" customFormat="1" ht="64.5" customHeight="1" x14ac:dyDescent="0.25">
      <c r="B15" s="6">
        <f>B14+1</f>
        <v>8</v>
      </c>
      <c r="C15" s="102" t="s">
        <v>583</v>
      </c>
      <c r="D15" s="112"/>
      <c r="E15" s="113"/>
      <c r="F15" s="114"/>
      <c r="G15" s="118"/>
    </row>
    <row r="16" spans="2:7" s="4" customFormat="1" ht="64.5" customHeight="1" x14ac:dyDescent="0.25">
      <c r="B16" s="35">
        <f>+B15+1</f>
        <v>9</v>
      </c>
      <c r="C16" s="102" t="s">
        <v>584</v>
      </c>
      <c r="D16" s="112"/>
      <c r="E16" s="113"/>
      <c r="F16" s="114"/>
      <c r="G16" s="118"/>
    </row>
    <row r="17" spans="2:7" s="4" customFormat="1" ht="57.75" customHeight="1" x14ac:dyDescent="0.25">
      <c r="B17" s="6">
        <f>B16+1</f>
        <v>10</v>
      </c>
      <c r="C17" s="102" t="s">
        <v>585</v>
      </c>
      <c r="D17" s="112"/>
      <c r="E17" s="113"/>
      <c r="F17" s="114"/>
      <c r="G17" s="118"/>
    </row>
    <row r="18" spans="2:7" s="4" customFormat="1" ht="57.75" customHeight="1" x14ac:dyDescent="0.25">
      <c r="B18" s="35">
        <f>+B17+1</f>
        <v>11</v>
      </c>
      <c r="C18" s="102" t="s">
        <v>586</v>
      </c>
      <c r="D18" s="112"/>
      <c r="E18" s="113"/>
      <c r="F18" s="114"/>
      <c r="G18" s="118"/>
    </row>
    <row r="19" spans="2:7" s="4" customFormat="1" ht="64.5" customHeight="1" x14ac:dyDescent="0.25">
      <c r="B19" s="6">
        <f>B18+1</f>
        <v>12</v>
      </c>
      <c r="C19" s="102" t="s">
        <v>587</v>
      </c>
      <c r="D19" s="112"/>
      <c r="E19" s="113"/>
      <c r="F19" s="114"/>
      <c r="G19" s="118"/>
    </row>
    <row r="20" spans="2:7" s="4" customFormat="1" ht="64.5" customHeight="1" x14ac:dyDescent="0.25">
      <c r="B20" s="35">
        <f>+B19+1</f>
        <v>13</v>
      </c>
      <c r="C20" s="115" t="s">
        <v>446</v>
      </c>
      <c r="D20" s="112"/>
      <c r="E20" s="113"/>
      <c r="F20" s="114"/>
      <c r="G20" s="118"/>
    </row>
    <row r="21" spans="2:7" s="4" customFormat="1" ht="64.5" customHeight="1" x14ac:dyDescent="0.25">
      <c r="B21" s="6">
        <f>B20+1</f>
        <v>14</v>
      </c>
      <c r="C21" s="102" t="s">
        <v>660</v>
      </c>
      <c r="D21" s="112"/>
      <c r="E21" s="113"/>
      <c r="F21" s="114"/>
      <c r="G21" s="118"/>
    </row>
    <row r="22" spans="2:7" s="4" customFormat="1" ht="64.5" customHeight="1" x14ac:dyDescent="0.25">
      <c r="B22" s="6">
        <f>B21+1</f>
        <v>15</v>
      </c>
      <c r="C22" s="102" t="s">
        <v>725</v>
      </c>
      <c r="D22" s="112"/>
      <c r="E22" s="113"/>
      <c r="F22" s="114"/>
      <c r="G22" s="118"/>
    </row>
    <row r="23" spans="2:7" ht="18.75" thickBot="1" x14ac:dyDescent="0.3">
      <c r="B23" s="245" t="s">
        <v>13</v>
      </c>
      <c r="C23" s="246"/>
      <c r="D23" s="248" t="s">
        <v>7</v>
      </c>
      <c r="E23" s="249"/>
      <c r="F23" s="250"/>
      <c r="G23" s="111" t="s">
        <v>8</v>
      </c>
    </row>
    <row r="24" spans="2:7" x14ac:dyDescent="0.25">
      <c r="B24" s="153"/>
      <c r="C24" s="154"/>
      <c r="D24" s="154"/>
      <c r="E24" s="154"/>
      <c r="F24" s="154"/>
      <c r="G24" s="159"/>
    </row>
    <row r="25" spans="2:7" x14ac:dyDescent="0.25">
      <c r="B25" s="155"/>
      <c r="C25" s="156"/>
      <c r="D25" s="156"/>
      <c r="E25" s="156"/>
      <c r="F25" s="156"/>
      <c r="G25" s="160"/>
    </row>
    <row r="26" spans="2:7" x14ac:dyDescent="0.25">
      <c r="B26" s="155"/>
      <c r="C26" s="156"/>
      <c r="D26" s="156"/>
      <c r="E26" s="156"/>
      <c r="F26" s="156"/>
      <c r="G26" s="160"/>
    </row>
    <row r="27" spans="2:7" x14ac:dyDescent="0.25">
      <c r="B27" s="155"/>
      <c r="C27" s="156"/>
      <c r="D27" s="156"/>
      <c r="E27" s="156"/>
      <c r="F27" s="156"/>
      <c r="G27" s="160"/>
    </row>
    <row r="28" spans="2:7" ht="15.75" thickBot="1" x14ac:dyDescent="0.3">
      <c r="B28" s="157"/>
      <c r="C28" s="158"/>
      <c r="D28" s="158"/>
      <c r="E28" s="158"/>
      <c r="F28" s="158"/>
      <c r="G28" s="161"/>
    </row>
  </sheetData>
  <sheetProtection selectLockedCells="1"/>
  <mergeCells count="10">
    <mergeCell ref="B24:C28"/>
    <mergeCell ref="D24:F28"/>
    <mergeCell ref="G24:G28"/>
    <mergeCell ref="B3:F3"/>
    <mergeCell ref="D4:F4"/>
    <mergeCell ref="B5:C5"/>
    <mergeCell ref="D5:G5"/>
    <mergeCell ref="E6:F6"/>
    <mergeCell ref="B23:C23"/>
    <mergeCell ref="D23:F23"/>
  </mergeCells>
  <conditionalFormatting sqref="D8:D22">
    <cfRule type="cellIs" dxfId="59" priority="5" operator="equal">
      <formula>3</formula>
    </cfRule>
    <cfRule type="cellIs" dxfId="58" priority="6"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6"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3">
    <tabColor theme="0" tint="-0.14999847407452621"/>
    <pageSetUpPr fitToPage="1"/>
  </sheetPr>
  <dimension ref="B1:G29"/>
  <sheetViews>
    <sheetView view="pageBreakPreview" zoomScale="55" zoomScaleNormal="55" zoomScaleSheetLayoutView="55" zoomScalePageLayoutView="70" workbookViewId="0">
      <selection activeCell="G16" sqref="G16"/>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18</v>
      </c>
      <c r="D4" s="165" t="str">
        <f>+'Line &amp; frequency'!C1</f>
        <v>CHAINE 5</v>
      </c>
      <c r="E4" s="166"/>
      <c r="F4" s="166"/>
      <c r="G4" s="31" t="s">
        <v>637</v>
      </c>
    </row>
    <row r="5" spans="2:7" ht="39" customHeight="1" thickBot="1" x14ac:dyDescent="0.3">
      <c r="B5" s="167" t="s">
        <v>170</v>
      </c>
      <c r="C5" s="251"/>
      <c r="D5" s="169"/>
      <c r="E5" s="170"/>
      <c r="F5" s="170"/>
      <c r="G5" s="191"/>
    </row>
    <row r="6" spans="2:7" ht="20.25" customHeight="1" thickBot="1" x14ac:dyDescent="0.3">
      <c r="C6" s="50" t="s">
        <v>167</v>
      </c>
      <c r="D6" s="53"/>
      <c r="E6" s="171" t="s">
        <v>0</v>
      </c>
      <c r="F6" s="172"/>
      <c r="G6" s="54"/>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16" t="s">
        <v>66</v>
      </c>
      <c r="D8" s="21"/>
      <c r="E8" s="19"/>
      <c r="F8" s="20"/>
      <c r="G8" s="32"/>
    </row>
    <row r="9" spans="2:7" s="4" customFormat="1" ht="64.5" customHeight="1" x14ac:dyDescent="0.25">
      <c r="B9" s="6">
        <f>B8+1</f>
        <v>2</v>
      </c>
      <c r="C9" s="36" t="s">
        <v>682</v>
      </c>
      <c r="D9" s="21"/>
      <c r="E9" s="19"/>
      <c r="F9" s="20"/>
      <c r="G9" s="32"/>
    </row>
    <row r="10" spans="2:7" s="4" customFormat="1" ht="64.5" customHeight="1" x14ac:dyDescent="0.25">
      <c r="B10" s="35">
        <f>+B9+1</f>
        <v>3</v>
      </c>
      <c r="C10" s="36" t="s">
        <v>67</v>
      </c>
      <c r="D10" s="21"/>
      <c r="E10" s="19"/>
      <c r="F10" s="20"/>
      <c r="G10" s="32"/>
    </row>
    <row r="11" spans="2:7" s="4" customFormat="1" ht="64.5" customHeight="1" x14ac:dyDescent="0.25">
      <c r="B11" s="6">
        <f>B10+1</f>
        <v>4</v>
      </c>
      <c r="C11" s="36" t="s">
        <v>68</v>
      </c>
      <c r="D11" s="21"/>
      <c r="E11" s="19"/>
      <c r="F11" s="20"/>
      <c r="G11" s="32"/>
    </row>
    <row r="12" spans="2:7" s="4" customFormat="1" ht="64.5" customHeight="1" x14ac:dyDescent="0.25">
      <c r="B12" s="35">
        <f>+B11+1</f>
        <v>5</v>
      </c>
      <c r="C12" s="36" t="s">
        <v>69</v>
      </c>
      <c r="D12" s="21"/>
      <c r="E12" s="19"/>
      <c r="F12" s="20"/>
      <c r="G12" s="32"/>
    </row>
    <row r="13" spans="2:7" s="4" customFormat="1" ht="64.5" customHeight="1" x14ac:dyDescent="0.25">
      <c r="B13" s="6">
        <f>B12+1</f>
        <v>6</v>
      </c>
      <c r="C13" s="36" t="s">
        <v>70</v>
      </c>
      <c r="D13" s="21"/>
      <c r="E13" s="19"/>
      <c r="F13" s="20"/>
      <c r="G13" s="32"/>
    </row>
    <row r="14" spans="2:7" s="4" customFormat="1" ht="64.5" customHeight="1" x14ac:dyDescent="0.25">
      <c r="B14" s="35">
        <f>+B13+1</f>
        <v>7</v>
      </c>
      <c r="C14" s="36" t="s">
        <v>71</v>
      </c>
      <c r="D14" s="21"/>
      <c r="E14" s="19"/>
      <c r="F14" s="20"/>
      <c r="G14" s="32"/>
    </row>
    <row r="15" spans="2:7" s="4" customFormat="1" ht="64.5" customHeight="1" x14ac:dyDescent="0.25">
      <c r="B15" s="6">
        <f>B14+1</f>
        <v>8</v>
      </c>
      <c r="C15" s="36" t="s">
        <v>72</v>
      </c>
      <c r="D15" s="21"/>
      <c r="E15" s="19"/>
      <c r="F15" s="20"/>
      <c r="G15" s="32"/>
    </row>
    <row r="16" spans="2:7" s="4" customFormat="1" ht="64.5" customHeight="1" x14ac:dyDescent="0.25">
      <c r="B16" s="35">
        <f>+B15+1</f>
        <v>9</v>
      </c>
      <c r="C16" s="36" t="s">
        <v>73</v>
      </c>
      <c r="D16" s="21"/>
      <c r="E16" s="19"/>
      <c r="F16" s="20"/>
      <c r="G16" s="32"/>
    </row>
    <row r="17" spans="2:7" s="4" customFormat="1" ht="64.5" customHeight="1" x14ac:dyDescent="0.25">
      <c r="B17" s="6">
        <f>B16+1</f>
        <v>10</v>
      </c>
      <c r="C17" s="36" t="s">
        <v>74</v>
      </c>
      <c r="D17" s="21"/>
      <c r="E17" s="19"/>
      <c r="F17" s="20"/>
      <c r="G17" s="32"/>
    </row>
    <row r="18" spans="2:7" s="4" customFormat="1" ht="64.5" customHeight="1" x14ac:dyDescent="0.25">
      <c r="B18" s="35">
        <f>+B17+1</f>
        <v>11</v>
      </c>
      <c r="C18" s="36" t="s">
        <v>138</v>
      </c>
      <c r="D18" s="21"/>
      <c r="E18" s="19"/>
      <c r="F18" s="20"/>
      <c r="G18" s="32"/>
    </row>
    <row r="19" spans="2:7" s="4" customFormat="1" ht="64.5" customHeight="1" x14ac:dyDescent="0.25">
      <c r="B19" s="6">
        <f>B18+1</f>
        <v>12</v>
      </c>
      <c r="C19" s="36" t="s">
        <v>75</v>
      </c>
      <c r="D19" s="21"/>
      <c r="E19" s="19"/>
      <c r="F19" s="20"/>
      <c r="G19" s="32"/>
    </row>
    <row r="20" spans="2:7" s="4" customFormat="1" ht="64.5" customHeight="1" x14ac:dyDescent="0.25">
      <c r="B20" s="35">
        <f>+B19+1</f>
        <v>13</v>
      </c>
      <c r="C20" s="36" t="s">
        <v>174</v>
      </c>
      <c r="D20" s="21"/>
      <c r="E20" s="19"/>
      <c r="F20" s="20"/>
      <c r="G20" s="32"/>
    </row>
    <row r="21" spans="2:7" s="4" customFormat="1" ht="64.5" customHeight="1" x14ac:dyDescent="0.25">
      <c r="B21" s="6">
        <f>B20+1</f>
        <v>14</v>
      </c>
      <c r="C21" s="36" t="s">
        <v>176</v>
      </c>
      <c r="D21" s="21"/>
      <c r="E21" s="19"/>
      <c r="F21" s="20"/>
      <c r="G21" s="32"/>
    </row>
    <row r="22" spans="2:7" s="4" customFormat="1" ht="64.5" customHeight="1" x14ac:dyDescent="0.25">
      <c r="B22" s="35">
        <f>+B21+1</f>
        <v>15</v>
      </c>
      <c r="C22" s="36" t="s">
        <v>286</v>
      </c>
      <c r="D22" s="21"/>
      <c r="E22" s="19"/>
      <c r="F22" s="20"/>
      <c r="G22" s="32"/>
    </row>
    <row r="23" spans="2:7" s="4" customFormat="1" ht="64.5" customHeight="1" thickBot="1" x14ac:dyDescent="0.3">
      <c r="B23" s="6">
        <f>B22+1</f>
        <v>16</v>
      </c>
      <c r="C23" s="36" t="s">
        <v>695</v>
      </c>
      <c r="D23" s="21"/>
      <c r="E23" s="19"/>
      <c r="F23" s="20"/>
      <c r="G23" s="32"/>
    </row>
    <row r="24" spans="2:7" ht="18.75" thickBot="1" x14ac:dyDescent="0.3">
      <c r="B24" s="245" t="s">
        <v>13</v>
      </c>
      <c r="C24" s="246"/>
      <c r="D24" s="175" t="s">
        <v>7</v>
      </c>
      <c r="E24" s="176"/>
      <c r="F24" s="177"/>
      <c r="G24" s="24" t="s">
        <v>8</v>
      </c>
    </row>
    <row r="25" spans="2:7" x14ac:dyDescent="0.25">
      <c r="B25" s="153"/>
      <c r="C25" s="154"/>
      <c r="D25" s="154"/>
      <c r="E25" s="154"/>
      <c r="F25" s="154"/>
      <c r="G25" s="159"/>
    </row>
    <row r="26" spans="2:7" x14ac:dyDescent="0.25">
      <c r="B26" s="155"/>
      <c r="C26" s="156"/>
      <c r="D26" s="156"/>
      <c r="E26" s="156"/>
      <c r="F26" s="156"/>
      <c r="G26" s="160"/>
    </row>
    <row r="27" spans="2:7" x14ac:dyDescent="0.25">
      <c r="B27" s="155"/>
      <c r="C27" s="156"/>
      <c r="D27" s="156"/>
      <c r="E27" s="156"/>
      <c r="F27" s="156"/>
      <c r="G27" s="160"/>
    </row>
    <row r="28" spans="2:7" x14ac:dyDescent="0.25">
      <c r="B28" s="155"/>
      <c r="C28" s="156"/>
      <c r="D28" s="156"/>
      <c r="E28" s="156"/>
      <c r="F28" s="156"/>
      <c r="G28" s="160"/>
    </row>
    <row r="29" spans="2:7" ht="15.75" thickBot="1" x14ac:dyDescent="0.3">
      <c r="B29" s="157"/>
      <c r="C29" s="158"/>
      <c r="D29" s="158"/>
      <c r="E29" s="158"/>
      <c r="F29" s="158"/>
      <c r="G29" s="161"/>
    </row>
  </sheetData>
  <sheetProtection selectLockedCells="1"/>
  <mergeCells count="10">
    <mergeCell ref="B25:C29"/>
    <mergeCell ref="D25:F29"/>
    <mergeCell ref="G25:G29"/>
    <mergeCell ref="B3:F3"/>
    <mergeCell ref="D4:F4"/>
    <mergeCell ref="E6:F6"/>
    <mergeCell ref="B24:C24"/>
    <mergeCell ref="D24:F24"/>
    <mergeCell ref="B5:C5"/>
    <mergeCell ref="D5:G5"/>
  </mergeCells>
  <conditionalFormatting sqref="D8:D23">
    <cfRule type="cellIs" dxfId="53" priority="3" operator="equal">
      <formula>3</formula>
    </cfRule>
    <cfRule type="cellIs" dxfId="52"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6" orientation="portrait" r:id="rId1"/>
  <rowBreaks count="1" manualBreakCount="1">
    <brk id="17" min="1" max="6" man="1"/>
  </rowBreaks>
  <colBreaks count="1" manualBreakCount="1">
    <brk id="2" min="2" max="28" man="1"/>
  </colBreak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1">
    <tabColor theme="0" tint="-0.14999847407452621"/>
    <pageSetUpPr fitToPage="1"/>
  </sheetPr>
  <dimension ref="B1:G56"/>
  <sheetViews>
    <sheetView view="pageBreakPreview" zoomScale="55" zoomScaleNormal="55" zoomScaleSheetLayoutView="55" zoomScalePageLayoutView="70" workbookViewId="0">
      <selection activeCell="G16" sqref="G16"/>
    </sheetView>
  </sheetViews>
  <sheetFormatPr baseColWidth="10" defaultColWidth="11.42578125" defaultRowHeight="15" x14ac:dyDescent="0.25"/>
  <cols>
    <col min="1" max="1" width="0.140625" style="1" customWidth="1"/>
    <col min="2" max="2" width="5.7109375" style="1" customWidth="1"/>
    <col min="3" max="3" width="81.28515625" style="1" customWidth="1"/>
    <col min="4" max="4" width="9.7109375" style="1" bestFit="1" customWidth="1"/>
    <col min="5" max="5" width="4.85546875" style="1" bestFit="1" customWidth="1"/>
    <col min="6" max="6" width="5.85546875" style="1" bestFit="1" customWidth="1"/>
    <col min="7" max="7" width="54.140625" style="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17</v>
      </c>
      <c r="D4" s="165" t="str">
        <f>+'Line &amp; frequency'!C1</f>
        <v>CHAINE 5</v>
      </c>
      <c r="E4" s="166"/>
      <c r="F4" s="166"/>
      <c r="G4" s="31" t="str">
        <f>+'Line &amp; frequency'!C2</f>
        <v>HEBDOMADAIRE</v>
      </c>
    </row>
    <row r="5" spans="2:7" ht="29.25" customHeight="1" thickBot="1" x14ac:dyDescent="0.3">
      <c r="B5" s="167" t="s">
        <v>170</v>
      </c>
      <c r="C5" s="168"/>
      <c r="D5" s="169" t="s">
        <v>614</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47.25" customHeight="1" x14ac:dyDescent="0.25">
      <c r="B8" s="5">
        <v>1</v>
      </c>
      <c r="C8" s="16" t="s">
        <v>37</v>
      </c>
      <c r="D8" s="21"/>
      <c r="E8" s="19"/>
      <c r="F8" s="20"/>
      <c r="G8" s="32"/>
    </row>
    <row r="9" spans="2:7" s="4" customFormat="1" ht="42" customHeight="1" x14ac:dyDescent="0.25">
      <c r="B9" s="6">
        <f>B8+1</f>
        <v>2</v>
      </c>
      <c r="C9" s="36" t="s">
        <v>38</v>
      </c>
      <c r="D9" s="21"/>
      <c r="E9" s="19"/>
      <c r="F9" s="20"/>
      <c r="G9" s="32"/>
    </row>
    <row r="10" spans="2:7" s="4" customFormat="1" ht="55.5" customHeight="1" x14ac:dyDescent="0.25">
      <c r="B10" s="35">
        <f>+B9+1</f>
        <v>3</v>
      </c>
      <c r="C10" s="36" t="s">
        <v>39</v>
      </c>
      <c r="D10" s="21"/>
      <c r="E10" s="19"/>
      <c r="F10" s="20"/>
      <c r="G10" s="32"/>
    </row>
    <row r="11" spans="2:7" s="4" customFormat="1" ht="40.5" customHeight="1" x14ac:dyDescent="0.25">
      <c r="B11" s="6">
        <f>B10+1</f>
        <v>4</v>
      </c>
      <c r="C11" s="36" t="s">
        <v>40</v>
      </c>
      <c r="D11" s="21"/>
      <c r="E11" s="19"/>
      <c r="F11" s="20"/>
      <c r="G11" s="32"/>
    </row>
    <row r="12" spans="2:7" s="4" customFormat="1" ht="64.5" customHeight="1" x14ac:dyDescent="0.25">
      <c r="B12" s="35">
        <f>+B11+1</f>
        <v>5</v>
      </c>
      <c r="C12" s="36" t="s">
        <v>137</v>
      </c>
      <c r="D12" s="21"/>
      <c r="E12" s="19"/>
      <c r="F12" s="20"/>
      <c r="G12" s="32"/>
    </row>
    <row r="13" spans="2:7" s="4" customFormat="1" ht="64.5" customHeight="1" x14ac:dyDescent="0.25">
      <c r="B13" s="6">
        <f>B12+1</f>
        <v>6</v>
      </c>
      <c r="C13" s="36" t="s">
        <v>41</v>
      </c>
      <c r="D13" s="21"/>
      <c r="E13" s="19"/>
      <c r="F13" s="20"/>
      <c r="G13" s="32"/>
    </row>
    <row r="14" spans="2:7" s="4" customFormat="1" ht="64.5" customHeight="1" x14ac:dyDescent="0.25">
      <c r="B14" s="35">
        <f>+B13+1</f>
        <v>7</v>
      </c>
      <c r="C14" s="36" t="s">
        <v>42</v>
      </c>
      <c r="D14" s="21"/>
      <c r="E14" s="19"/>
      <c r="F14" s="20"/>
      <c r="G14" s="32"/>
    </row>
    <row r="15" spans="2:7" s="4" customFormat="1" ht="64.5" customHeight="1" x14ac:dyDescent="0.25">
      <c r="B15" s="6">
        <f>B14+1</f>
        <v>8</v>
      </c>
      <c r="C15" s="36" t="s">
        <v>43</v>
      </c>
      <c r="D15" s="21"/>
      <c r="E15" s="19"/>
      <c r="F15" s="20"/>
      <c r="G15" s="32"/>
    </row>
    <row r="16" spans="2:7" s="4" customFormat="1" ht="64.5" customHeight="1" x14ac:dyDescent="0.25">
      <c r="B16" s="35">
        <f>+B15+1</f>
        <v>9</v>
      </c>
      <c r="C16" s="36" t="s">
        <v>44</v>
      </c>
      <c r="D16" s="21"/>
      <c r="E16" s="19"/>
      <c r="F16" s="20"/>
      <c r="G16" s="32"/>
    </row>
    <row r="17" spans="2:7" s="4" customFormat="1" ht="64.5" customHeight="1" x14ac:dyDescent="0.25">
      <c r="B17" s="6">
        <f>B16+1</f>
        <v>10</v>
      </c>
      <c r="C17" s="36" t="s">
        <v>45</v>
      </c>
      <c r="D17" s="21"/>
      <c r="E17" s="19"/>
      <c r="F17" s="20"/>
      <c r="G17" s="32"/>
    </row>
    <row r="18" spans="2:7" s="4" customFormat="1" ht="64.5" customHeight="1" x14ac:dyDescent="0.25">
      <c r="B18" s="35">
        <f>+B17+1</f>
        <v>11</v>
      </c>
      <c r="C18" s="36" t="s">
        <v>46</v>
      </c>
      <c r="D18" s="21"/>
      <c r="E18" s="19"/>
      <c r="F18" s="20"/>
      <c r="G18" s="32"/>
    </row>
    <row r="19" spans="2:7" s="4" customFormat="1" ht="64.5" customHeight="1" x14ac:dyDescent="0.25">
      <c r="B19" s="6">
        <f>B18+1</f>
        <v>12</v>
      </c>
      <c r="C19" s="36" t="s">
        <v>47</v>
      </c>
      <c r="D19" s="21"/>
      <c r="E19" s="19"/>
      <c r="F19" s="20"/>
      <c r="G19" s="32"/>
    </row>
    <row r="20" spans="2:7" s="4" customFormat="1" ht="64.5" customHeight="1" x14ac:dyDescent="0.25">
      <c r="B20" s="35">
        <f>+B19+1</f>
        <v>13</v>
      </c>
      <c r="C20" s="36" t="s">
        <v>48</v>
      </c>
      <c r="D20" s="21"/>
      <c r="E20" s="19"/>
      <c r="F20" s="20"/>
      <c r="G20" s="32"/>
    </row>
    <row r="21" spans="2:7" s="4" customFormat="1" ht="64.5" customHeight="1" x14ac:dyDescent="0.25">
      <c r="B21" s="6">
        <f>B20+1</f>
        <v>14</v>
      </c>
      <c r="C21" s="36" t="s">
        <v>49</v>
      </c>
      <c r="D21" s="21"/>
      <c r="E21" s="19"/>
      <c r="F21" s="20"/>
      <c r="G21" s="32"/>
    </row>
    <row r="22" spans="2:7" s="4" customFormat="1" ht="64.5" customHeight="1" x14ac:dyDescent="0.25">
      <c r="B22" s="35">
        <f>+B21+1</f>
        <v>15</v>
      </c>
      <c r="C22" s="36" t="s">
        <v>673</v>
      </c>
      <c r="D22" s="21"/>
      <c r="E22" s="19"/>
      <c r="F22" s="20"/>
      <c r="G22" s="32"/>
    </row>
    <row r="23" spans="2:7" s="4" customFormat="1" ht="64.5" customHeight="1" x14ac:dyDescent="0.25">
      <c r="B23" s="6">
        <f>B22+1</f>
        <v>16</v>
      </c>
      <c r="C23" s="36" t="s">
        <v>50</v>
      </c>
      <c r="D23" s="21"/>
      <c r="E23" s="19"/>
      <c r="F23" s="20"/>
      <c r="G23" s="32"/>
    </row>
    <row r="24" spans="2:7" s="4" customFormat="1" ht="64.5" customHeight="1" x14ac:dyDescent="0.25">
      <c r="B24" s="35">
        <f>+B23+1</f>
        <v>17</v>
      </c>
      <c r="C24" s="36" t="s">
        <v>51</v>
      </c>
      <c r="D24" s="21"/>
      <c r="E24" s="19"/>
      <c r="F24" s="20"/>
      <c r="G24" s="32"/>
    </row>
    <row r="25" spans="2:7" s="4" customFormat="1" ht="64.5" customHeight="1" x14ac:dyDescent="0.25">
      <c r="B25" s="6">
        <f>B24+1</f>
        <v>18</v>
      </c>
      <c r="C25" s="36" t="s">
        <v>52</v>
      </c>
      <c r="D25" s="21"/>
      <c r="E25" s="19"/>
      <c r="F25" s="20"/>
      <c r="G25" s="32"/>
    </row>
    <row r="26" spans="2:7" s="4" customFormat="1" ht="64.5" customHeight="1" x14ac:dyDescent="0.25">
      <c r="B26" s="35">
        <f>+B25+1</f>
        <v>19</v>
      </c>
      <c r="C26" s="36" t="s">
        <v>53</v>
      </c>
      <c r="D26" s="21"/>
      <c r="E26" s="19"/>
      <c r="F26" s="20"/>
      <c r="G26" s="32"/>
    </row>
    <row r="27" spans="2:7" s="4" customFormat="1" ht="64.5" customHeight="1" x14ac:dyDescent="0.25">
      <c r="B27" s="6">
        <f>B26+1</f>
        <v>20</v>
      </c>
      <c r="C27" s="36" t="s">
        <v>54</v>
      </c>
      <c r="D27" s="21"/>
      <c r="E27" s="19"/>
      <c r="F27" s="20"/>
      <c r="G27" s="32"/>
    </row>
    <row r="28" spans="2:7" s="4" customFormat="1" ht="64.5" customHeight="1" x14ac:dyDescent="0.25">
      <c r="B28" s="35">
        <f>+B27+1</f>
        <v>21</v>
      </c>
      <c r="C28" s="36" t="s">
        <v>55</v>
      </c>
      <c r="D28" s="21"/>
      <c r="E28" s="19"/>
      <c r="F28" s="20"/>
      <c r="G28" s="32"/>
    </row>
    <row r="29" spans="2:7" s="4" customFormat="1" ht="64.5" customHeight="1" x14ac:dyDescent="0.25">
      <c r="B29" s="6">
        <f>B28+1</f>
        <v>22</v>
      </c>
      <c r="C29" s="36" t="s">
        <v>56</v>
      </c>
      <c r="D29" s="21"/>
      <c r="E29" s="19"/>
      <c r="F29" s="20"/>
      <c r="G29" s="32"/>
    </row>
    <row r="30" spans="2:7" s="4" customFormat="1" ht="64.5" customHeight="1" x14ac:dyDescent="0.25">
      <c r="B30" s="35">
        <f>+B29+1</f>
        <v>23</v>
      </c>
      <c r="C30" s="36" t="s">
        <v>57</v>
      </c>
      <c r="D30" s="21"/>
      <c r="E30" s="19"/>
      <c r="F30" s="20"/>
      <c r="G30" s="32"/>
    </row>
    <row r="31" spans="2:7" s="4" customFormat="1" ht="64.5" customHeight="1" x14ac:dyDescent="0.25">
      <c r="B31" s="6">
        <f>B30+1</f>
        <v>24</v>
      </c>
      <c r="C31" s="36" t="s">
        <v>58</v>
      </c>
      <c r="D31" s="21"/>
      <c r="E31" s="19"/>
      <c r="F31" s="20"/>
      <c r="G31" s="32"/>
    </row>
    <row r="32" spans="2:7" s="4" customFormat="1" ht="64.5" customHeight="1" x14ac:dyDescent="0.25">
      <c r="B32" s="35">
        <f>+B31+1</f>
        <v>25</v>
      </c>
      <c r="C32" s="36" t="s">
        <v>59</v>
      </c>
      <c r="D32" s="21"/>
      <c r="E32" s="19"/>
      <c r="F32" s="20"/>
      <c r="G32" s="32"/>
    </row>
    <row r="33" spans="2:7" s="4" customFormat="1" ht="64.5" customHeight="1" x14ac:dyDescent="0.25">
      <c r="B33" s="6">
        <f>B32+1</f>
        <v>26</v>
      </c>
      <c r="C33" s="36" t="s">
        <v>60</v>
      </c>
      <c r="D33" s="21"/>
      <c r="E33" s="19"/>
      <c r="F33" s="20"/>
      <c r="G33" s="32"/>
    </row>
    <row r="34" spans="2:7" s="4" customFormat="1" ht="64.5" customHeight="1" x14ac:dyDescent="0.25">
      <c r="B34" s="35">
        <f>+B33+1</f>
        <v>27</v>
      </c>
      <c r="C34" s="36" t="s">
        <v>61</v>
      </c>
      <c r="D34" s="21"/>
      <c r="E34" s="19"/>
      <c r="F34" s="20"/>
      <c r="G34" s="32"/>
    </row>
    <row r="35" spans="2:7" s="4" customFormat="1" ht="64.5" customHeight="1" x14ac:dyDescent="0.25">
      <c r="B35" s="6">
        <f>B34+1</f>
        <v>28</v>
      </c>
      <c r="C35" s="36" t="s">
        <v>62</v>
      </c>
      <c r="D35" s="21"/>
      <c r="E35" s="19"/>
      <c r="F35" s="20"/>
      <c r="G35" s="32"/>
    </row>
    <row r="36" spans="2:7" s="4" customFormat="1" ht="64.5" customHeight="1" x14ac:dyDescent="0.25">
      <c r="B36" s="35">
        <f>+B35+1</f>
        <v>29</v>
      </c>
      <c r="C36" s="36" t="s">
        <v>63</v>
      </c>
      <c r="D36" s="21"/>
      <c r="E36" s="19"/>
      <c r="F36" s="20"/>
      <c r="G36" s="32"/>
    </row>
    <row r="37" spans="2:7" s="4" customFormat="1" ht="64.5" customHeight="1" x14ac:dyDescent="0.25">
      <c r="B37" s="6">
        <f>B36+1</f>
        <v>30</v>
      </c>
      <c r="C37" s="36" t="s">
        <v>64</v>
      </c>
      <c r="D37" s="21"/>
      <c r="E37" s="19"/>
      <c r="F37" s="20"/>
      <c r="G37" s="32"/>
    </row>
    <row r="38" spans="2:7" s="4" customFormat="1" ht="64.5" customHeight="1" x14ac:dyDescent="0.25">
      <c r="B38" s="35">
        <f>+B37+1</f>
        <v>31</v>
      </c>
      <c r="C38" s="36" t="s">
        <v>65</v>
      </c>
      <c r="D38" s="21"/>
      <c r="E38" s="19"/>
      <c r="F38" s="20"/>
      <c r="G38" s="32"/>
    </row>
    <row r="39" spans="2:7" s="4" customFormat="1" ht="64.5" customHeight="1" x14ac:dyDescent="0.25">
      <c r="B39" s="6">
        <f>B38+1</f>
        <v>32</v>
      </c>
      <c r="C39" s="36" t="s">
        <v>173</v>
      </c>
      <c r="D39" s="21"/>
      <c r="E39" s="19"/>
      <c r="F39" s="20"/>
      <c r="G39" s="32"/>
    </row>
    <row r="40" spans="2:7" s="4" customFormat="1" ht="64.5" customHeight="1" x14ac:dyDescent="0.25">
      <c r="B40" s="35">
        <f>+B39+1</f>
        <v>33</v>
      </c>
      <c r="C40" s="17" t="s">
        <v>176</v>
      </c>
      <c r="D40" s="21"/>
      <c r="E40" s="19"/>
      <c r="F40" s="20"/>
      <c r="G40" s="32"/>
    </row>
    <row r="41" spans="2:7" s="4" customFormat="1" ht="64.5" customHeight="1" x14ac:dyDescent="0.25">
      <c r="B41" s="6">
        <f>B40+1</f>
        <v>34</v>
      </c>
      <c r="C41" s="17" t="s">
        <v>181</v>
      </c>
      <c r="D41" s="21"/>
      <c r="E41" s="19"/>
      <c r="F41" s="20"/>
      <c r="G41" s="32"/>
    </row>
    <row r="42" spans="2:7" s="4" customFormat="1" ht="57" customHeight="1" x14ac:dyDescent="0.25">
      <c r="B42" s="35">
        <f>+B41+1</f>
        <v>35</v>
      </c>
      <c r="C42" s="36" t="s">
        <v>251</v>
      </c>
      <c r="D42" s="21"/>
      <c r="E42" s="19"/>
      <c r="F42" s="20"/>
      <c r="G42" s="32"/>
    </row>
    <row r="43" spans="2:7" s="4" customFormat="1" ht="64.5" customHeight="1" x14ac:dyDescent="0.25">
      <c r="B43" s="6">
        <f>B42+1</f>
        <v>36</v>
      </c>
      <c r="C43" s="36" t="s">
        <v>252</v>
      </c>
      <c r="D43" s="21"/>
      <c r="E43" s="19"/>
      <c r="F43" s="20"/>
      <c r="G43" s="32"/>
    </row>
    <row r="44" spans="2:7" s="4" customFormat="1" ht="64.5" customHeight="1" x14ac:dyDescent="0.25">
      <c r="B44" s="35">
        <f>+B43+1</f>
        <v>37</v>
      </c>
      <c r="C44" s="36" t="s">
        <v>254</v>
      </c>
      <c r="D44" s="21"/>
      <c r="E44" s="19"/>
      <c r="F44" s="20"/>
      <c r="G44" s="32"/>
    </row>
    <row r="45" spans="2:7" s="4" customFormat="1" ht="48.75" customHeight="1" x14ac:dyDescent="0.25">
      <c r="B45" s="6">
        <f>B44+1</f>
        <v>38</v>
      </c>
      <c r="C45" s="36" t="s">
        <v>367</v>
      </c>
      <c r="D45" s="21"/>
      <c r="E45" s="19"/>
      <c r="F45" s="20"/>
      <c r="G45" s="32"/>
    </row>
    <row r="46" spans="2:7" s="4" customFormat="1" ht="48.75" customHeight="1" x14ac:dyDescent="0.25">
      <c r="B46" s="6">
        <v>39</v>
      </c>
      <c r="C46" s="36" t="s">
        <v>620</v>
      </c>
      <c r="D46" s="21"/>
      <c r="E46" s="19"/>
      <c r="F46" s="20"/>
      <c r="G46" s="32"/>
    </row>
    <row r="47" spans="2:7" s="4" customFormat="1" ht="48.75" customHeight="1" x14ac:dyDescent="0.25">
      <c r="B47" s="6">
        <v>40</v>
      </c>
      <c r="C47" s="36" t="s">
        <v>683</v>
      </c>
      <c r="D47" s="21"/>
      <c r="E47" s="19"/>
      <c r="F47" s="20"/>
      <c r="G47" s="32"/>
    </row>
    <row r="48" spans="2:7" s="4" customFormat="1" ht="48.75" customHeight="1" x14ac:dyDescent="0.25">
      <c r="B48" s="6">
        <v>41</v>
      </c>
      <c r="C48" s="36" t="s">
        <v>716</v>
      </c>
      <c r="D48" s="21"/>
      <c r="E48" s="19"/>
      <c r="F48" s="20"/>
      <c r="G48" s="32"/>
    </row>
    <row r="49" spans="2:7" s="4" customFormat="1" ht="48.75" customHeight="1" x14ac:dyDescent="0.25">
      <c r="B49" s="6">
        <v>42</v>
      </c>
      <c r="C49" s="36" t="s">
        <v>726</v>
      </c>
      <c r="D49" s="21"/>
      <c r="E49" s="19"/>
      <c r="F49" s="20"/>
      <c r="G49" s="32"/>
    </row>
    <row r="50" spans="2:7" s="4" customFormat="1" ht="57.75" customHeight="1" thickBot="1" x14ac:dyDescent="0.3">
      <c r="B50" s="6">
        <v>43</v>
      </c>
      <c r="C50" s="36" t="s">
        <v>662</v>
      </c>
      <c r="D50" s="21"/>
      <c r="E50" s="19"/>
      <c r="F50" s="20"/>
      <c r="G50" s="32"/>
    </row>
    <row r="51" spans="2:7" ht="18.75" thickBot="1" x14ac:dyDescent="0.3">
      <c r="B51" s="245" t="s">
        <v>13</v>
      </c>
      <c r="C51" s="246"/>
      <c r="D51" s="175" t="s">
        <v>7</v>
      </c>
      <c r="E51" s="176"/>
      <c r="F51" s="177"/>
      <c r="G51" s="24" t="s">
        <v>8</v>
      </c>
    </row>
    <row r="52" spans="2:7" x14ac:dyDescent="0.25">
      <c r="B52" s="153"/>
      <c r="C52" s="154"/>
      <c r="D52" s="154"/>
      <c r="E52" s="154"/>
      <c r="F52" s="154"/>
      <c r="G52" s="159"/>
    </row>
    <row r="53" spans="2:7" x14ac:dyDescent="0.25">
      <c r="B53" s="155"/>
      <c r="C53" s="156"/>
      <c r="D53" s="156"/>
      <c r="E53" s="156"/>
      <c r="F53" s="156"/>
      <c r="G53" s="160"/>
    </row>
    <row r="54" spans="2:7" x14ac:dyDescent="0.25">
      <c r="B54" s="155"/>
      <c r="C54" s="156"/>
      <c r="D54" s="156"/>
      <c r="E54" s="156"/>
      <c r="F54" s="156"/>
      <c r="G54" s="160"/>
    </row>
    <row r="55" spans="2:7" x14ac:dyDescent="0.25">
      <c r="B55" s="155"/>
      <c r="C55" s="156"/>
      <c r="D55" s="156"/>
      <c r="E55" s="156"/>
      <c r="F55" s="156"/>
      <c r="G55" s="160"/>
    </row>
    <row r="56" spans="2:7" ht="25.5" customHeight="1" thickBot="1" x14ac:dyDescent="0.3">
      <c r="B56" s="157"/>
      <c r="C56" s="158"/>
      <c r="D56" s="158"/>
      <c r="E56" s="158"/>
      <c r="F56" s="158"/>
      <c r="G56" s="161"/>
    </row>
  </sheetData>
  <sheetProtection selectLockedCells="1"/>
  <mergeCells count="10">
    <mergeCell ref="B52:C56"/>
    <mergeCell ref="D52:F56"/>
    <mergeCell ref="G52:G56"/>
    <mergeCell ref="B3:F3"/>
    <mergeCell ref="D4:F4"/>
    <mergeCell ref="E6:F6"/>
    <mergeCell ref="B51:C51"/>
    <mergeCell ref="D51:F51"/>
    <mergeCell ref="B5:C5"/>
    <mergeCell ref="D5:G5"/>
  </mergeCells>
  <conditionalFormatting sqref="D8:D50">
    <cfRule type="cellIs" dxfId="51" priority="3" operator="equal">
      <formula>3</formula>
    </cfRule>
    <cfRule type="cellIs" dxfId="50"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7" fitToHeight="2" orientation="portrait" r:id="rId1"/>
  <rowBreaks count="1" manualBreakCount="1">
    <brk id="40" max="16383" man="1"/>
  </rowBreaks>
  <colBreaks count="1" manualBreakCount="1">
    <brk id="2" max="1048575" man="1"/>
  </colBreaks>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0">
    <tabColor theme="0" tint="-0.14999847407452621"/>
    <pageSetUpPr fitToPage="1"/>
  </sheetPr>
  <dimension ref="B1:G29"/>
  <sheetViews>
    <sheetView view="pageBreakPreview" zoomScale="55" zoomScaleNormal="55" zoomScaleSheetLayoutView="55" zoomScalePageLayoutView="70" workbookViewId="0">
      <selection activeCell="D18" sqref="D18"/>
    </sheetView>
  </sheetViews>
  <sheetFormatPr baseColWidth="10" defaultColWidth="11.42578125" defaultRowHeight="15" x14ac:dyDescent="0.25"/>
  <cols>
    <col min="1" max="1" width="0.140625" style="1" customWidth="1"/>
    <col min="2" max="2" width="5.7109375" style="1" customWidth="1"/>
    <col min="3" max="3" width="81.28515625" style="1" customWidth="1"/>
    <col min="4" max="4" width="9.7109375" style="1" bestFit="1" customWidth="1"/>
    <col min="5" max="5" width="4.85546875" style="1" bestFit="1" customWidth="1"/>
    <col min="6" max="6" width="5.85546875" style="1" bestFit="1" customWidth="1"/>
    <col min="7" max="7" width="54.140625" style="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17</v>
      </c>
      <c r="D4" s="165" t="str">
        <f>+'Line &amp; frequency'!C1</f>
        <v>CHAINE 5</v>
      </c>
      <c r="E4" s="166"/>
      <c r="F4" s="166"/>
      <c r="G4" s="31" t="s">
        <v>368</v>
      </c>
    </row>
    <row r="5" spans="2:7" ht="29.25" customHeight="1" thickBot="1" x14ac:dyDescent="0.3">
      <c r="B5" s="167" t="s">
        <v>170</v>
      </c>
      <c r="C5" s="168"/>
      <c r="D5" s="169" t="s">
        <v>614</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47.25" customHeight="1" x14ac:dyDescent="0.25">
      <c r="B8" s="5">
        <v>1</v>
      </c>
      <c r="C8" s="36" t="s">
        <v>385</v>
      </c>
      <c r="D8" s="21"/>
      <c r="E8" s="19"/>
      <c r="F8" s="20"/>
      <c r="G8" s="32"/>
    </row>
    <row r="9" spans="2:7" s="4" customFormat="1" ht="42" customHeight="1" x14ac:dyDescent="0.25">
      <c r="B9" s="6">
        <f>B8+1</f>
        <v>2</v>
      </c>
      <c r="C9" s="36" t="s">
        <v>386</v>
      </c>
      <c r="D9" s="21"/>
      <c r="E9" s="19"/>
      <c r="F9" s="20"/>
      <c r="G9" s="32"/>
    </row>
    <row r="10" spans="2:7" s="4" customFormat="1" ht="55.5" customHeight="1" x14ac:dyDescent="0.25">
      <c r="B10" s="35">
        <f>+B9+1</f>
        <v>3</v>
      </c>
      <c r="C10" s="36" t="s">
        <v>387</v>
      </c>
      <c r="D10" s="21"/>
      <c r="E10" s="19"/>
      <c r="F10" s="20"/>
      <c r="G10" s="32"/>
    </row>
    <row r="11" spans="2:7" s="4" customFormat="1" ht="70.5" customHeight="1" x14ac:dyDescent="0.25">
      <c r="B11" s="6">
        <f>B10+1</f>
        <v>4</v>
      </c>
      <c r="C11" s="36" t="s">
        <v>388</v>
      </c>
      <c r="D11" s="21"/>
      <c r="E11" s="19"/>
      <c r="F11" s="20"/>
      <c r="G11" s="32"/>
    </row>
    <row r="12" spans="2:7" s="4" customFormat="1" ht="78" customHeight="1" x14ac:dyDescent="0.25">
      <c r="B12" s="35">
        <f>+B11+1</f>
        <v>5</v>
      </c>
      <c r="C12" s="36" t="s">
        <v>389</v>
      </c>
      <c r="D12" s="21"/>
      <c r="E12" s="19"/>
      <c r="F12" s="20"/>
      <c r="G12" s="32"/>
    </row>
    <row r="13" spans="2:7" s="4" customFormat="1" ht="64.5" customHeight="1" x14ac:dyDescent="0.25">
      <c r="B13" s="6">
        <f>B12+1</f>
        <v>6</v>
      </c>
      <c r="C13" s="36" t="s">
        <v>390</v>
      </c>
      <c r="D13" s="21"/>
      <c r="E13" s="19"/>
      <c r="F13" s="20"/>
      <c r="G13" s="32"/>
    </row>
    <row r="14" spans="2:7" s="4" customFormat="1" ht="64.5" customHeight="1" x14ac:dyDescent="0.25">
      <c r="B14" s="35">
        <f>+B13+1</f>
        <v>7</v>
      </c>
      <c r="C14" s="36" t="s">
        <v>391</v>
      </c>
      <c r="D14" s="21"/>
      <c r="E14" s="19"/>
      <c r="F14" s="20"/>
      <c r="G14" s="32"/>
    </row>
    <row r="15" spans="2:7" s="4" customFormat="1" ht="64.5" customHeight="1" x14ac:dyDescent="0.25">
      <c r="B15" s="6">
        <f>B14+1</f>
        <v>8</v>
      </c>
      <c r="C15" s="36" t="s">
        <v>392</v>
      </c>
      <c r="D15" s="21"/>
      <c r="E15" s="19"/>
      <c r="F15" s="20"/>
      <c r="G15" s="32"/>
    </row>
    <row r="16" spans="2:7" s="4" customFormat="1" ht="64.5" customHeight="1" x14ac:dyDescent="0.25">
      <c r="B16" s="35">
        <f>+B15+1</f>
        <v>9</v>
      </c>
      <c r="C16" s="36" t="s">
        <v>393</v>
      </c>
      <c r="D16" s="21"/>
      <c r="E16" s="19"/>
      <c r="F16" s="20"/>
      <c r="G16" s="32"/>
    </row>
    <row r="17" spans="2:7" s="4" customFormat="1" ht="64.5" customHeight="1" x14ac:dyDescent="0.25">
      <c r="B17" s="6">
        <f>B16+1</f>
        <v>10</v>
      </c>
      <c r="C17" s="36" t="s">
        <v>394</v>
      </c>
      <c r="D17" s="21"/>
      <c r="E17" s="19"/>
      <c r="F17" s="20"/>
      <c r="G17" s="32"/>
    </row>
    <row r="18" spans="2:7" s="4" customFormat="1" ht="64.5" customHeight="1" x14ac:dyDescent="0.25">
      <c r="B18" s="35">
        <f>+B17+1</f>
        <v>11</v>
      </c>
      <c r="C18" s="36" t="s">
        <v>395</v>
      </c>
      <c r="D18" s="21"/>
      <c r="E18" s="19"/>
      <c r="F18" s="20"/>
      <c r="G18" s="32"/>
    </row>
    <row r="19" spans="2:7" s="4" customFormat="1" ht="64.5" customHeight="1" x14ac:dyDescent="0.25">
      <c r="B19" s="6">
        <f>B18+1</f>
        <v>12</v>
      </c>
      <c r="C19" s="36" t="s">
        <v>396</v>
      </c>
      <c r="D19" s="21"/>
      <c r="E19" s="19"/>
      <c r="F19" s="20"/>
      <c r="G19" s="32"/>
    </row>
    <row r="20" spans="2:7" s="4" customFormat="1" ht="64.5" customHeight="1" x14ac:dyDescent="0.25">
      <c r="B20" s="35">
        <f>+B19+1</f>
        <v>13</v>
      </c>
      <c r="C20" s="36" t="s">
        <v>441</v>
      </c>
      <c r="D20" s="21"/>
      <c r="E20" s="19"/>
      <c r="F20" s="20"/>
      <c r="G20" s="32"/>
    </row>
    <row r="21" spans="2:7" s="4" customFormat="1" ht="64.5" customHeight="1" x14ac:dyDescent="0.25">
      <c r="B21" s="6">
        <f>B20+1</f>
        <v>14</v>
      </c>
      <c r="C21" s="36" t="s">
        <v>675</v>
      </c>
      <c r="D21" s="21"/>
      <c r="E21" s="19"/>
      <c r="F21" s="20"/>
      <c r="G21" s="32"/>
    </row>
    <row r="22" spans="2:7" s="4" customFormat="1" ht="79.5" customHeight="1" x14ac:dyDescent="0.25">
      <c r="B22" s="35">
        <f>+B21+1</f>
        <v>15</v>
      </c>
      <c r="C22" s="36" t="s">
        <v>672</v>
      </c>
      <c r="D22" s="21"/>
      <c r="E22" s="19"/>
      <c r="F22" s="20"/>
      <c r="G22" s="32"/>
    </row>
    <row r="23" spans="2:7" s="4" customFormat="1" ht="64.5" customHeight="1" thickBot="1" x14ac:dyDescent="0.3">
      <c r="B23" s="6">
        <f>B22+1</f>
        <v>16</v>
      </c>
      <c r="C23" s="36"/>
      <c r="D23" s="21"/>
      <c r="E23" s="19"/>
      <c r="F23" s="20"/>
      <c r="G23" s="32"/>
    </row>
    <row r="24" spans="2:7" ht="18.75" thickBot="1" x14ac:dyDescent="0.3">
      <c r="B24" s="245" t="s">
        <v>13</v>
      </c>
      <c r="C24" s="246"/>
      <c r="D24" s="175" t="s">
        <v>7</v>
      </c>
      <c r="E24" s="176"/>
      <c r="F24" s="177"/>
      <c r="G24" s="24" t="s">
        <v>8</v>
      </c>
    </row>
    <row r="25" spans="2:7" x14ac:dyDescent="0.25">
      <c r="B25" s="153"/>
      <c r="C25" s="154"/>
      <c r="D25" s="154"/>
      <c r="E25" s="154"/>
      <c r="F25" s="154"/>
      <c r="G25" s="159"/>
    </row>
    <row r="26" spans="2:7" x14ac:dyDescent="0.25">
      <c r="B26" s="155"/>
      <c r="C26" s="156"/>
      <c r="D26" s="156"/>
      <c r="E26" s="156"/>
      <c r="F26" s="156"/>
      <c r="G26" s="160"/>
    </row>
    <row r="27" spans="2:7" x14ac:dyDescent="0.25">
      <c r="B27" s="155"/>
      <c r="C27" s="156"/>
      <c r="D27" s="156"/>
      <c r="E27" s="156"/>
      <c r="F27" s="156"/>
      <c r="G27" s="160"/>
    </row>
    <row r="28" spans="2:7" x14ac:dyDescent="0.25">
      <c r="B28" s="155"/>
      <c r="C28" s="156"/>
      <c r="D28" s="156"/>
      <c r="E28" s="156"/>
      <c r="F28" s="156"/>
      <c r="G28" s="160"/>
    </row>
    <row r="29" spans="2:7" ht="25.5" customHeight="1" thickBot="1" x14ac:dyDescent="0.3">
      <c r="B29" s="157"/>
      <c r="C29" s="158"/>
      <c r="D29" s="158"/>
      <c r="E29" s="158"/>
      <c r="F29" s="158"/>
      <c r="G29" s="161"/>
    </row>
  </sheetData>
  <sheetProtection selectLockedCells="1"/>
  <mergeCells count="10">
    <mergeCell ref="B25:C29"/>
    <mergeCell ref="D25:F29"/>
    <mergeCell ref="G25:G29"/>
    <mergeCell ref="B3:F3"/>
    <mergeCell ref="D4:F4"/>
    <mergeCell ref="B5:C5"/>
    <mergeCell ref="D5:G5"/>
    <mergeCell ref="E6:F6"/>
    <mergeCell ref="B24:C24"/>
    <mergeCell ref="D24:F24"/>
  </mergeCells>
  <conditionalFormatting sqref="D8:D23">
    <cfRule type="cellIs" dxfId="49" priority="1" operator="equal">
      <formula>3</formula>
    </cfRule>
    <cfRule type="cellIs" dxfId="48"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61" fitToHeight="2" orientation="portrait" r:id="rId1"/>
  <colBreaks count="1" manualBreakCount="1">
    <brk id="2" max="1048575" man="1"/>
  </colBreaks>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9">
    <tabColor theme="0" tint="-0.14999847407452621"/>
    <pageSetUpPr fitToPage="1"/>
  </sheetPr>
  <dimension ref="B1:G27"/>
  <sheetViews>
    <sheetView view="pageBreakPreview" zoomScale="55" zoomScaleNormal="55" zoomScaleSheetLayoutView="55" zoomScalePageLayoutView="70" workbookViewId="0">
      <selection activeCell="E13" sqref="E13"/>
    </sheetView>
  </sheetViews>
  <sheetFormatPr baseColWidth="10" defaultColWidth="11.42578125" defaultRowHeight="15" x14ac:dyDescent="0.25"/>
  <cols>
    <col min="1" max="1" width="0.140625" style="1" customWidth="1"/>
    <col min="2" max="2" width="5.7109375" style="1" customWidth="1"/>
    <col min="3" max="3" width="81.28515625" style="1" customWidth="1"/>
    <col min="4" max="4" width="9.7109375" style="1" bestFit="1" customWidth="1"/>
    <col min="5" max="5" width="4.85546875" style="1" bestFit="1" customWidth="1"/>
    <col min="6" max="6" width="5.85546875" style="1" bestFit="1" customWidth="1"/>
    <col min="7" max="7" width="54.140625" style="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17</v>
      </c>
      <c r="D4" s="165" t="str">
        <f>+'Line &amp; frequency'!C1</f>
        <v>CHAINE 5</v>
      </c>
      <c r="E4" s="166"/>
      <c r="F4" s="166"/>
      <c r="G4" s="31" t="s">
        <v>424</v>
      </c>
    </row>
    <row r="5" spans="2:7" ht="29.25" customHeight="1" thickBot="1" x14ac:dyDescent="0.3">
      <c r="B5" s="167" t="s">
        <v>170</v>
      </c>
      <c r="C5" s="168"/>
      <c r="D5" s="169" t="s">
        <v>614</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36" t="s">
        <v>589</v>
      </c>
      <c r="D8" s="21"/>
      <c r="E8" s="19"/>
      <c r="F8" s="20"/>
      <c r="G8" s="32"/>
    </row>
    <row r="9" spans="2:7" s="4" customFormat="1" ht="42" customHeight="1" x14ac:dyDescent="0.25">
      <c r="B9" s="6">
        <f>B8+1</f>
        <v>2</v>
      </c>
      <c r="C9" s="36" t="s">
        <v>590</v>
      </c>
      <c r="D9" s="21"/>
      <c r="E9" s="19"/>
      <c r="F9" s="20"/>
      <c r="G9" s="32"/>
    </row>
    <row r="10" spans="2:7" s="4" customFormat="1" ht="55.5" customHeight="1" x14ac:dyDescent="0.25">
      <c r="B10" s="35">
        <f>+B9+1</f>
        <v>3</v>
      </c>
      <c r="C10" s="36" t="s">
        <v>591</v>
      </c>
      <c r="D10" s="21"/>
      <c r="E10" s="19"/>
      <c r="F10" s="20"/>
      <c r="G10" s="32"/>
    </row>
    <row r="11" spans="2:7" s="4" customFormat="1" ht="40.5" customHeight="1" x14ac:dyDescent="0.25">
      <c r="B11" s="6">
        <f>B10+1</f>
        <v>4</v>
      </c>
      <c r="C11" s="36" t="s">
        <v>592</v>
      </c>
      <c r="D11" s="21"/>
      <c r="E11" s="19"/>
      <c r="F11" s="20"/>
      <c r="G11" s="32"/>
    </row>
    <row r="12" spans="2:7" s="4" customFormat="1" ht="64.5" customHeight="1" x14ac:dyDescent="0.25">
      <c r="B12" s="35">
        <f>+B11+1</f>
        <v>5</v>
      </c>
      <c r="C12" s="36" t="s">
        <v>593</v>
      </c>
      <c r="D12" s="21"/>
      <c r="E12" s="19"/>
      <c r="F12" s="20"/>
      <c r="G12" s="32"/>
    </row>
    <row r="13" spans="2:7" s="4" customFormat="1" ht="64.5" customHeight="1" x14ac:dyDescent="0.25">
      <c r="B13" s="6">
        <f>B12+1</f>
        <v>6</v>
      </c>
      <c r="C13" s="36" t="s">
        <v>594</v>
      </c>
      <c r="D13" s="21"/>
      <c r="E13" s="19"/>
      <c r="F13" s="20"/>
      <c r="G13" s="32"/>
    </row>
    <row r="14" spans="2:7" s="4" customFormat="1" ht="64.5" customHeight="1" x14ac:dyDescent="0.25">
      <c r="B14" s="35">
        <f>+B13+1</f>
        <v>7</v>
      </c>
      <c r="C14" s="36" t="s">
        <v>595</v>
      </c>
      <c r="D14" s="21"/>
      <c r="E14" s="19"/>
      <c r="F14" s="20"/>
      <c r="G14" s="32"/>
    </row>
    <row r="15" spans="2:7" s="4" customFormat="1" ht="64.5" customHeight="1" x14ac:dyDescent="0.25">
      <c r="B15" s="6">
        <f>B14+1</f>
        <v>8</v>
      </c>
      <c r="C15" s="36" t="s">
        <v>596</v>
      </c>
      <c r="D15" s="21"/>
      <c r="E15" s="19"/>
      <c r="F15" s="20"/>
      <c r="G15" s="32"/>
    </row>
    <row r="16" spans="2:7" s="4" customFormat="1" ht="64.5" customHeight="1" x14ac:dyDescent="0.25">
      <c r="B16" s="35">
        <f>+B15+1</f>
        <v>9</v>
      </c>
      <c r="C16" s="36" t="s">
        <v>597</v>
      </c>
      <c r="D16" s="21"/>
      <c r="E16" s="19"/>
      <c r="F16" s="20"/>
      <c r="G16" s="32"/>
    </row>
    <row r="17" spans="2:7" s="4" customFormat="1" ht="64.5" customHeight="1" x14ac:dyDescent="0.25">
      <c r="B17" s="6">
        <f>B16+1</f>
        <v>10</v>
      </c>
      <c r="C17" s="36" t="s">
        <v>598</v>
      </c>
      <c r="D17" s="21"/>
      <c r="E17" s="19"/>
      <c r="F17" s="20"/>
      <c r="G17" s="32"/>
    </row>
    <row r="18" spans="2:7" s="4" customFormat="1" ht="64.5" customHeight="1" x14ac:dyDescent="0.25">
      <c r="B18" s="35">
        <f>+B17+1</f>
        <v>11</v>
      </c>
      <c r="C18" s="36" t="s">
        <v>599</v>
      </c>
      <c r="D18" s="21"/>
      <c r="E18" s="19"/>
      <c r="F18" s="20"/>
      <c r="G18" s="32"/>
    </row>
    <row r="19" spans="2:7" s="4" customFormat="1" ht="64.5" customHeight="1" x14ac:dyDescent="0.25">
      <c r="B19" s="6">
        <f>B18+1</f>
        <v>12</v>
      </c>
      <c r="C19" s="36" t="s">
        <v>600</v>
      </c>
      <c r="D19" s="21"/>
      <c r="E19" s="19"/>
      <c r="F19" s="20"/>
      <c r="G19" s="32"/>
    </row>
    <row r="20" spans="2:7" s="4" customFormat="1" ht="71.25" customHeight="1" x14ac:dyDescent="0.25">
      <c r="B20" s="35">
        <f>+B19+1</f>
        <v>13</v>
      </c>
      <c r="C20" s="36" t="s">
        <v>601</v>
      </c>
      <c r="D20" s="21"/>
      <c r="E20" s="19"/>
      <c r="F20" s="20"/>
      <c r="G20" s="32"/>
    </row>
    <row r="21" spans="2:7" s="4" customFormat="1" ht="64.5" customHeight="1" thickBot="1" x14ac:dyDescent="0.3">
      <c r="B21" s="6">
        <f>B20+1</f>
        <v>14</v>
      </c>
      <c r="C21" s="36"/>
      <c r="D21" s="21"/>
      <c r="E21" s="19"/>
      <c r="F21" s="20"/>
      <c r="G21" s="32"/>
    </row>
    <row r="22" spans="2:7" ht="18.75" thickBot="1" x14ac:dyDescent="0.3">
      <c r="B22" s="245" t="s">
        <v>13</v>
      </c>
      <c r="C22" s="246"/>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25.5" customHeight="1" thickBot="1" x14ac:dyDescent="0.3">
      <c r="B27" s="157"/>
      <c r="C27" s="158"/>
      <c r="D27" s="158"/>
      <c r="E27" s="158"/>
      <c r="F27" s="158"/>
      <c r="G27" s="161"/>
    </row>
  </sheetData>
  <sheetProtection selectLockedCells="1"/>
  <mergeCells count="10">
    <mergeCell ref="B23:C27"/>
    <mergeCell ref="D23:F27"/>
    <mergeCell ref="G23:G27"/>
    <mergeCell ref="B3:F3"/>
    <mergeCell ref="D4:F4"/>
    <mergeCell ref="B5:C5"/>
    <mergeCell ref="D5:G5"/>
    <mergeCell ref="E6:F6"/>
    <mergeCell ref="B22:C22"/>
    <mergeCell ref="D22:F22"/>
  </mergeCells>
  <conditionalFormatting sqref="D8:D21">
    <cfRule type="cellIs" dxfId="47" priority="1" operator="equal">
      <formula>3</formula>
    </cfRule>
    <cfRule type="cellIs" dxfId="46"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61" fitToHeight="2" orientation="portrait" r:id="rId1"/>
  <colBreaks count="1" manualBreakCount="1">
    <brk id="2" max="1048575" man="1"/>
  </colBreaks>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6">
    <tabColor theme="0" tint="-0.14999847407452621"/>
    <pageSetUpPr fitToPage="1"/>
  </sheetPr>
  <dimension ref="B1:G17"/>
  <sheetViews>
    <sheetView view="pageBreakPreview" zoomScale="55" zoomScaleNormal="55" zoomScaleSheetLayoutView="55" zoomScalePageLayoutView="70" workbookViewId="0">
      <selection activeCell="C9" sqref="C9"/>
    </sheetView>
  </sheetViews>
  <sheetFormatPr baseColWidth="10" defaultColWidth="11.42578125" defaultRowHeight="15" x14ac:dyDescent="0.25"/>
  <cols>
    <col min="1" max="1" width="0.140625" style="1" customWidth="1"/>
    <col min="2" max="2" width="5.7109375" style="1" customWidth="1"/>
    <col min="3" max="3" width="81.28515625" style="1" customWidth="1"/>
    <col min="4" max="4" width="9.7109375" style="1" bestFit="1" customWidth="1"/>
    <col min="5" max="5" width="4.85546875" style="1" bestFit="1" customWidth="1"/>
    <col min="6" max="6" width="5.85546875" style="1" bestFit="1" customWidth="1"/>
    <col min="7" max="7" width="54.140625" style="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17</v>
      </c>
      <c r="D4" s="165" t="str">
        <f>+'Line &amp; frequency'!C1</f>
        <v>CHAINE 5</v>
      </c>
      <c r="E4" s="166"/>
      <c r="F4" s="166"/>
      <c r="G4" s="31" t="s">
        <v>495</v>
      </c>
    </row>
    <row r="5" spans="2:7" ht="29.25" customHeight="1" thickBot="1" x14ac:dyDescent="0.3">
      <c r="B5" s="167" t="s">
        <v>170</v>
      </c>
      <c r="C5" s="168"/>
      <c r="D5" s="169" t="s">
        <v>182</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47.25" customHeight="1" x14ac:dyDescent="0.25">
      <c r="B8" s="5">
        <v>1</v>
      </c>
      <c r="C8" s="36" t="s">
        <v>493</v>
      </c>
      <c r="D8" s="21"/>
      <c r="E8" s="19"/>
      <c r="F8" s="20"/>
      <c r="G8" s="32"/>
    </row>
    <row r="9" spans="2:7" s="4" customFormat="1" ht="53.25" customHeight="1" x14ac:dyDescent="0.25">
      <c r="B9" s="6">
        <f>B8+1</f>
        <v>2</v>
      </c>
      <c r="C9" s="36" t="s">
        <v>494</v>
      </c>
      <c r="D9" s="21"/>
      <c r="E9" s="19"/>
      <c r="F9" s="20"/>
      <c r="G9" s="32"/>
    </row>
    <row r="10" spans="2:7" s="4" customFormat="1" ht="55.5" customHeight="1" x14ac:dyDescent="0.25">
      <c r="B10" s="35">
        <f>+B9+1</f>
        <v>3</v>
      </c>
      <c r="C10" s="36"/>
      <c r="D10" s="21"/>
      <c r="E10" s="19"/>
      <c r="F10" s="20"/>
      <c r="G10" s="32"/>
    </row>
    <row r="11" spans="2:7" s="4" customFormat="1" ht="40.5" customHeight="1" thickBot="1" x14ac:dyDescent="0.3">
      <c r="B11" s="6">
        <f>B10+1</f>
        <v>4</v>
      </c>
      <c r="C11" s="36"/>
      <c r="D11" s="21"/>
      <c r="E11" s="19"/>
      <c r="F11" s="20"/>
      <c r="G11" s="32"/>
    </row>
    <row r="12" spans="2:7" ht="18.75" thickBot="1" x14ac:dyDescent="0.3">
      <c r="B12" s="245" t="s">
        <v>13</v>
      </c>
      <c r="C12" s="246"/>
      <c r="D12" s="175" t="s">
        <v>7</v>
      </c>
      <c r="E12" s="176"/>
      <c r="F12" s="177"/>
      <c r="G12" s="24" t="s">
        <v>8</v>
      </c>
    </row>
    <row r="13" spans="2:7" x14ac:dyDescent="0.25">
      <c r="B13" s="153"/>
      <c r="C13" s="154"/>
      <c r="D13" s="154"/>
      <c r="E13" s="154"/>
      <c r="F13" s="154"/>
      <c r="G13" s="159"/>
    </row>
    <row r="14" spans="2:7" x14ac:dyDescent="0.25">
      <c r="B14" s="155"/>
      <c r="C14" s="156"/>
      <c r="D14" s="156"/>
      <c r="E14" s="156"/>
      <c r="F14" s="156"/>
      <c r="G14" s="160"/>
    </row>
    <row r="15" spans="2:7" x14ac:dyDescent="0.25">
      <c r="B15" s="155"/>
      <c r="C15" s="156"/>
      <c r="D15" s="156"/>
      <c r="E15" s="156"/>
      <c r="F15" s="156"/>
      <c r="G15" s="160"/>
    </row>
    <row r="16" spans="2:7" x14ac:dyDescent="0.25">
      <c r="B16" s="155"/>
      <c r="C16" s="156"/>
      <c r="D16" s="156"/>
      <c r="E16" s="156"/>
      <c r="F16" s="156"/>
      <c r="G16" s="160"/>
    </row>
    <row r="17" spans="2:7" ht="25.5" customHeight="1" thickBot="1" x14ac:dyDescent="0.3">
      <c r="B17" s="157"/>
      <c r="C17" s="158"/>
      <c r="D17" s="158"/>
      <c r="E17" s="158"/>
      <c r="F17" s="158"/>
      <c r="G17" s="161"/>
    </row>
  </sheetData>
  <sheetProtection selectLockedCells="1"/>
  <mergeCells count="10">
    <mergeCell ref="B13:C17"/>
    <mergeCell ref="D13:F17"/>
    <mergeCell ref="G13:G17"/>
    <mergeCell ref="B3:F3"/>
    <mergeCell ref="D4:F4"/>
    <mergeCell ref="B5:C5"/>
    <mergeCell ref="D5:G5"/>
    <mergeCell ref="E6:F6"/>
    <mergeCell ref="B12:C12"/>
    <mergeCell ref="D12:F12"/>
  </mergeCells>
  <conditionalFormatting sqref="D8:D11">
    <cfRule type="cellIs" dxfId="45" priority="1" operator="equal">
      <formula>3</formula>
    </cfRule>
    <cfRule type="cellIs" dxfId="44"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61" fitToHeight="2" orientation="portrait" horizontalDpi="300" verticalDpi="300" r:id="rId1"/>
  <colBreaks count="1" manualBreakCount="1">
    <brk id="2" max="1048575" man="1"/>
  </colBreak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9">
    <tabColor rgb="FF00B050"/>
    <pageSetUpPr fitToPage="1"/>
  </sheetPr>
  <dimension ref="B1:G30"/>
  <sheetViews>
    <sheetView view="pageBreakPreview" zoomScale="60" zoomScaleNormal="55" zoomScalePageLayoutView="70" workbookViewId="0">
      <selection activeCell="G11" sqref="G11"/>
    </sheetView>
  </sheetViews>
  <sheetFormatPr baseColWidth="10" defaultColWidth="11.42578125" defaultRowHeight="15" x14ac:dyDescent="0.25"/>
  <cols>
    <col min="1" max="1" width="0.28515625" style="1" customWidth="1"/>
    <col min="2" max="2" width="5.7109375" style="1" customWidth="1"/>
    <col min="3" max="3" width="96.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333</v>
      </c>
      <c r="D4" s="165" t="str">
        <f>+'Line &amp; frequency'!C1</f>
        <v>CHAINE 5</v>
      </c>
      <c r="E4" s="166"/>
      <c r="F4" s="166"/>
      <c r="G4" s="31" t="s">
        <v>699</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334</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72" customHeight="1" x14ac:dyDescent="0.25">
      <c r="B16" s="35">
        <f>+B15+1</f>
        <v>9</v>
      </c>
      <c r="C16" s="36" t="s">
        <v>319</v>
      </c>
      <c r="D16" s="21"/>
      <c r="E16" s="19"/>
      <c r="F16" s="20"/>
      <c r="G16" s="32"/>
    </row>
    <row r="17" spans="2:7" s="4" customFormat="1" ht="52.5" customHeight="1" x14ac:dyDescent="0.25">
      <c r="B17" s="6">
        <f>B16+1</f>
        <v>10</v>
      </c>
      <c r="C17" s="36" t="s">
        <v>335</v>
      </c>
      <c r="D17" s="21"/>
      <c r="E17" s="19"/>
      <c r="F17" s="20"/>
      <c r="G17" s="32"/>
    </row>
    <row r="18" spans="2:7" s="4" customFormat="1" ht="63" customHeight="1" x14ac:dyDescent="0.25">
      <c r="B18" s="35">
        <f>+B17+1</f>
        <v>11</v>
      </c>
      <c r="C18" s="36" t="s">
        <v>442</v>
      </c>
      <c r="D18" s="21"/>
      <c r="E18" s="19"/>
      <c r="F18" s="20"/>
      <c r="G18" s="32"/>
    </row>
    <row r="19" spans="2:7" s="4" customFormat="1" ht="64.5" customHeight="1" x14ac:dyDescent="0.25">
      <c r="B19" s="6">
        <f>B18+1</f>
        <v>12</v>
      </c>
      <c r="C19" s="36"/>
      <c r="D19" s="21"/>
      <c r="E19" s="19"/>
      <c r="F19" s="20"/>
      <c r="G19" s="32"/>
    </row>
    <row r="20" spans="2:7" s="4" customFormat="1" ht="64.5" customHeight="1" x14ac:dyDescent="0.25">
      <c r="B20" s="35">
        <f>+B19+1</f>
        <v>13</v>
      </c>
      <c r="C20" s="36"/>
      <c r="D20" s="21"/>
      <c r="E20" s="19"/>
      <c r="F20" s="20"/>
      <c r="G20" s="32"/>
    </row>
    <row r="21" spans="2:7" s="4" customFormat="1" ht="64.5" customHeight="1" x14ac:dyDescent="0.25">
      <c r="B21" s="6">
        <f>B20+1</f>
        <v>14</v>
      </c>
      <c r="C21" s="36"/>
      <c r="D21" s="21"/>
      <c r="E21" s="19"/>
      <c r="F21" s="20"/>
      <c r="G21" s="32"/>
    </row>
    <row r="22" spans="2:7" s="4" customFormat="1" ht="64.5" customHeight="1" x14ac:dyDescent="0.25">
      <c r="B22" s="35">
        <f>+B21+1</f>
        <v>15</v>
      </c>
      <c r="C22" s="36"/>
      <c r="D22" s="21"/>
      <c r="E22" s="19"/>
      <c r="F22" s="20"/>
      <c r="G22" s="32"/>
    </row>
    <row r="23" spans="2:7" s="4" customFormat="1" ht="64.5" customHeight="1" x14ac:dyDescent="0.25">
      <c r="B23" s="6">
        <f>B22+1</f>
        <v>16</v>
      </c>
      <c r="C23" s="36"/>
      <c r="D23" s="21"/>
      <c r="E23" s="19"/>
      <c r="F23" s="20"/>
      <c r="G23" s="32"/>
    </row>
    <row r="24" spans="2:7" ht="21" thickBot="1" x14ac:dyDescent="0.3">
      <c r="B24" s="6" t="e">
        <f>#REF!+1</f>
        <v>#REF!</v>
      </c>
      <c r="C24" s="18"/>
      <c r="D24" s="23"/>
      <c r="E24" s="10"/>
      <c r="F24" s="11"/>
      <c r="G24" s="34"/>
    </row>
    <row r="25" spans="2:7" ht="18.75" thickBot="1" x14ac:dyDescent="0.3">
      <c r="B25" s="245" t="s">
        <v>13</v>
      </c>
      <c r="C25" s="246"/>
      <c r="D25" s="175" t="s">
        <v>7</v>
      </c>
      <c r="E25" s="176"/>
      <c r="F25" s="177"/>
      <c r="G25" s="24" t="s">
        <v>8</v>
      </c>
    </row>
    <row r="26" spans="2:7" x14ac:dyDescent="0.25">
      <c r="B26" s="153"/>
      <c r="C26" s="154"/>
      <c r="D26" s="154"/>
      <c r="E26" s="154"/>
      <c r="F26" s="154"/>
      <c r="G26" s="159"/>
    </row>
    <row r="27" spans="2:7" x14ac:dyDescent="0.25">
      <c r="B27" s="155"/>
      <c r="C27" s="156"/>
      <c r="D27" s="156"/>
      <c r="E27" s="156"/>
      <c r="F27" s="156"/>
      <c r="G27" s="160"/>
    </row>
    <row r="28" spans="2:7" x14ac:dyDescent="0.25">
      <c r="B28" s="155"/>
      <c r="C28" s="156"/>
      <c r="D28" s="156"/>
      <c r="E28" s="156"/>
      <c r="F28" s="156"/>
      <c r="G28" s="160"/>
    </row>
    <row r="29" spans="2:7" x14ac:dyDescent="0.25">
      <c r="B29" s="155"/>
      <c r="C29" s="156"/>
      <c r="D29" s="156"/>
      <c r="E29" s="156"/>
      <c r="F29" s="156"/>
      <c r="G29" s="160"/>
    </row>
    <row r="30" spans="2:7" ht="15.75" thickBot="1" x14ac:dyDescent="0.3">
      <c r="B30" s="157"/>
      <c r="C30" s="158"/>
      <c r="D30" s="158"/>
      <c r="E30" s="158"/>
      <c r="F30" s="158"/>
      <c r="G30" s="161"/>
    </row>
  </sheetData>
  <sheetProtection selectLockedCells="1"/>
  <mergeCells count="10">
    <mergeCell ref="B26:C30"/>
    <mergeCell ref="D26:F30"/>
    <mergeCell ref="G26:G30"/>
    <mergeCell ref="B3:F3"/>
    <mergeCell ref="D4:F4"/>
    <mergeCell ref="B5:C5"/>
    <mergeCell ref="D5:G5"/>
    <mergeCell ref="E6:F6"/>
    <mergeCell ref="B25:C25"/>
    <mergeCell ref="D25:F25"/>
  </mergeCells>
  <conditionalFormatting sqref="D8:D24">
    <cfRule type="cellIs" dxfId="39" priority="3" operator="equal">
      <formula>3</formula>
    </cfRule>
    <cfRule type="cellIs" dxfId="38"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4"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0">
    <tabColor rgb="FF00B050"/>
    <pageSetUpPr fitToPage="1"/>
  </sheetPr>
  <dimension ref="B1:G30"/>
  <sheetViews>
    <sheetView view="pageBreakPreview" zoomScale="55" zoomScaleNormal="55" zoomScaleSheetLayoutView="55" zoomScalePageLayoutView="70" workbookViewId="0">
      <selection activeCell="E15" sqref="E15"/>
    </sheetView>
  </sheetViews>
  <sheetFormatPr baseColWidth="10" defaultColWidth="11.42578125" defaultRowHeight="15" x14ac:dyDescent="0.25"/>
  <cols>
    <col min="1" max="1" width="0.28515625" style="1" customWidth="1"/>
    <col min="2" max="2" width="5.7109375" style="1" customWidth="1"/>
    <col min="3" max="3" width="96.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336</v>
      </c>
      <c r="D4" s="165" t="str">
        <f>+'Line &amp; frequency'!C1</f>
        <v>CHAINE 5</v>
      </c>
      <c r="E4" s="166"/>
      <c r="F4" s="166"/>
      <c r="G4" s="31" t="s">
        <v>699</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659</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72" customHeight="1" x14ac:dyDescent="0.25">
      <c r="B16" s="35">
        <f>+B15+1</f>
        <v>9</v>
      </c>
      <c r="C16" s="36" t="s">
        <v>319</v>
      </c>
      <c r="D16" s="21"/>
      <c r="E16" s="19"/>
      <c r="F16" s="20"/>
      <c r="G16" s="32"/>
    </row>
    <row r="17" spans="2:7" s="4" customFormat="1" ht="52.5" customHeight="1" x14ac:dyDescent="0.25">
      <c r="B17" s="6">
        <f>B16+1</f>
        <v>10</v>
      </c>
      <c r="C17" s="36" t="s">
        <v>335</v>
      </c>
      <c r="D17" s="21"/>
      <c r="E17" s="19"/>
      <c r="F17" s="20"/>
      <c r="G17" s="32"/>
    </row>
    <row r="18" spans="2:7" s="4" customFormat="1" ht="74.25" customHeight="1" x14ac:dyDescent="0.25">
      <c r="B18" s="35">
        <f>+B17+1</f>
        <v>11</v>
      </c>
      <c r="C18" s="36" t="s">
        <v>357</v>
      </c>
      <c r="D18" s="21"/>
      <c r="E18" s="19"/>
      <c r="F18" s="20"/>
      <c r="G18" s="32"/>
    </row>
    <row r="19" spans="2:7" s="4" customFormat="1" ht="64.5" customHeight="1" x14ac:dyDescent="0.25">
      <c r="B19" s="6">
        <f>B18+1</f>
        <v>12</v>
      </c>
      <c r="C19" s="36" t="s">
        <v>442</v>
      </c>
      <c r="D19" s="21"/>
      <c r="E19" s="19"/>
      <c r="F19" s="20"/>
      <c r="G19" s="32"/>
    </row>
    <row r="20" spans="2:7" s="4" customFormat="1" ht="64.5" customHeight="1" x14ac:dyDescent="0.25">
      <c r="B20" s="35">
        <f>+B19+1</f>
        <v>13</v>
      </c>
      <c r="C20" s="36"/>
      <c r="D20" s="21"/>
      <c r="E20" s="19"/>
      <c r="F20" s="20"/>
      <c r="G20" s="32"/>
    </row>
    <row r="21" spans="2:7" s="4" customFormat="1" ht="64.5" customHeight="1" x14ac:dyDescent="0.25">
      <c r="B21" s="6">
        <f>B20+1</f>
        <v>14</v>
      </c>
      <c r="C21" s="36"/>
      <c r="D21" s="21"/>
      <c r="E21" s="19"/>
      <c r="F21" s="20"/>
      <c r="G21" s="32"/>
    </row>
    <row r="22" spans="2:7" ht="20.25" x14ac:dyDescent="0.25">
      <c r="B22" s="6" t="e">
        <f>#REF!+1</f>
        <v>#REF!</v>
      </c>
      <c r="C22" s="17"/>
      <c r="D22" s="22"/>
      <c r="E22" s="7"/>
      <c r="F22" s="8"/>
      <c r="G22" s="33"/>
    </row>
    <row r="23" spans="2:7" ht="20.25" x14ac:dyDescent="0.25">
      <c r="B23" s="35" t="e">
        <f>+B22+1</f>
        <v>#REF!</v>
      </c>
      <c r="C23" s="37"/>
      <c r="D23" s="38"/>
      <c r="E23" s="39"/>
      <c r="F23" s="40"/>
      <c r="G23" s="41"/>
    </row>
    <row r="24" spans="2:7" ht="21" thickBot="1" x14ac:dyDescent="0.3">
      <c r="B24" s="6" t="e">
        <f>B23+1</f>
        <v>#REF!</v>
      </c>
      <c r="C24" s="18"/>
      <c r="D24" s="23"/>
      <c r="E24" s="10"/>
      <c r="F24" s="11"/>
      <c r="G24" s="34"/>
    </row>
    <row r="25" spans="2:7" ht="18.75" thickBot="1" x14ac:dyDescent="0.3">
      <c r="B25" s="245" t="s">
        <v>13</v>
      </c>
      <c r="C25" s="246"/>
      <c r="D25" s="175" t="s">
        <v>7</v>
      </c>
      <c r="E25" s="176"/>
      <c r="F25" s="177"/>
      <c r="G25" s="24" t="s">
        <v>8</v>
      </c>
    </row>
    <row r="26" spans="2:7" x14ac:dyDescent="0.25">
      <c r="B26" s="153"/>
      <c r="C26" s="154"/>
      <c r="D26" s="154"/>
      <c r="E26" s="154"/>
      <c r="F26" s="154"/>
      <c r="G26" s="159"/>
    </row>
    <row r="27" spans="2:7" x14ac:dyDescent="0.25">
      <c r="B27" s="155"/>
      <c r="C27" s="156"/>
      <c r="D27" s="156"/>
      <c r="E27" s="156"/>
      <c r="F27" s="156"/>
      <c r="G27" s="160"/>
    </row>
    <row r="28" spans="2:7" x14ac:dyDescent="0.25">
      <c r="B28" s="155"/>
      <c r="C28" s="156"/>
      <c r="D28" s="156"/>
      <c r="E28" s="156"/>
      <c r="F28" s="156"/>
      <c r="G28" s="160"/>
    </row>
    <row r="29" spans="2:7" x14ac:dyDescent="0.25">
      <c r="B29" s="155"/>
      <c r="C29" s="156"/>
      <c r="D29" s="156"/>
      <c r="E29" s="156"/>
      <c r="F29" s="156"/>
      <c r="G29" s="160"/>
    </row>
    <row r="30" spans="2:7" ht="15.75" thickBot="1" x14ac:dyDescent="0.3">
      <c r="B30" s="157"/>
      <c r="C30" s="158"/>
      <c r="D30" s="158"/>
      <c r="E30" s="158"/>
      <c r="F30" s="158"/>
      <c r="G30" s="161"/>
    </row>
  </sheetData>
  <sheetProtection selectLockedCells="1"/>
  <mergeCells count="10">
    <mergeCell ref="B26:C30"/>
    <mergeCell ref="D26:F30"/>
    <mergeCell ref="G26:G30"/>
    <mergeCell ref="B3:F3"/>
    <mergeCell ref="D4:F4"/>
    <mergeCell ref="B5:C5"/>
    <mergeCell ref="D5:G5"/>
    <mergeCell ref="E6:F6"/>
    <mergeCell ref="B25:C25"/>
    <mergeCell ref="D25:F25"/>
  </mergeCells>
  <conditionalFormatting sqref="D8:D24">
    <cfRule type="cellIs" dxfId="37" priority="3" operator="equal">
      <formula>3</formula>
    </cfRule>
    <cfRule type="cellIs" dxfId="36"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4"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1">
    <tabColor rgb="FF00B050"/>
    <pageSetUpPr fitToPage="1"/>
  </sheetPr>
  <dimension ref="B1:G27"/>
  <sheetViews>
    <sheetView view="pageBreakPreview" zoomScale="55" zoomScaleNormal="55" zoomScaleSheetLayoutView="55" zoomScalePageLayoutView="70" workbookViewId="0">
      <selection activeCell="F11" sqref="F11"/>
    </sheetView>
  </sheetViews>
  <sheetFormatPr baseColWidth="10" defaultColWidth="11.42578125" defaultRowHeight="15" x14ac:dyDescent="0.25"/>
  <cols>
    <col min="1" max="1" width="0.28515625" style="1" customWidth="1"/>
    <col min="2" max="2" width="5.7109375" style="1" customWidth="1"/>
    <col min="3" max="3" width="107.425781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54" customHeight="1" thickBot="1" x14ac:dyDescent="0.3">
      <c r="B4" s="14"/>
      <c r="C4" s="15" t="s">
        <v>700</v>
      </c>
      <c r="D4" s="165" t="str">
        <f>+'Line &amp; frequency'!C1</f>
        <v>CHAINE 5</v>
      </c>
      <c r="E4" s="166"/>
      <c r="F4" s="166"/>
      <c r="G4" s="31" t="s">
        <v>699</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337</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72" customHeight="1" x14ac:dyDescent="0.25">
      <c r="B16" s="35">
        <f>+B15+1</f>
        <v>9</v>
      </c>
      <c r="C16" s="36" t="s">
        <v>319</v>
      </c>
      <c r="D16" s="21"/>
      <c r="E16" s="19"/>
      <c r="F16" s="20"/>
      <c r="G16" s="32"/>
    </row>
    <row r="17" spans="2:7" s="4" customFormat="1" ht="52.5" customHeight="1" x14ac:dyDescent="0.25">
      <c r="B17" s="6">
        <f>B16+1</f>
        <v>10</v>
      </c>
      <c r="C17" s="36" t="s">
        <v>335</v>
      </c>
      <c r="D17" s="21"/>
      <c r="E17" s="19"/>
      <c r="F17" s="20"/>
      <c r="G17" s="32"/>
    </row>
    <row r="18" spans="2:7" s="4" customFormat="1" ht="66.75" customHeight="1" x14ac:dyDescent="0.25">
      <c r="B18" s="35">
        <f>+B17+1</f>
        <v>11</v>
      </c>
      <c r="C18" s="36" t="s">
        <v>357</v>
      </c>
      <c r="D18" s="21"/>
      <c r="E18" s="19"/>
      <c r="F18" s="20"/>
      <c r="G18" s="32"/>
    </row>
    <row r="19" spans="2:7" s="4" customFormat="1" ht="64.5" customHeight="1" x14ac:dyDescent="0.25">
      <c r="B19" s="6">
        <f>B18+1</f>
        <v>12</v>
      </c>
      <c r="C19" s="36" t="s">
        <v>442</v>
      </c>
      <c r="D19" s="21"/>
      <c r="E19" s="19"/>
      <c r="F19" s="20"/>
      <c r="G19" s="32"/>
    </row>
    <row r="20" spans="2:7" s="4" customFormat="1" ht="64.5" customHeight="1" x14ac:dyDescent="0.25">
      <c r="B20" s="35">
        <f>+B19+1</f>
        <v>13</v>
      </c>
      <c r="C20" s="36"/>
      <c r="D20" s="21"/>
      <c r="E20" s="19"/>
      <c r="F20" s="20"/>
      <c r="G20" s="32"/>
    </row>
    <row r="21" spans="2:7" s="4" customFormat="1" ht="64.5" customHeight="1" thickBot="1" x14ac:dyDescent="0.3">
      <c r="B21" s="6">
        <f>B20+1</f>
        <v>14</v>
      </c>
      <c r="C21" s="36"/>
      <c r="D21" s="21"/>
      <c r="E21" s="19"/>
      <c r="F21" s="20"/>
      <c r="G21" s="32"/>
    </row>
    <row r="22" spans="2:7" ht="18.75" thickBot="1" x14ac:dyDescent="0.3">
      <c r="B22" s="245" t="s">
        <v>13</v>
      </c>
      <c r="C22" s="246"/>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15.75" thickBot="1" x14ac:dyDescent="0.3">
      <c r="B27" s="157"/>
      <c r="C27" s="158"/>
      <c r="D27" s="158"/>
      <c r="E27" s="158"/>
      <c r="F27" s="158"/>
      <c r="G27" s="161"/>
    </row>
  </sheetData>
  <sheetProtection selectLockedCells="1"/>
  <mergeCells count="10">
    <mergeCell ref="B23:C27"/>
    <mergeCell ref="D23:F27"/>
    <mergeCell ref="G23:G27"/>
    <mergeCell ref="B3:F3"/>
    <mergeCell ref="D4:F4"/>
    <mergeCell ref="B5:C5"/>
    <mergeCell ref="D5:G5"/>
    <mergeCell ref="E6:F6"/>
    <mergeCell ref="B22:C22"/>
    <mergeCell ref="D22:F22"/>
  </mergeCells>
  <conditionalFormatting sqref="D8:D21">
    <cfRule type="cellIs" dxfId="35" priority="3" operator="equal">
      <formula>3</formula>
    </cfRule>
    <cfRule type="cellIs" dxfId="34"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1"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2">
    <tabColor rgb="FF00B050"/>
    <pageSetUpPr fitToPage="1"/>
  </sheetPr>
  <dimension ref="B1:G26"/>
  <sheetViews>
    <sheetView view="pageBreakPreview" zoomScale="60" zoomScaleNormal="55" zoomScalePageLayoutView="70" workbookViewId="0">
      <selection activeCell="E12" sqref="E12"/>
    </sheetView>
  </sheetViews>
  <sheetFormatPr baseColWidth="10" defaultColWidth="11.42578125" defaultRowHeight="15" x14ac:dyDescent="0.25"/>
  <cols>
    <col min="1" max="1" width="0.28515625" style="1" customWidth="1"/>
    <col min="2" max="2" width="5.7109375" style="1" customWidth="1"/>
    <col min="3" max="3" width="107.425781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54" customHeight="1" thickBot="1" x14ac:dyDescent="0.3">
      <c r="B4" s="14"/>
      <c r="C4" s="15" t="s">
        <v>358</v>
      </c>
      <c r="D4" s="165" t="str">
        <f>+'Line &amp; frequency'!C1</f>
        <v>CHAINE 5</v>
      </c>
      <c r="E4" s="166"/>
      <c r="F4" s="166"/>
      <c r="G4" s="31" t="s">
        <v>699</v>
      </c>
    </row>
    <row r="5" spans="2:7" ht="39.75" customHeight="1" thickBot="1" x14ac:dyDescent="0.3">
      <c r="B5" s="167" t="s">
        <v>170</v>
      </c>
      <c r="C5" s="168"/>
      <c r="D5" s="169" t="s">
        <v>681</v>
      </c>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338</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72" customHeight="1" x14ac:dyDescent="0.25">
      <c r="B16" s="35">
        <f>+B15+1</f>
        <v>9</v>
      </c>
      <c r="C16" s="36" t="s">
        <v>319</v>
      </c>
      <c r="D16" s="21"/>
      <c r="E16" s="19"/>
      <c r="F16" s="20"/>
      <c r="G16" s="32"/>
    </row>
    <row r="17" spans="2:7" s="4" customFormat="1" ht="52.5" customHeight="1" x14ac:dyDescent="0.25">
      <c r="B17" s="6">
        <f>B16+1</f>
        <v>10</v>
      </c>
      <c r="C17" s="36" t="s">
        <v>335</v>
      </c>
      <c r="D17" s="21"/>
      <c r="E17" s="19"/>
      <c r="F17" s="20"/>
      <c r="G17" s="32"/>
    </row>
    <row r="18" spans="2:7" s="4" customFormat="1" ht="93" customHeight="1" x14ac:dyDescent="0.25">
      <c r="B18" s="35">
        <f>+B17+1</f>
        <v>11</v>
      </c>
      <c r="C18" s="36" t="s">
        <v>357</v>
      </c>
      <c r="D18" s="21"/>
      <c r="E18" s="19"/>
      <c r="F18" s="20"/>
      <c r="G18" s="32"/>
    </row>
    <row r="19" spans="2:7" s="4" customFormat="1" ht="64.5" customHeight="1" x14ac:dyDescent="0.25">
      <c r="B19" s="6">
        <f>B18+1</f>
        <v>12</v>
      </c>
      <c r="C19" s="36" t="s">
        <v>442</v>
      </c>
      <c r="D19" s="21"/>
      <c r="E19" s="19"/>
      <c r="F19" s="20"/>
      <c r="G19" s="32"/>
    </row>
    <row r="20" spans="2:7" s="4" customFormat="1" ht="64.5" customHeight="1" thickBot="1" x14ac:dyDescent="0.3">
      <c r="B20" s="35">
        <f>+B19+1</f>
        <v>13</v>
      </c>
      <c r="C20" s="36"/>
      <c r="D20" s="21"/>
      <c r="E20" s="19"/>
      <c r="F20" s="20"/>
      <c r="G20" s="32"/>
    </row>
    <row r="21" spans="2:7" ht="18.75" thickBot="1" x14ac:dyDescent="0.3">
      <c r="B21" s="245" t="s">
        <v>13</v>
      </c>
      <c r="C21" s="246"/>
      <c r="D21" s="175" t="s">
        <v>7</v>
      </c>
      <c r="E21" s="176"/>
      <c r="F21" s="177"/>
      <c r="G21" s="24" t="s">
        <v>8</v>
      </c>
    </row>
    <row r="22" spans="2:7" x14ac:dyDescent="0.25">
      <c r="B22" s="153"/>
      <c r="C22" s="154"/>
      <c r="D22" s="154"/>
      <c r="E22" s="154"/>
      <c r="F22" s="154"/>
      <c r="G22" s="159"/>
    </row>
    <row r="23" spans="2:7" x14ac:dyDescent="0.25">
      <c r="B23" s="155"/>
      <c r="C23" s="156"/>
      <c r="D23" s="156"/>
      <c r="E23" s="156"/>
      <c r="F23" s="156"/>
      <c r="G23" s="160"/>
    </row>
    <row r="24" spans="2:7" x14ac:dyDescent="0.25">
      <c r="B24" s="155"/>
      <c r="C24" s="156"/>
      <c r="D24" s="156"/>
      <c r="E24" s="156"/>
      <c r="F24" s="156"/>
      <c r="G24" s="160"/>
    </row>
    <row r="25" spans="2:7" x14ac:dyDescent="0.25">
      <c r="B25" s="155"/>
      <c r="C25" s="156"/>
      <c r="D25" s="156"/>
      <c r="E25" s="156"/>
      <c r="F25" s="156"/>
      <c r="G25" s="160"/>
    </row>
    <row r="26" spans="2:7" ht="15.75" thickBot="1" x14ac:dyDescent="0.3">
      <c r="B26" s="157"/>
      <c r="C26" s="158"/>
      <c r="D26" s="158"/>
      <c r="E26" s="158"/>
      <c r="F26" s="158"/>
      <c r="G26" s="161"/>
    </row>
  </sheetData>
  <sheetProtection selectLockedCells="1"/>
  <mergeCells count="10">
    <mergeCell ref="B22:C26"/>
    <mergeCell ref="D22:F26"/>
    <mergeCell ref="G22:G26"/>
    <mergeCell ref="B3:F3"/>
    <mergeCell ref="D4:F4"/>
    <mergeCell ref="B5:C5"/>
    <mergeCell ref="D5:G5"/>
    <mergeCell ref="E6:F6"/>
    <mergeCell ref="B21:C21"/>
    <mergeCell ref="D21:F21"/>
  </mergeCells>
  <conditionalFormatting sqref="D8:D20">
    <cfRule type="cellIs" dxfId="33" priority="3" operator="equal">
      <formula>3</formula>
    </cfRule>
    <cfRule type="cellIs" dxfId="32"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1"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3">
    <tabColor rgb="FF00B050"/>
  </sheetPr>
  <dimension ref="B1:G27"/>
  <sheetViews>
    <sheetView view="pageBreakPreview" zoomScale="40" zoomScaleNormal="55" zoomScaleSheetLayoutView="40" zoomScalePageLayoutView="70" workbookViewId="0">
      <selection activeCell="G12" sqref="G12"/>
    </sheetView>
  </sheetViews>
  <sheetFormatPr baseColWidth="10" defaultColWidth="11.42578125" defaultRowHeight="15" x14ac:dyDescent="0.25"/>
  <cols>
    <col min="1" max="1" width="0.28515625" style="1" customWidth="1"/>
    <col min="2" max="2" width="5.7109375" style="1" customWidth="1"/>
    <col min="3" max="3" width="107.425781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54" customHeight="1" thickBot="1" x14ac:dyDescent="0.3">
      <c r="B4" s="14"/>
      <c r="C4" s="15" t="s">
        <v>702</v>
      </c>
      <c r="D4" s="165" t="str">
        <f>+'Line &amp; frequency'!C1</f>
        <v>CHAINE 5</v>
      </c>
      <c r="E4" s="166"/>
      <c r="F4" s="166"/>
      <c r="G4" s="31" t="s">
        <v>698</v>
      </c>
    </row>
    <row r="5" spans="2:7" ht="39.75" customHeight="1" thickBot="1" x14ac:dyDescent="0.3">
      <c r="B5" s="167" t="s">
        <v>170</v>
      </c>
      <c r="C5" s="168"/>
      <c r="D5" s="169" t="s">
        <v>710</v>
      </c>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339</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72" customHeight="1" x14ac:dyDescent="0.25">
      <c r="B16" s="35">
        <f>+B15+1</f>
        <v>9</v>
      </c>
      <c r="C16" s="36" t="s">
        <v>319</v>
      </c>
      <c r="D16" s="21"/>
      <c r="E16" s="19"/>
      <c r="F16" s="20"/>
      <c r="G16" s="32"/>
    </row>
    <row r="17" spans="2:7" s="4" customFormat="1" ht="52.5" customHeight="1" x14ac:dyDescent="0.25">
      <c r="B17" s="6">
        <f>B16+1</f>
        <v>10</v>
      </c>
      <c r="C17" s="36" t="s">
        <v>335</v>
      </c>
      <c r="D17" s="21"/>
      <c r="E17" s="19"/>
      <c r="F17" s="20"/>
      <c r="G17" s="32"/>
    </row>
    <row r="18" spans="2:7" s="4" customFormat="1" ht="93" customHeight="1" x14ac:dyDescent="0.25">
      <c r="B18" s="35">
        <f>+B17+1</f>
        <v>11</v>
      </c>
      <c r="C18" s="36" t="s">
        <v>357</v>
      </c>
      <c r="D18" s="21"/>
      <c r="E18" s="19"/>
      <c r="F18" s="20"/>
      <c r="G18" s="32"/>
    </row>
    <row r="19" spans="2:7" ht="40.5" x14ac:dyDescent="0.25">
      <c r="B19" s="6">
        <f>B18+1</f>
        <v>12</v>
      </c>
      <c r="C19" s="36" t="s">
        <v>442</v>
      </c>
      <c r="D19" s="22"/>
      <c r="E19" s="7"/>
      <c r="F19" s="8"/>
      <c r="G19" s="33"/>
    </row>
    <row r="20" spans="2:7" ht="20.25" x14ac:dyDescent="0.25">
      <c r="B20" s="35">
        <f>+B19+1</f>
        <v>13</v>
      </c>
      <c r="C20" s="37"/>
      <c r="D20" s="38"/>
      <c r="E20" s="39"/>
      <c r="F20" s="40"/>
      <c r="G20" s="41"/>
    </row>
    <row r="21" spans="2:7" ht="21" thickBot="1" x14ac:dyDescent="0.3">
      <c r="B21" s="6">
        <f>B20+1</f>
        <v>14</v>
      </c>
      <c r="C21" s="18"/>
      <c r="D21" s="23"/>
      <c r="E21" s="10"/>
      <c r="F21" s="11"/>
      <c r="G21" s="34"/>
    </row>
    <row r="22" spans="2:7" ht="18.75" thickBot="1" x14ac:dyDescent="0.3">
      <c r="B22" s="245" t="s">
        <v>13</v>
      </c>
      <c r="C22" s="246"/>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15.75" thickBot="1" x14ac:dyDescent="0.3">
      <c r="B27" s="157"/>
      <c r="C27" s="158"/>
      <c r="D27" s="158"/>
      <c r="E27" s="158"/>
      <c r="F27" s="158"/>
      <c r="G27" s="161"/>
    </row>
  </sheetData>
  <sheetProtection selectLockedCells="1"/>
  <mergeCells count="10">
    <mergeCell ref="B23:C27"/>
    <mergeCell ref="D23:F27"/>
    <mergeCell ref="G23:G27"/>
    <mergeCell ref="B3:F3"/>
    <mergeCell ref="D4:F4"/>
    <mergeCell ref="B5:C5"/>
    <mergeCell ref="D5:G5"/>
    <mergeCell ref="E6:F6"/>
    <mergeCell ref="B22:C22"/>
    <mergeCell ref="D22:F22"/>
  </mergeCells>
  <conditionalFormatting sqref="D8:D21">
    <cfRule type="cellIs" dxfId="31" priority="3" operator="equal">
      <formula>3</formula>
    </cfRule>
    <cfRule type="cellIs" dxfId="30"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45"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4">
    <tabColor rgb="FF00B050"/>
  </sheetPr>
  <dimension ref="B1:G27"/>
  <sheetViews>
    <sheetView view="pageBreakPreview" zoomScale="55" zoomScaleNormal="55" zoomScaleSheetLayoutView="55" zoomScalePageLayoutView="70" workbookViewId="0">
      <selection activeCell="D12" sqref="D12"/>
    </sheetView>
  </sheetViews>
  <sheetFormatPr baseColWidth="10" defaultColWidth="11.42578125" defaultRowHeight="15" x14ac:dyDescent="0.25"/>
  <cols>
    <col min="1" max="1" width="0.28515625" style="1" customWidth="1"/>
    <col min="2" max="2" width="5.7109375" style="1" customWidth="1"/>
    <col min="3" max="3" width="110"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54" customHeight="1" thickBot="1" x14ac:dyDescent="0.3">
      <c r="B4" s="14"/>
      <c r="C4" s="15" t="s">
        <v>703</v>
      </c>
      <c r="D4" s="165" t="str">
        <f>+'Line &amp; frequency'!C1</f>
        <v>CHAINE 5</v>
      </c>
      <c r="E4" s="166"/>
      <c r="F4" s="166"/>
      <c r="G4" s="31" t="s">
        <v>709</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341</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65.25" customHeight="1" x14ac:dyDescent="0.25">
      <c r="B16" s="35">
        <f>+B15+1</f>
        <v>9</v>
      </c>
      <c r="C16" s="36" t="s">
        <v>319</v>
      </c>
      <c r="D16" s="21"/>
      <c r="E16" s="19"/>
      <c r="F16" s="20"/>
      <c r="G16" s="32"/>
    </row>
    <row r="17" spans="2:7" s="4" customFormat="1" ht="48.75" customHeight="1" x14ac:dyDescent="0.25">
      <c r="B17" s="6">
        <f>B16+1</f>
        <v>10</v>
      </c>
      <c r="C17" s="36" t="s">
        <v>335</v>
      </c>
      <c r="D17" s="21"/>
      <c r="E17" s="19"/>
      <c r="F17" s="20"/>
      <c r="G17" s="32"/>
    </row>
    <row r="18" spans="2:7" s="4" customFormat="1" ht="71.25" customHeight="1" x14ac:dyDescent="0.25">
      <c r="B18" s="35">
        <f>+B17+1</f>
        <v>11</v>
      </c>
      <c r="C18" s="36" t="s">
        <v>357</v>
      </c>
      <c r="D18" s="21"/>
      <c r="E18" s="19"/>
      <c r="F18" s="20"/>
      <c r="G18" s="32"/>
    </row>
    <row r="19" spans="2:7" ht="40.5" x14ac:dyDescent="0.25">
      <c r="B19" s="6">
        <f>B18+1</f>
        <v>12</v>
      </c>
      <c r="C19" s="36" t="s">
        <v>442</v>
      </c>
      <c r="D19" s="22"/>
      <c r="E19" s="7"/>
      <c r="F19" s="8"/>
      <c r="G19" s="33"/>
    </row>
    <row r="20" spans="2:7" ht="50.25" customHeight="1" x14ac:dyDescent="0.25">
      <c r="B20" s="35">
        <f>+B19+1</f>
        <v>13</v>
      </c>
      <c r="C20" s="104" t="s">
        <v>562</v>
      </c>
      <c r="D20" s="38"/>
      <c r="E20" s="39"/>
      <c r="F20" s="40"/>
      <c r="G20" s="41"/>
    </row>
    <row r="21" spans="2:7" ht="21" thickBot="1" x14ac:dyDescent="0.3">
      <c r="B21" s="6">
        <f>B20+1</f>
        <v>14</v>
      </c>
      <c r="C21" s="18"/>
      <c r="D21" s="23"/>
      <c r="E21" s="10"/>
      <c r="F21" s="11"/>
      <c r="G21" s="34"/>
    </row>
    <row r="22" spans="2:7" ht="18.75" thickBot="1" x14ac:dyDescent="0.3">
      <c r="B22" s="245" t="s">
        <v>13</v>
      </c>
      <c r="C22" s="246"/>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15.75" thickBot="1" x14ac:dyDescent="0.3">
      <c r="B27" s="157"/>
      <c r="C27" s="158"/>
      <c r="D27" s="158"/>
      <c r="E27" s="158"/>
      <c r="F27" s="158"/>
      <c r="G27" s="161"/>
    </row>
  </sheetData>
  <sheetProtection selectLockedCells="1"/>
  <mergeCells count="10">
    <mergeCell ref="B23:C27"/>
    <mergeCell ref="D23:F27"/>
    <mergeCell ref="G23:G27"/>
    <mergeCell ref="B3:F3"/>
    <mergeCell ref="D4:F4"/>
    <mergeCell ref="B5:C5"/>
    <mergeCell ref="D5:G5"/>
    <mergeCell ref="E6:F6"/>
    <mergeCell ref="B22:C22"/>
    <mergeCell ref="D22:F22"/>
  </mergeCells>
  <conditionalFormatting sqref="D8:D21">
    <cfRule type="cellIs" dxfId="29" priority="1" operator="equal">
      <formula>3</formula>
    </cfRule>
    <cfRule type="cellIs" dxfId="28"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45"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5">
    <tabColor rgb="FF00B050"/>
  </sheetPr>
  <dimension ref="B1:G27"/>
  <sheetViews>
    <sheetView view="pageBreakPreview" zoomScale="55" zoomScaleNormal="55" zoomScaleSheetLayoutView="55" zoomScalePageLayoutView="70" workbookViewId="0">
      <selection activeCell="G8" sqref="G8"/>
    </sheetView>
  </sheetViews>
  <sheetFormatPr baseColWidth="10" defaultColWidth="11.42578125" defaultRowHeight="15" x14ac:dyDescent="0.25"/>
  <cols>
    <col min="1" max="1" width="0.28515625" style="1" customWidth="1"/>
    <col min="2" max="2" width="5.7109375" style="1" customWidth="1"/>
    <col min="3" max="3" width="110"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54" customHeight="1" thickBot="1" x14ac:dyDescent="0.3">
      <c r="B4" s="14"/>
      <c r="C4" s="15" t="s">
        <v>697</v>
      </c>
      <c r="D4" s="165" t="str">
        <f>+'Line &amp; frequency'!C1</f>
        <v>CHAINE 5</v>
      </c>
      <c r="E4" s="166"/>
      <c r="F4" s="166"/>
      <c r="G4" s="31" t="s">
        <v>698</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356</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65.25" customHeight="1" x14ac:dyDescent="0.25">
      <c r="B16" s="35">
        <f>+B15+1</f>
        <v>9</v>
      </c>
      <c r="C16" s="36" t="s">
        <v>319</v>
      </c>
      <c r="D16" s="21"/>
      <c r="E16" s="19"/>
      <c r="F16" s="20"/>
      <c r="G16" s="32"/>
    </row>
    <row r="17" spans="2:7" s="4" customFormat="1" ht="56.25" customHeight="1" x14ac:dyDescent="0.25">
      <c r="B17" s="6">
        <f>B16+1</f>
        <v>10</v>
      </c>
      <c r="C17" s="36" t="s">
        <v>335</v>
      </c>
      <c r="D17" s="21"/>
      <c r="E17" s="19"/>
      <c r="F17" s="20"/>
      <c r="G17" s="32"/>
    </row>
    <row r="18" spans="2:7" s="4" customFormat="1" ht="71.25" customHeight="1" x14ac:dyDescent="0.25">
      <c r="B18" s="35">
        <f>+B17+1</f>
        <v>11</v>
      </c>
      <c r="C18" s="36" t="s">
        <v>357</v>
      </c>
      <c r="D18" s="21"/>
      <c r="E18" s="19"/>
      <c r="F18" s="20"/>
      <c r="G18" s="32"/>
    </row>
    <row r="19" spans="2:7" ht="40.5" x14ac:dyDescent="0.25">
      <c r="B19" s="6">
        <f>B18+1</f>
        <v>12</v>
      </c>
      <c r="C19" s="36" t="s">
        <v>442</v>
      </c>
      <c r="D19" s="22"/>
      <c r="E19" s="7"/>
      <c r="F19" s="8"/>
      <c r="G19" s="33"/>
    </row>
    <row r="20" spans="2:7" ht="20.25" x14ac:dyDescent="0.25">
      <c r="B20" s="35">
        <f>+B19+1</f>
        <v>13</v>
      </c>
      <c r="C20" s="37"/>
      <c r="D20" s="38"/>
      <c r="E20" s="39"/>
      <c r="F20" s="40"/>
      <c r="G20" s="41"/>
    </row>
    <row r="21" spans="2:7" ht="21" thickBot="1" x14ac:dyDescent="0.3">
      <c r="B21" s="6">
        <f>B20+1</f>
        <v>14</v>
      </c>
      <c r="C21" s="18"/>
      <c r="D21" s="23"/>
      <c r="E21" s="10"/>
      <c r="F21" s="11"/>
      <c r="G21" s="34"/>
    </row>
    <row r="22" spans="2:7" ht="18.75" thickBot="1" x14ac:dyDescent="0.3">
      <c r="B22" s="245" t="s">
        <v>13</v>
      </c>
      <c r="C22" s="246"/>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15.75" thickBot="1" x14ac:dyDescent="0.3">
      <c r="B27" s="157"/>
      <c r="C27" s="158"/>
      <c r="D27" s="158"/>
      <c r="E27" s="158"/>
      <c r="F27" s="158"/>
      <c r="G27" s="161"/>
    </row>
  </sheetData>
  <sheetProtection selectLockedCells="1"/>
  <mergeCells count="10">
    <mergeCell ref="B23:C27"/>
    <mergeCell ref="D23:F27"/>
    <mergeCell ref="G23:G27"/>
    <mergeCell ref="B3:F3"/>
    <mergeCell ref="D4:F4"/>
    <mergeCell ref="B5:C5"/>
    <mergeCell ref="D5:G5"/>
    <mergeCell ref="E6:F6"/>
    <mergeCell ref="B22:C22"/>
    <mergeCell ref="D22:F22"/>
  </mergeCells>
  <conditionalFormatting sqref="D8:D21">
    <cfRule type="cellIs" dxfId="27" priority="1" operator="equal">
      <formula>3</formula>
    </cfRule>
    <cfRule type="cellIs" dxfId="26"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45"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42">
    <tabColor rgb="FFC00000"/>
    <pageSetUpPr fitToPage="1"/>
  </sheetPr>
  <dimension ref="B1:G28"/>
  <sheetViews>
    <sheetView view="pageBreakPreview" zoomScale="60" zoomScaleNormal="55" zoomScalePageLayoutView="70" workbookViewId="0">
      <selection activeCell="G12" sqref="G12"/>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311</v>
      </c>
      <c r="D4" s="165" t="str">
        <f>+'Line &amp; frequency'!C1</f>
        <v>CHAINE 5</v>
      </c>
      <c r="E4" s="166"/>
      <c r="F4" s="166"/>
      <c r="G4" s="31" t="s">
        <v>699</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71.25" customHeight="1" x14ac:dyDescent="0.25">
      <c r="B8" s="5">
        <v>1</v>
      </c>
      <c r="C8" s="16" t="s">
        <v>312</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74.25" customHeight="1" x14ac:dyDescent="0.25">
      <c r="B16" s="35">
        <f>+B15+1</f>
        <v>9</v>
      </c>
      <c r="C16" s="36" t="s">
        <v>319</v>
      </c>
      <c r="D16" s="21"/>
      <c r="E16" s="19"/>
      <c r="F16" s="20"/>
      <c r="G16" s="32"/>
    </row>
    <row r="17" spans="2:7" s="4" customFormat="1" ht="64.5" customHeight="1" x14ac:dyDescent="0.25">
      <c r="B17" s="6">
        <f>B16+1</f>
        <v>10</v>
      </c>
      <c r="C17" s="36" t="s">
        <v>317</v>
      </c>
      <c r="D17" s="21"/>
      <c r="E17" s="19"/>
      <c r="F17" s="20"/>
      <c r="G17" s="32"/>
    </row>
    <row r="18" spans="2:7" s="4" customFormat="1" ht="53.25" customHeight="1" x14ac:dyDescent="0.25">
      <c r="B18" s="35">
        <f>+B17+1</f>
        <v>11</v>
      </c>
      <c r="C18" s="36" t="s">
        <v>335</v>
      </c>
      <c r="D18" s="21"/>
      <c r="E18" s="19"/>
      <c r="F18" s="20"/>
      <c r="G18" s="32"/>
    </row>
    <row r="19" spans="2:7" s="4" customFormat="1" ht="64.5" customHeight="1" x14ac:dyDescent="0.25">
      <c r="B19" s="6">
        <f>B18+1</f>
        <v>12</v>
      </c>
      <c r="C19" s="36" t="s">
        <v>442</v>
      </c>
      <c r="D19" s="21"/>
      <c r="E19" s="19"/>
      <c r="F19" s="20"/>
      <c r="G19" s="32"/>
    </row>
    <row r="20" spans="2:7" s="4" customFormat="1" ht="64.5" customHeight="1" x14ac:dyDescent="0.25">
      <c r="B20" s="35">
        <f>+B19+1</f>
        <v>13</v>
      </c>
      <c r="C20" s="36"/>
      <c r="D20" s="21"/>
      <c r="E20" s="19"/>
      <c r="F20" s="20"/>
      <c r="G20" s="32"/>
    </row>
    <row r="21" spans="2:7" s="4" customFormat="1" ht="64.5" customHeight="1" x14ac:dyDescent="0.25">
      <c r="B21" s="6">
        <f>B20+1</f>
        <v>14</v>
      </c>
      <c r="C21" s="36"/>
      <c r="D21" s="21"/>
      <c r="E21" s="19"/>
      <c r="F21" s="20"/>
      <c r="G21" s="32"/>
    </row>
    <row r="22" spans="2:7" ht="21" thickBot="1" x14ac:dyDescent="0.3">
      <c r="B22" s="6" t="e">
        <f>#REF!+1</f>
        <v>#REF!</v>
      </c>
      <c r="C22" s="18"/>
      <c r="D22" s="23"/>
      <c r="E22" s="10"/>
      <c r="F22" s="11"/>
      <c r="G22" s="34"/>
    </row>
    <row r="23" spans="2:7" ht="18.75" thickBot="1" x14ac:dyDescent="0.3">
      <c r="B23" s="245" t="s">
        <v>13</v>
      </c>
      <c r="C23" s="246"/>
      <c r="D23" s="175" t="s">
        <v>7</v>
      </c>
      <c r="E23" s="176"/>
      <c r="F23" s="177"/>
      <c r="G23" s="24" t="s">
        <v>8</v>
      </c>
    </row>
    <row r="24" spans="2:7" x14ac:dyDescent="0.25">
      <c r="B24" s="153"/>
      <c r="C24" s="154"/>
      <c r="D24" s="154"/>
      <c r="E24" s="154"/>
      <c r="F24" s="154"/>
      <c r="G24" s="159"/>
    </row>
    <row r="25" spans="2:7" x14ac:dyDescent="0.25">
      <c r="B25" s="155"/>
      <c r="C25" s="156"/>
      <c r="D25" s="156"/>
      <c r="E25" s="156"/>
      <c r="F25" s="156"/>
      <c r="G25" s="160"/>
    </row>
    <row r="26" spans="2:7" x14ac:dyDescent="0.25">
      <c r="B26" s="155"/>
      <c r="C26" s="156"/>
      <c r="D26" s="156"/>
      <c r="E26" s="156"/>
      <c r="F26" s="156"/>
      <c r="G26" s="160"/>
    </row>
    <row r="27" spans="2:7" x14ac:dyDescent="0.25">
      <c r="B27" s="155"/>
      <c r="C27" s="156"/>
      <c r="D27" s="156"/>
      <c r="E27" s="156"/>
      <c r="F27" s="156"/>
      <c r="G27" s="160"/>
    </row>
    <row r="28" spans="2:7" ht="15.75" thickBot="1" x14ac:dyDescent="0.3">
      <c r="B28" s="157"/>
      <c r="C28" s="158"/>
      <c r="D28" s="158"/>
      <c r="E28" s="158"/>
      <c r="F28" s="158"/>
      <c r="G28" s="161"/>
    </row>
  </sheetData>
  <sheetProtection selectLockedCells="1"/>
  <mergeCells count="10">
    <mergeCell ref="G24:G28"/>
    <mergeCell ref="B3:F3"/>
    <mergeCell ref="D4:F4"/>
    <mergeCell ref="E6:F6"/>
    <mergeCell ref="B23:C23"/>
    <mergeCell ref="D23:F23"/>
    <mergeCell ref="B24:C28"/>
    <mergeCell ref="D24:F28"/>
    <mergeCell ref="B5:C5"/>
    <mergeCell ref="D5:G5"/>
  </mergeCells>
  <conditionalFormatting sqref="D8:D22">
    <cfRule type="cellIs" dxfId="25" priority="3" operator="equal">
      <formula>3</formula>
    </cfRule>
    <cfRule type="cellIs" dxfId="24"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6"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0">
    <tabColor rgb="FFC00000"/>
  </sheetPr>
  <dimension ref="B1:G30"/>
  <sheetViews>
    <sheetView view="pageBreakPreview" zoomScale="55" zoomScaleNormal="55" zoomScaleSheetLayoutView="55" zoomScalePageLayoutView="70" workbookViewId="0">
      <selection activeCell="E11" sqref="E11"/>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304</v>
      </c>
      <c r="D4" s="165" t="str">
        <f>+'Line &amp; frequency'!C1</f>
        <v>CHAINE 5</v>
      </c>
      <c r="E4" s="166"/>
      <c r="F4" s="166"/>
      <c r="G4" s="31" t="str">
        <f>+'Line &amp; frequency'!C2</f>
        <v>HEBDOMADAIRE</v>
      </c>
    </row>
    <row r="5" spans="2:7" ht="27" customHeight="1" thickBot="1" x14ac:dyDescent="0.3">
      <c r="B5" s="167" t="s">
        <v>170</v>
      </c>
      <c r="C5" s="168"/>
      <c r="D5" s="169"/>
      <c r="E5" s="170"/>
      <c r="F5" s="170"/>
      <c r="G5" s="191"/>
    </row>
    <row r="6" spans="2:7" ht="20.25" customHeight="1" thickBot="1" x14ac:dyDescent="0.3">
      <c r="C6" s="100"/>
      <c r="E6" s="171" t="s">
        <v>0</v>
      </c>
      <c r="F6" s="172"/>
      <c r="G6" s="100"/>
    </row>
    <row r="7" spans="2:7" s="4" customFormat="1" ht="24" customHeight="1" thickBot="1" x14ac:dyDescent="0.3">
      <c r="B7" s="25" t="s">
        <v>1</v>
      </c>
      <c r="C7" s="26" t="s">
        <v>2</v>
      </c>
      <c r="D7" s="27" t="s">
        <v>3</v>
      </c>
      <c r="E7" s="29" t="s">
        <v>4</v>
      </c>
      <c r="F7" s="30" t="s">
        <v>5</v>
      </c>
      <c r="G7" s="28" t="s">
        <v>6</v>
      </c>
    </row>
    <row r="8" spans="2:7" s="4" customFormat="1" ht="64.5" customHeight="1" x14ac:dyDescent="0.25">
      <c r="B8" s="5">
        <v>1</v>
      </c>
      <c r="C8" s="16" t="s">
        <v>301</v>
      </c>
      <c r="D8" s="21"/>
      <c r="E8" s="19"/>
      <c r="F8" s="20"/>
      <c r="G8" s="32"/>
    </row>
    <row r="9" spans="2:7" s="4" customFormat="1" ht="59.25" customHeight="1" x14ac:dyDescent="0.25">
      <c r="B9" s="6">
        <f>B8+1</f>
        <v>2</v>
      </c>
      <c r="C9" s="36" t="s">
        <v>310</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 t="shared" ref="B14:B19" si="0">+B13+1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64.5" customHeight="1" x14ac:dyDescent="0.25">
      <c r="B16" s="35">
        <f t="shared" si="0"/>
        <v>9</v>
      </c>
      <c r="C16" s="36" t="s">
        <v>319</v>
      </c>
      <c r="D16" s="21"/>
      <c r="E16" s="19"/>
      <c r="F16" s="20"/>
      <c r="G16" s="32"/>
    </row>
    <row r="17" spans="2:7" s="4" customFormat="1" ht="64.5" customHeight="1" x14ac:dyDescent="0.25">
      <c r="B17" s="6">
        <f>B16+1</f>
        <v>10</v>
      </c>
      <c r="C17" s="36" t="s">
        <v>317</v>
      </c>
      <c r="D17" s="21"/>
      <c r="E17" s="19"/>
      <c r="F17" s="20"/>
      <c r="G17" s="32"/>
    </row>
    <row r="18" spans="2:7" s="4" customFormat="1" ht="97.5" customHeight="1" x14ac:dyDescent="0.25">
      <c r="B18" s="35">
        <f t="shared" si="0"/>
        <v>11</v>
      </c>
      <c r="C18" s="36" t="s">
        <v>308</v>
      </c>
      <c r="D18" s="21"/>
      <c r="E18" s="19"/>
      <c r="F18" s="20"/>
      <c r="G18" s="32"/>
    </row>
    <row r="19" spans="2:7" s="4" customFormat="1" ht="64.5" customHeight="1" x14ac:dyDescent="0.25">
      <c r="B19" s="35">
        <f t="shared" si="0"/>
        <v>12</v>
      </c>
      <c r="C19" s="36" t="s">
        <v>335</v>
      </c>
      <c r="D19" s="21"/>
      <c r="E19" s="19"/>
      <c r="F19" s="20"/>
      <c r="G19" s="32"/>
    </row>
    <row r="20" spans="2:7" s="4" customFormat="1" ht="64.5" customHeight="1" x14ac:dyDescent="0.25">
      <c r="B20" s="35">
        <f>+B19+1</f>
        <v>13</v>
      </c>
      <c r="C20" s="36" t="s">
        <v>442</v>
      </c>
      <c r="D20" s="21"/>
      <c r="E20" s="19"/>
      <c r="F20" s="20"/>
      <c r="G20" s="32"/>
    </row>
    <row r="21" spans="2:7" s="4" customFormat="1" ht="64.5" customHeight="1" x14ac:dyDescent="0.25">
      <c r="B21" s="35" t="e">
        <f>+#REF!+1</f>
        <v>#REF!</v>
      </c>
      <c r="C21" s="36"/>
      <c r="D21" s="21"/>
      <c r="E21" s="19"/>
      <c r="F21" s="20"/>
      <c r="G21" s="32"/>
    </row>
    <row r="22" spans="2:7" ht="20.25" x14ac:dyDescent="0.25">
      <c r="B22" s="6" t="e">
        <f>B21+1</f>
        <v>#REF!</v>
      </c>
      <c r="C22" s="17"/>
      <c r="D22" s="22"/>
      <c r="E22" s="7"/>
      <c r="F22" s="8"/>
      <c r="G22" s="33"/>
    </row>
    <row r="23" spans="2:7" ht="20.25" x14ac:dyDescent="0.25">
      <c r="B23" s="35" t="e">
        <f>+B22+1</f>
        <v>#REF!</v>
      </c>
      <c r="C23" s="37"/>
      <c r="D23" s="38"/>
      <c r="E23" s="39"/>
      <c r="F23" s="40"/>
      <c r="G23" s="41"/>
    </row>
    <row r="24" spans="2:7" ht="21" thickBot="1" x14ac:dyDescent="0.3">
      <c r="B24" s="6" t="e">
        <f>B23+1</f>
        <v>#REF!</v>
      </c>
      <c r="C24" s="18"/>
      <c r="D24" s="23"/>
      <c r="E24" s="10"/>
      <c r="F24" s="11"/>
      <c r="G24" s="34"/>
    </row>
    <row r="25" spans="2:7" ht="18.75" thickBot="1" x14ac:dyDescent="0.3">
      <c r="B25" s="245" t="s">
        <v>13</v>
      </c>
      <c r="C25" s="246"/>
      <c r="D25" s="175" t="s">
        <v>7</v>
      </c>
      <c r="E25" s="176"/>
      <c r="F25" s="177"/>
      <c r="G25" s="24" t="s">
        <v>8</v>
      </c>
    </row>
    <row r="26" spans="2:7" x14ac:dyDescent="0.25">
      <c r="B26" s="153"/>
      <c r="C26" s="154"/>
      <c r="D26" s="154"/>
      <c r="E26" s="154"/>
      <c r="F26" s="154"/>
      <c r="G26" s="159"/>
    </row>
    <row r="27" spans="2:7" x14ac:dyDescent="0.25">
      <c r="B27" s="155"/>
      <c r="C27" s="156"/>
      <c r="D27" s="156"/>
      <c r="E27" s="156"/>
      <c r="F27" s="156"/>
      <c r="G27" s="160"/>
    </row>
    <row r="28" spans="2:7" x14ac:dyDescent="0.25">
      <c r="B28" s="155"/>
      <c r="C28" s="156"/>
      <c r="D28" s="156"/>
      <c r="E28" s="156"/>
      <c r="F28" s="156"/>
      <c r="G28" s="160"/>
    </row>
    <row r="29" spans="2:7" x14ac:dyDescent="0.25">
      <c r="B29" s="155"/>
      <c r="C29" s="156"/>
      <c r="D29" s="156"/>
      <c r="E29" s="156"/>
      <c r="F29" s="156"/>
      <c r="G29" s="160"/>
    </row>
    <row r="30" spans="2:7" ht="15.75" thickBot="1" x14ac:dyDescent="0.3">
      <c r="B30" s="157"/>
      <c r="C30" s="158"/>
      <c r="D30" s="158"/>
      <c r="E30" s="158"/>
      <c r="F30" s="158"/>
      <c r="G30" s="161"/>
    </row>
  </sheetData>
  <sheetProtection selectLockedCells="1"/>
  <mergeCells count="10">
    <mergeCell ref="B26:C30"/>
    <mergeCell ref="D26:F30"/>
    <mergeCell ref="G26:G30"/>
    <mergeCell ref="B3:F3"/>
    <mergeCell ref="D4:F4"/>
    <mergeCell ref="E6:F6"/>
    <mergeCell ref="B25:C25"/>
    <mergeCell ref="D25:F25"/>
    <mergeCell ref="D5:G5"/>
    <mergeCell ref="B5:C5"/>
  </mergeCells>
  <conditionalFormatting sqref="D8:D24">
    <cfRule type="cellIs" dxfId="23" priority="3" operator="equal">
      <formula>3</formula>
    </cfRule>
    <cfRule type="cellIs" dxfId="22"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45"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3">
    <tabColor rgb="FFC00000"/>
    <pageSetUpPr fitToPage="1"/>
  </sheetPr>
  <dimension ref="B1:G27"/>
  <sheetViews>
    <sheetView view="pageBreakPreview" zoomScale="60" zoomScaleNormal="55" zoomScalePageLayoutView="70" workbookViewId="0">
      <selection activeCell="G11" sqref="G11"/>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314</v>
      </c>
      <c r="D4" s="165" t="str">
        <f>+'Line &amp; frequency'!C1</f>
        <v>CHAINE 5</v>
      </c>
      <c r="E4" s="166"/>
      <c r="F4" s="166"/>
      <c r="G4" s="31" t="s">
        <v>699</v>
      </c>
    </row>
    <row r="5" spans="2:7" ht="39.75" customHeight="1" thickBot="1" x14ac:dyDescent="0.3">
      <c r="B5" s="167" t="s">
        <v>170</v>
      </c>
      <c r="C5" s="168"/>
      <c r="D5" s="169" t="s">
        <v>717</v>
      </c>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96" customHeight="1" x14ac:dyDescent="0.25">
      <c r="B8" s="5">
        <v>1</v>
      </c>
      <c r="C8" s="16" t="s">
        <v>313</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77.25" customHeight="1" x14ac:dyDescent="0.25">
      <c r="B16" s="35">
        <f>+B15+1</f>
        <v>9</v>
      </c>
      <c r="C16" s="36" t="s">
        <v>319</v>
      </c>
      <c r="D16" s="21"/>
      <c r="E16" s="19"/>
      <c r="F16" s="20"/>
      <c r="G16" s="32"/>
    </row>
    <row r="17" spans="2:7" s="4" customFormat="1" ht="64.5" customHeight="1" x14ac:dyDescent="0.25">
      <c r="B17" s="6">
        <f>B16+1</f>
        <v>10</v>
      </c>
      <c r="C17" s="36" t="s">
        <v>317</v>
      </c>
      <c r="D17" s="21"/>
      <c r="E17" s="19"/>
      <c r="F17" s="20"/>
      <c r="G17" s="32"/>
    </row>
    <row r="18" spans="2:7" s="4" customFormat="1" ht="64.5" customHeight="1" x14ac:dyDescent="0.25">
      <c r="B18" s="35">
        <f>+B17+1</f>
        <v>11</v>
      </c>
      <c r="C18" s="36" t="s">
        <v>335</v>
      </c>
      <c r="D18" s="21"/>
      <c r="E18" s="19"/>
      <c r="F18" s="20"/>
      <c r="G18" s="32"/>
    </row>
    <row r="19" spans="2:7" s="4" customFormat="1" ht="64.5" customHeight="1" x14ac:dyDescent="0.25">
      <c r="B19" s="6">
        <f>B18+1</f>
        <v>12</v>
      </c>
      <c r="C19" s="36" t="s">
        <v>442</v>
      </c>
      <c r="D19" s="21"/>
      <c r="E19" s="19"/>
      <c r="F19" s="20"/>
      <c r="G19" s="32"/>
    </row>
    <row r="20" spans="2:7" ht="20.25" x14ac:dyDescent="0.25">
      <c r="B20" s="35">
        <f>+B19+1</f>
        <v>13</v>
      </c>
      <c r="C20" s="37"/>
      <c r="D20" s="38"/>
      <c r="E20" s="39"/>
      <c r="F20" s="40"/>
      <c r="G20" s="41"/>
    </row>
    <row r="21" spans="2:7" ht="21" thickBot="1" x14ac:dyDescent="0.3">
      <c r="B21" s="6">
        <f>B20+1</f>
        <v>14</v>
      </c>
      <c r="C21" s="18"/>
      <c r="D21" s="23"/>
      <c r="E21" s="10"/>
      <c r="F21" s="11"/>
      <c r="G21" s="34"/>
    </row>
    <row r="22" spans="2:7" ht="18.75" thickBot="1" x14ac:dyDescent="0.3">
      <c r="B22" s="245" t="s">
        <v>13</v>
      </c>
      <c r="C22" s="246"/>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15.75" thickBot="1" x14ac:dyDescent="0.3">
      <c r="B27" s="157"/>
      <c r="C27" s="158"/>
      <c r="D27" s="158"/>
      <c r="E27" s="158"/>
      <c r="F27" s="158"/>
      <c r="G27" s="161"/>
    </row>
  </sheetData>
  <sheetProtection selectLockedCells="1"/>
  <mergeCells count="10">
    <mergeCell ref="G23:G27"/>
    <mergeCell ref="B3:F3"/>
    <mergeCell ref="D4:F4"/>
    <mergeCell ref="E6:F6"/>
    <mergeCell ref="B22:C22"/>
    <mergeCell ref="D22:F22"/>
    <mergeCell ref="B23:C27"/>
    <mergeCell ref="D23:F27"/>
    <mergeCell ref="B5:C5"/>
    <mergeCell ref="D5:G5"/>
  </mergeCells>
  <conditionalFormatting sqref="D8:D21">
    <cfRule type="cellIs" dxfId="21" priority="3" operator="equal">
      <formula>3</formula>
    </cfRule>
    <cfRule type="cellIs" dxfId="20"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6"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4">
    <tabColor rgb="FFC00000"/>
    <pageSetUpPr fitToPage="1"/>
  </sheetPr>
  <dimension ref="B1:G28"/>
  <sheetViews>
    <sheetView view="pageBreakPreview" zoomScale="60" zoomScaleNormal="55" zoomScalePageLayoutView="70" workbookViewId="0">
      <selection activeCell="E11" sqref="E11"/>
    </sheetView>
  </sheetViews>
  <sheetFormatPr baseColWidth="10" defaultColWidth="11.42578125" defaultRowHeight="15" x14ac:dyDescent="0.25"/>
  <cols>
    <col min="1" max="1" width="0.28515625" style="1" customWidth="1"/>
    <col min="2" max="2" width="5.7109375" style="1" customWidth="1"/>
    <col min="3" max="3" width="96.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363</v>
      </c>
      <c r="D4" s="165" t="str">
        <f>+'Line &amp; frequency'!C1</f>
        <v>CHAINE 5</v>
      </c>
      <c r="E4" s="166"/>
      <c r="F4" s="166"/>
      <c r="G4" s="31" t="s">
        <v>699</v>
      </c>
    </row>
    <row r="5" spans="2:7" ht="39.75" customHeight="1" thickBot="1" x14ac:dyDescent="0.3">
      <c r="B5" s="167" t="s">
        <v>170</v>
      </c>
      <c r="C5" s="168"/>
      <c r="D5" s="169" t="s">
        <v>705</v>
      </c>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316</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63.75" customHeight="1" x14ac:dyDescent="0.25">
      <c r="B16" s="35">
        <f>+B15+1</f>
        <v>9</v>
      </c>
      <c r="C16" s="36" t="s">
        <v>319</v>
      </c>
      <c r="D16" s="21"/>
      <c r="E16" s="19"/>
      <c r="F16" s="20"/>
      <c r="G16" s="32"/>
    </row>
    <row r="17" spans="2:7" s="4" customFormat="1" ht="64.5" customHeight="1" x14ac:dyDescent="0.25">
      <c r="B17" s="6">
        <f>B16+1</f>
        <v>10</v>
      </c>
      <c r="C17" s="36" t="s">
        <v>317</v>
      </c>
      <c r="D17" s="21"/>
      <c r="E17" s="19"/>
      <c r="F17" s="20"/>
      <c r="G17" s="32"/>
    </row>
    <row r="18" spans="2:7" s="4" customFormat="1" ht="64.5" customHeight="1" x14ac:dyDescent="0.25">
      <c r="B18" s="35">
        <f>+B17+1</f>
        <v>11</v>
      </c>
      <c r="C18" s="36" t="s">
        <v>318</v>
      </c>
      <c r="D18" s="21"/>
      <c r="E18" s="19"/>
      <c r="F18" s="20"/>
      <c r="G18" s="32"/>
    </row>
    <row r="19" spans="2:7" s="4" customFormat="1" ht="64.5" customHeight="1" x14ac:dyDescent="0.25">
      <c r="B19" s="6">
        <f>B18+1</f>
        <v>12</v>
      </c>
      <c r="C19" s="36" t="s">
        <v>335</v>
      </c>
      <c r="D19" s="21"/>
      <c r="E19" s="19"/>
      <c r="F19" s="20"/>
      <c r="G19" s="32"/>
    </row>
    <row r="20" spans="2:7" s="4" customFormat="1" ht="64.5" customHeight="1" x14ac:dyDescent="0.25">
      <c r="B20" s="35">
        <f>+B19+1</f>
        <v>13</v>
      </c>
      <c r="C20" s="36" t="s">
        <v>442</v>
      </c>
      <c r="D20" s="21"/>
      <c r="E20" s="19"/>
      <c r="F20" s="20"/>
      <c r="G20" s="32"/>
    </row>
    <row r="21" spans="2:7" s="4" customFormat="1" ht="64.5" customHeight="1" x14ac:dyDescent="0.25">
      <c r="B21" s="6">
        <f>B20+1</f>
        <v>14</v>
      </c>
      <c r="C21" s="36"/>
      <c r="D21" s="21"/>
      <c r="E21" s="19"/>
      <c r="F21" s="20"/>
      <c r="G21" s="32"/>
    </row>
    <row r="22" spans="2:7" s="4" customFormat="1" ht="64.5" customHeight="1" thickBot="1" x14ac:dyDescent="0.3">
      <c r="B22" s="35">
        <f>+B21+1</f>
        <v>15</v>
      </c>
      <c r="C22" s="36"/>
      <c r="D22" s="21"/>
      <c r="E22" s="19"/>
      <c r="F22" s="20"/>
      <c r="G22" s="32"/>
    </row>
    <row r="23" spans="2:7" ht="18.75" thickBot="1" x14ac:dyDescent="0.3">
      <c r="B23" s="245" t="s">
        <v>13</v>
      </c>
      <c r="C23" s="246"/>
      <c r="D23" s="175" t="s">
        <v>7</v>
      </c>
      <c r="E23" s="176"/>
      <c r="F23" s="177"/>
      <c r="G23" s="24" t="s">
        <v>8</v>
      </c>
    </row>
    <row r="24" spans="2:7" x14ac:dyDescent="0.25">
      <c r="B24" s="153"/>
      <c r="C24" s="154"/>
      <c r="D24" s="154"/>
      <c r="E24" s="154"/>
      <c r="F24" s="154"/>
      <c r="G24" s="159"/>
    </row>
    <row r="25" spans="2:7" x14ac:dyDescent="0.25">
      <c r="B25" s="155"/>
      <c r="C25" s="156"/>
      <c r="D25" s="156"/>
      <c r="E25" s="156"/>
      <c r="F25" s="156"/>
      <c r="G25" s="160"/>
    </row>
    <row r="26" spans="2:7" x14ac:dyDescent="0.25">
      <c r="B26" s="155"/>
      <c r="C26" s="156"/>
      <c r="D26" s="156"/>
      <c r="E26" s="156"/>
      <c r="F26" s="156"/>
      <c r="G26" s="160"/>
    </row>
    <row r="27" spans="2:7" x14ac:dyDescent="0.25">
      <c r="B27" s="155"/>
      <c r="C27" s="156"/>
      <c r="D27" s="156"/>
      <c r="E27" s="156"/>
      <c r="F27" s="156"/>
      <c r="G27" s="160"/>
    </row>
    <row r="28" spans="2:7" ht="15.75" thickBot="1" x14ac:dyDescent="0.3">
      <c r="B28" s="157"/>
      <c r="C28" s="158"/>
      <c r="D28" s="158"/>
      <c r="E28" s="158"/>
      <c r="F28" s="158"/>
      <c r="G28" s="161"/>
    </row>
  </sheetData>
  <sheetProtection selectLockedCells="1"/>
  <mergeCells count="10">
    <mergeCell ref="G24:G28"/>
    <mergeCell ref="B5:C5"/>
    <mergeCell ref="D5:G5"/>
    <mergeCell ref="B3:F3"/>
    <mergeCell ref="D4:F4"/>
    <mergeCell ref="E6:F6"/>
    <mergeCell ref="B23:C23"/>
    <mergeCell ref="D23:F23"/>
    <mergeCell ref="B24:C28"/>
    <mergeCell ref="D24:F28"/>
  </mergeCells>
  <conditionalFormatting sqref="D8:D22">
    <cfRule type="cellIs" dxfId="19" priority="3" operator="equal">
      <formula>3</formula>
    </cfRule>
    <cfRule type="cellIs" dxfId="18"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4"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5">
    <tabColor rgb="FFC00000"/>
    <pageSetUpPr fitToPage="1"/>
  </sheetPr>
  <dimension ref="B1:G29"/>
  <sheetViews>
    <sheetView view="pageBreakPreview" zoomScale="55" zoomScaleNormal="55" zoomScaleSheetLayoutView="55" zoomScalePageLayoutView="70" workbookViewId="0">
      <selection activeCell="G15" sqref="G15"/>
    </sheetView>
  </sheetViews>
  <sheetFormatPr baseColWidth="10" defaultColWidth="11.42578125" defaultRowHeight="15" x14ac:dyDescent="0.25"/>
  <cols>
    <col min="1" max="1" width="0.28515625" style="1" customWidth="1"/>
    <col min="2" max="2" width="5.7109375" style="1" customWidth="1"/>
    <col min="3" max="3" width="96.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362</v>
      </c>
      <c r="D4" s="165" t="str">
        <f>+'Line &amp; frequency'!C1</f>
        <v>CHAINE 5</v>
      </c>
      <c r="E4" s="166"/>
      <c r="F4" s="166"/>
      <c r="G4" s="31" t="s">
        <v>699</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323</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63.75" customHeight="1" x14ac:dyDescent="0.25">
      <c r="B16" s="35">
        <f>+B15+1</f>
        <v>9</v>
      </c>
      <c r="C16" s="36" t="s">
        <v>319</v>
      </c>
      <c r="D16" s="21"/>
      <c r="E16" s="19"/>
      <c r="F16" s="20"/>
      <c r="G16" s="32"/>
    </row>
    <row r="17" spans="2:7" s="4" customFormat="1" ht="64.5" customHeight="1" x14ac:dyDescent="0.25">
      <c r="B17" s="6">
        <f>B16+1</f>
        <v>10</v>
      </c>
      <c r="C17" s="36" t="s">
        <v>317</v>
      </c>
      <c r="D17" s="21"/>
      <c r="E17" s="19"/>
      <c r="F17" s="20"/>
      <c r="G17" s="32"/>
    </row>
    <row r="18" spans="2:7" s="4" customFormat="1" ht="64.5" customHeight="1" x14ac:dyDescent="0.25">
      <c r="B18" s="35">
        <f>+B17+1</f>
        <v>11</v>
      </c>
      <c r="C18" s="36" t="s">
        <v>335</v>
      </c>
      <c r="D18" s="21"/>
      <c r="E18" s="19"/>
      <c r="F18" s="20"/>
      <c r="G18" s="32"/>
    </row>
    <row r="19" spans="2:7" s="4" customFormat="1" ht="64.5" customHeight="1" x14ac:dyDescent="0.25">
      <c r="B19" s="6">
        <f>B18+1</f>
        <v>12</v>
      </c>
      <c r="C19" s="36" t="s">
        <v>442</v>
      </c>
      <c r="D19" s="21"/>
      <c r="E19" s="19"/>
      <c r="F19" s="20"/>
      <c r="G19" s="32"/>
    </row>
    <row r="20" spans="2:7" s="4" customFormat="1" ht="64.5" customHeight="1" x14ac:dyDescent="0.25">
      <c r="B20" s="35">
        <f>+B19+1</f>
        <v>13</v>
      </c>
      <c r="C20" s="36"/>
      <c r="D20" s="21"/>
      <c r="E20" s="19"/>
      <c r="F20" s="20"/>
      <c r="G20" s="32"/>
    </row>
    <row r="21" spans="2:7" ht="20.25" x14ac:dyDescent="0.25">
      <c r="B21" s="6">
        <f>B20+1</f>
        <v>14</v>
      </c>
      <c r="C21" s="17"/>
      <c r="D21" s="22"/>
      <c r="E21" s="7"/>
      <c r="F21" s="8"/>
      <c r="G21" s="33"/>
    </row>
    <row r="22" spans="2:7" ht="20.25" x14ac:dyDescent="0.25">
      <c r="B22" s="35">
        <f>+B21+1</f>
        <v>15</v>
      </c>
      <c r="C22" s="37"/>
      <c r="D22" s="38"/>
      <c r="E22" s="39"/>
      <c r="F22" s="40"/>
      <c r="G22" s="41"/>
    </row>
    <row r="23" spans="2:7" ht="21" thickBot="1" x14ac:dyDescent="0.3">
      <c r="B23" s="6">
        <f>B22+1</f>
        <v>16</v>
      </c>
      <c r="C23" s="18"/>
      <c r="D23" s="23"/>
      <c r="E23" s="10"/>
      <c r="F23" s="11"/>
      <c r="G23" s="34"/>
    </row>
    <row r="24" spans="2:7" ht="18.75" thickBot="1" x14ac:dyDescent="0.3">
      <c r="B24" s="245" t="s">
        <v>13</v>
      </c>
      <c r="C24" s="246"/>
      <c r="D24" s="175" t="s">
        <v>7</v>
      </c>
      <c r="E24" s="176"/>
      <c r="F24" s="177"/>
      <c r="G24" s="24" t="s">
        <v>8</v>
      </c>
    </row>
    <row r="25" spans="2:7" x14ac:dyDescent="0.25">
      <c r="B25" s="153"/>
      <c r="C25" s="154"/>
      <c r="D25" s="154"/>
      <c r="E25" s="154"/>
      <c r="F25" s="154"/>
      <c r="G25" s="159"/>
    </row>
    <row r="26" spans="2:7" x14ac:dyDescent="0.25">
      <c r="B26" s="155"/>
      <c r="C26" s="156"/>
      <c r="D26" s="156"/>
      <c r="E26" s="156"/>
      <c r="F26" s="156"/>
      <c r="G26" s="160"/>
    </row>
    <row r="27" spans="2:7" x14ac:dyDescent="0.25">
      <c r="B27" s="155"/>
      <c r="C27" s="156"/>
      <c r="D27" s="156"/>
      <c r="E27" s="156"/>
      <c r="F27" s="156"/>
      <c r="G27" s="160"/>
    </row>
    <row r="28" spans="2:7" x14ac:dyDescent="0.25">
      <c r="B28" s="155"/>
      <c r="C28" s="156"/>
      <c r="D28" s="156"/>
      <c r="E28" s="156"/>
      <c r="F28" s="156"/>
      <c r="G28" s="160"/>
    </row>
    <row r="29" spans="2:7" ht="15.75" thickBot="1" x14ac:dyDescent="0.3">
      <c r="B29" s="157"/>
      <c r="C29" s="158"/>
      <c r="D29" s="158"/>
      <c r="E29" s="158"/>
      <c r="F29" s="158"/>
      <c r="G29" s="161"/>
    </row>
  </sheetData>
  <sheetProtection selectLockedCells="1"/>
  <mergeCells count="10">
    <mergeCell ref="G25:G29"/>
    <mergeCell ref="B5:C5"/>
    <mergeCell ref="D5:G5"/>
    <mergeCell ref="B3:F3"/>
    <mergeCell ref="D4:F4"/>
    <mergeCell ref="E6:F6"/>
    <mergeCell ref="B24:C24"/>
    <mergeCell ref="D24:F24"/>
    <mergeCell ref="B25:C29"/>
    <mergeCell ref="D25:F29"/>
  </mergeCells>
  <conditionalFormatting sqref="D8:D23">
    <cfRule type="cellIs" dxfId="17" priority="3" operator="equal">
      <formula>3</formula>
    </cfRule>
    <cfRule type="cellIs" dxfId="16"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4"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46">
    <tabColor rgb="FFC00000"/>
    <pageSetUpPr fitToPage="1"/>
  </sheetPr>
  <dimension ref="B1:G29"/>
  <sheetViews>
    <sheetView zoomScale="55" zoomScaleNormal="55" zoomScalePageLayoutView="70" workbookViewId="0">
      <selection activeCell="G9" sqref="G9"/>
    </sheetView>
  </sheetViews>
  <sheetFormatPr baseColWidth="10" defaultColWidth="11.42578125" defaultRowHeight="15" x14ac:dyDescent="0.25"/>
  <cols>
    <col min="1" max="1" width="0.28515625" style="1" customWidth="1"/>
    <col min="2" max="2" width="5.7109375" style="1" customWidth="1"/>
    <col min="3" max="3" width="96.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361</v>
      </c>
      <c r="D4" s="165" t="str">
        <f>+'Line &amp; frequency'!C1</f>
        <v>CHAINE 5</v>
      </c>
      <c r="E4" s="166"/>
      <c r="F4" s="166"/>
      <c r="G4" s="31" t="s">
        <v>699</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322</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63.75" customHeight="1" x14ac:dyDescent="0.25">
      <c r="B16" s="35">
        <f>+B15+1</f>
        <v>9</v>
      </c>
      <c r="C16" s="36" t="s">
        <v>319</v>
      </c>
      <c r="D16" s="21"/>
      <c r="E16" s="19"/>
      <c r="F16" s="20"/>
      <c r="G16" s="32"/>
    </row>
    <row r="17" spans="2:7" s="4" customFormat="1" ht="64.5" customHeight="1" x14ac:dyDescent="0.25">
      <c r="B17" s="6">
        <f>B16+1</f>
        <v>10</v>
      </c>
      <c r="C17" s="36" t="s">
        <v>317</v>
      </c>
      <c r="D17" s="21"/>
      <c r="E17" s="19"/>
      <c r="F17" s="20"/>
      <c r="G17" s="32"/>
    </row>
    <row r="18" spans="2:7" s="4" customFormat="1" ht="64.5" customHeight="1" x14ac:dyDescent="0.25">
      <c r="B18" s="35">
        <f>+B17+1</f>
        <v>11</v>
      </c>
      <c r="C18" s="36" t="s">
        <v>335</v>
      </c>
      <c r="D18" s="21"/>
      <c r="E18" s="19"/>
      <c r="F18" s="20"/>
      <c r="G18" s="32"/>
    </row>
    <row r="19" spans="2:7" s="4" customFormat="1" ht="64.5" customHeight="1" x14ac:dyDescent="0.25">
      <c r="B19" s="6">
        <f>B18+1</f>
        <v>12</v>
      </c>
      <c r="C19" s="36" t="s">
        <v>442</v>
      </c>
      <c r="D19" s="21"/>
      <c r="E19" s="19"/>
      <c r="F19" s="20"/>
      <c r="G19" s="32"/>
    </row>
    <row r="20" spans="2:7" s="4" customFormat="1" ht="64.5" customHeight="1" x14ac:dyDescent="0.25">
      <c r="B20" s="35">
        <f>+B19+1</f>
        <v>13</v>
      </c>
      <c r="C20" s="36"/>
      <c r="D20" s="21"/>
      <c r="E20" s="19"/>
      <c r="F20" s="20"/>
      <c r="G20" s="32"/>
    </row>
    <row r="21" spans="2:7" ht="20.25" x14ac:dyDescent="0.25">
      <c r="B21" s="6">
        <f>B20+1</f>
        <v>14</v>
      </c>
      <c r="C21" s="17"/>
      <c r="D21" s="22"/>
      <c r="E21" s="7"/>
      <c r="F21" s="8"/>
      <c r="G21" s="33"/>
    </row>
    <row r="22" spans="2:7" ht="20.25" x14ac:dyDescent="0.25">
      <c r="B22" s="35">
        <f>+B21+1</f>
        <v>15</v>
      </c>
      <c r="C22" s="37"/>
      <c r="D22" s="38"/>
      <c r="E22" s="39"/>
      <c r="F22" s="40"/>
      <c r="G22" s="41"/>
    </row>
    <row r="23" spans="2:7" ht="21" thickBot="1" x14ac:dyDescent="0.3">
      <c r="B23" s="6">
        <f>B22+1</f>
        <v>16</v>
      </c>
      <c r="C23" s="18"/>
      <c r="D23" s="23"/>
      <c r="E23" s="10"/>
      <c r="F23" s="11"/>
      <c r="G23" s="34"/>
    </row>
    <row r="24" spans="2:7" ht="18.75" thickBot="1" x14ac:dyDescent="0.3">
      <c r="B24" s="245" t="s">
        <v>13</v>
      </c>
      <c r="C24" s="246"/>
      <c r="D24" s="175" t="s">
        <v>7</v>
      </c>
      <c r="E24" s="176"/>
      <c r="F24" s="177"/>
      <c r="G24" s="24" t="s">
        <v>8</v>
      </c>
    </row>
    <row r="25" spans="2:7" x14ac:dyDescent="0.25">
      <c r="B25" s="153"/>
      <c r="C25" s="154"/>
      <c r="D25" s="154"/>
      <c r="E25" s="154"/>
      <c r="F25" s="154"/>
      <c r="G25" s="159"/>
    </row>
    <row r="26" spans="2:7" x14ac:dyDescent="0.25">
      <c r="B26" s="155"/>
      <c r="C26" s="156"/>
      <c r="D26" s="156"/>
      <c r="E26" s="156"/>
      <c r="F26" s="156"/>
      <c r="G26" s="160"/>
    </row>
    <row r="27" spans="2:7" x14ac:dyDescent="0.25">
      <c r="B27" s="155"/>
      <c r="C27" s="156"/>
      <c r="D27" s="156"/>
      <c r="E27" s="156"/>
      <c r="F27" s="156"/>
      <c r="G27" s="160"/>
    </row>
    <row r="28" spans="2:7" x14ac:dyDescent="0.25">
      <c r="B28" s="155"/>
      <c r="C28" s="156"/>
      <c r="D28" s="156"/>
      <c r="E28" s="156"/>
      <c r="F28" s="156"/>
      <c r="G28" s="160"/>
    </row>
    <row r="29" spans="2:7" ht="15.75" thickBot="1" x14ac:dyDescent="0.3">
      <c r="B29" s="157"/>
      <c r="C29" s="158"/>
      <c r="D29" s="158"/>
      <c r="E29" s="158"/>
      <c r="F29" s="158"/>
      <c r="G29" s="161"/>
    </row>
  </sheetData>
  <sheetProtection selectLockedCells="1"/>
  <mergeCells count="10">
    <mergeCell ref="G25:G29"/>
    <mergeCell ref="B5:C5"/>
    <mergeCell ref="D5:G5"/>
    <mergeCell ref="B3:F3"/>
    <mergeCell ref="D4:F4"/>
    <mergeCell ref="E6:F6"/>
    <mergeCell ref="B24:C24"/>
    <mergeCell ref="D24:F24"/>
    <mergeCell ref="B25:C29"/>
    <mergeCell ref="D25:F29"/>
  </mergeCells>
  <conditionalFormatting sqref="D8:D23">
    <cfRule type="cellIs" dxfId="15" priority="3" operator="equal">
      <formula>3</formula>
    </cfRule>
    <cfRule type="cellIs" dxfId="14"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4"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47">
    <tabColor rgb="FFC00000"/>
    <pageSetUpPr fitToPage="1"/>
  </sheetPr>
  <dimension ref="B1:G28"/>
  <sheetViews>
    <sheetView view="pageBreakPreview" zoomScale="60" zoomScaleNormal="55" zoomScalePageLayoutView="70" workbookViewId="0">
      <selection activeCell="G8" sqref="G8"/>
    </sheetView>
  </sheetViews>
  <sheetFormatPr baseColWidth="10" defaultColWidth="11.42578125" defaultRowHeight="15" x14ac:dyDescent="0.25"/>
  <cols>
    <col min="1" max="1" width="0.28515625" style="1" customWidth="1"/>
    <col min="2" max="2" width="5.7109375" style="1" customWidth="1"/>
    <col min="3" max="3" width="96.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360</v>
      </c>
      <c r="D4" s="165" t="str">
        <f>+'Line &amp; frequency'!C1</f>
        <v>CHAINE 5</v>
      </c>
      <c r="E4" s="166"/>
      <c r="F4" s="166"/>
      <c r="G4" s="31" t="s">
        <v>699</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321</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63.75" customHeight="1" x14ac:dyDescent="0.25">
      <c r="B16" s="35">
        <f>+B15+1</f>
        <v>9</v>
      </c>
      <c r="C16" s="36" t="s">
        <v>319</v>
      </c>
      <c r="D16" s="21"/>
      <c r="E16" s="19"/>
      <c r="F16" s="20"/>
      <c r="G16" s="32"/>
    </row>
    <row r="17" spans="2:7" s="4" customFormat="1" ht="64.5" customHeight="1" x14ac:dyDescent="0.25">
      <c r="B17" s="6">
        <f>B16+1</f>
        <v>10</v>
      </c>
      <c r="C17" s="36" t="s">
        <v>317</v>
      </c>
      <c r="D17" s="21"/>
      <c r="E17" s="19"/>
      <c r="F17" s="20"/>
      <c r="G17" s="32"/>
    </row>
    <row r="18" spans="2:7" s="4" customFormat="1" ht="64.5" customHeight="1" x14ac:dyDescent="0.25">
      <c r="B18" s="35">
        <f>+B17+1</f>
        <v>11</v>
      </c>
      <c r="C18" s="36" t="s">
        <v>335</v>
      </c>
      <c r="D18" s="21"/>
      <c r="E18" s="19"/>
      <c r="F18" s="20"/>
      <c r="G18" s="32"/>
    </row>
    <row r="19" spans="2:7" s="4" customFormat="1" ht="64.5" customHeight="1" x14ac:dyDescent="0.25">
      <c r="B19" s="6">
        <f>B18+1</f>
        <v>12</v>
      </c>
      <c r="C19" s="36" t="s">
        <v>442</v>
      </c>
      <c r="D19" s="21"/>
      <c r="E19" s="19"/>
      <c r="F19" s="20"/>
      <c r="G19" s="32"/>
    </row>
    <row r="20" spans="2:7" s="4" customFormat="1" ht="64.5" customHeight="1" x14ac:dyDescent="0.25">
      <c r="B20" s="35">
        <f>+B19+1</f>
        <v>13</v>
      </c>
      <c r="C20" s="36"/>
      <c r="D20" s="21"/>
      <c r="E20" s="19"/>
      <c r="F20" s="20"/>
      <c r="G20" s="32"/>
    </row>
    <row r="21" spans="2:7" s="4" customFormat="1" ht="64.5" customHeight="1" x14ac:dyDescent="0.25">
      <c r="B21" s="6">
        <f>B20+1</f>
        <v>14</v>
      </c>
      <c r="C21" s="105" t="s">
        <v>619</v>
      </c>
      <c r="D21" s="21"/>
      <c r="E21" s="19"/>
      <c r="F21" s="20"/>
      <c r="G21" s="32"/>
    </row>
    <row r="22" spans="2:7" ht="21" thickBot="1" x14ac:dyDescent="0.3">
      <c r="B22" s="6" t="e">
        <f>#REF!+1</f>
        <v>#REF!</v>
      </c>
      <c r="C22" s="18"/>
      <c r="D22" s="23"/>
      <c r="E22" s="10"/>
      <c r="F22" s="11"/>
      <c r="G22" s="34"/>
    </row>
    <row r="23" spans="2:7" ht="18.75" thickBot="1" x14ac:dyDescent="0.3">
      <c r="B23" s="245" t="s">
        <v>13</v>
      </c>
      <c r="C23" s="246"/>
      <c r="D23" s="175" t="s">
        <v>7</v>
      </c>
      <c r="E23" s="176"/>
      <c r="F23" s="177"/>
      <c r="G23" s="24" t="s">
        <v>8</v>
      </c>
    </row>
    <row r="24" spans="2:7" x14ac:dyDescent="0.25">
      <c r="B24" s="153"/>
      <c r="C24" s="154"/>
      <c r="D24" s="154"/>
      <c r="E24" s="154"/>
      <c r="F24" s="154"/>
      <c r="G24" s="159"/>
    </row>
    <row r="25" spans="2:7" x14ac:dyDescent="0.25">
      <c r="B25" s="155"/>
      <c r="C25" s="156"/>
      <c r="D25" s="156"/>
      <c r="E25" s="156"/>
      <c r="F25" s="156"/>
      <c r="G25" s="160"/>
    </row>
    <row r="26" spans="2:7" x14ac:dyDescent="0.25">
      <c r="B26" s="155"/>
      <c r="C26" s="156"/>
      <c r="D26" s="156"/>
      <c r="E26" s="156"/>
      <c r="F26" s="156"/>
      <c r="G26" s="160"/>
    </row>
    <row r="27" spans="2:7" x14ac:dyDescent="0.25">
      <c r="B27" s="155"/>
      <c r="C27" s="156"/>
      <c r="D27" s="156"/>
      <c r="E27" s="156"/>
      <c r="F27" s="156"/>
      <c r="G27" s="160"/>
    </row>
    <row r="28" spans="2:7" ht="15.75" thickBot="1" x14ac:dyDescent="0.3">
      <c r="B28" s="157"/>
      <c r="C28" s="158"/>
      <c r="D28" s="158"/>
      <c r="E28" s="158"/>
      <c r="F28" s="158"/>
      <c r="G28" s="161"/>
    </row>
  </sheetData>
  <sheetProtection selectLockedCells="1"/>
  <mergeCells count="10">
    <mergeCell ref="G24:G28"/>
    <mergeCell ref="B5:C5"/>
    <mergeCell ref="D5:G5"/>
    <mergeCell ref="B3:F3"/>
    <mergeCell ref="D4:F4"/>
    <mergeCell ref="E6:F6"/>
    <mergeCell ref="B23:C23"/>
    <mergeCell ref="D23:F23"/>
    <mergeCell ref="B24:C28"/>
    <mergeCell ref="D24:F28"/>
  </mergeCells>
  <conditionalFormatting sqref="D8:D22">
    <cfRule type="cellIs" dxfId="13" priority="3" operator="equal">
      <formula>3</formula>
    </cfRule>
    <cfRule type="cellIs" dxfId="12"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4"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48">
    <tabColor rgb="FFC00000"/>
    <pageSetUpPr fitToPage="1"/>
  </sheetPr>
  <dimension ref="B1:G30"/>
  <sheetViews>
    <sheetView view="pageBreakPreview" zoomScale="60" zoomScaleNormal="55" zoomScalePageLayoutView="70" workbookViewId="0">
      <selection activeCell="D12" sqref="D12"/>
    </sheetView>
  </sheetViews>
  <sheetFormatPr baseColWidth="10" defaultColWidth="11.42578125" defaultRowHeight="15" x14ac:dyDescent="0.25"/>
  <cols>
    <col min="1" max="1" width="0.28515625" style="1" customWidth="1"/>
    <col min="2" max="2" width="5.7109375" style="1" customWidth="1"/>
    <col min="3" max="3" width="96.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359</v>
      </c>
      <c r="D4" s="165" t="str">
        <f>+'Line &amp; frequency'!C1</f>
        <v>CHAINE 5</v>
      </c>
      <c r="E4" s="166"/>
      <c r="F4" s="166"/>
      <c r="G4" s="31" t="s">
        <v>699</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320</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306</v>
      </c>
      <c r="D10" s="21"/>
      <c r="E10" s="19"/>
      <c r="F10" s="20"/>
      <c r="G10" s="32"/>
    </row>
    <row r="11" spans="2:7" s="4" customFormat="1" ht="64.5" customHeight="1" x14ac:dyDescent="0.25">
      <c r="B11" s="6">
        <f>B10+1</f>
        <v>4</v>
      </c>
      <c r="C11" s="36" t="s">
        <v>307</v>
      </c>
      <c r="D11" s="21"/>
      <c r="E11" s="19"/>
      <c r="F11" s="20"/>
      <c r="G11" s="32"/>
    </row>
    <row r="12" spans="2:7" s="4" customFormat="1" ht="64.5" customHeight="1" x14ac:dyDescent="0.25">
      <c r="B12" s="35">
        <f>+B11+1</f>
        <v>5</v>
      </c>
      <c r="C12" s="36" t="s">
        <v>300</v>
      </c>
      <c r="D12" s="21"/>
      <c r="E12" s="19"/>
      <c r="F12" s="20"/>
      <c r="G12" s="32"/>
    </row>
    <row r="13" spans="2:7" s="4" customFormat="1" ht="64.5" customHeight="1" x14ac:dyDescent="0.25">
      <c r="B13" s="6">
        <f>B12+1</f>
        <v>6</v>
      </c>
      <c r="C13" s="36" t="s">
        <v>302</v>
      </c>
      <c r="D13" s="21"/>
      <c r="E13" s="19"/>
      <c r="F13" s="20"/>
      <c r="G13" s="32"/>
    </row>
    <row r="14" spans="2:7" s="4" customFormat="1" ht="64.5" customHeight="1" x14ac:dyDescent="0.25">
      <c r="B14" s="35">
        <f>+B13+1</f>
        <v>7</v>
      </c>
      <c r="C14" s="36" t="s">
        <v>303</v>
      </c>
      <c r="D14" s="21"/>
      <c r="E14" s="19"/>
      <c r="F14" s="20"/>
      <c r="G14" s="32"/>
    </row>
    <row r="15" spans="2:7" s="4" customFormat="1" ht="64.5" customHeight="1" x14ac:dyDescent="0.25">
      <c r="B15" s="6">
        <f>B14+1</f>
        <v>8</v>
      </c>
      <c r="C15" s="36" t="s">
        <v>305</v>
      </c>
      <c r="D15" s="21"/>
      <c r="E15" s="19"/>
      <c r="F15" s="20"/>
      <c r="G15" s="32"/>
    </row>
    <row r="16" spans="2:7" s="4" customFormat="1" ht="63.75" customHeight="1" x14ac:dyDescent="0.25">
      <c r="B16" s="35">
        <f>+B15+1</f>
        <v>9</v>
      </c>
      <c r="C16" s="36" t="s">
        <v>319</v>
      </c>
      <c r="D16" s="21"/>
      <c r="E16" s="19"/>
      <c r="F16" s="20"/>
      <c r="G16" s="32"/>
    </row>
    <row r="17" spans="2:7" s="4" customFormat="1" ht="64.5" customHeight="1" x14ac:dyDescent="0.25">
      <c r="B17" s="6">
        <f>B16+1</f>
        <v>10</v>
      </c>
      <c r="C17" s="36" t="s">
        <v>317</v>
      </c>
      <c r="D17" s="21"/>
      <c r="E17" s="19"/>
      <c r="F17" s="20"/>
      <c r="G17" s="32"/>
    </row>
    <row r="18" spans="2:7" s="4" customFormat="1" ht="93" customHeight="1" x14ac:dyDescent="0.25">
      <c r="B18" s="35">
        <f>+B17+1</f>
        <v>11</v>
      </c>
      <c r="C18" s="36" t="s">
        <v>308</v>
      </c>
      <c r="D18" s="21"/>
      <c r="E18" s="19"/>
      <c r="F18" s="20"/>
      <c r="G18" s="32"/>
    </row>
    <row r="19" spans="2:7" s="4" customFormat="1" ht="64.5" customHeight="1" x14ac:dyDescent="0.25">
      <c r="B19" s="6">
        <f>B18+1</f>
        <v>12</v>
      </c>
      <c r="C19" s="36" t="s">
        <v>442</v>
      </c>
      <c r="D19" s="21"/>
      <c r="E19" s="19"/>
      <c r="F19" s="20"/>
      <c r="G19" s="32"/>
    </row>
    <row r="20" spans="2:7" s="4" customFormat="1" ht="64.5" customHeight="1" x14ac:dyDescent="0.25">
      <c r="B20" s="35">
        <f>+B19+1</f>
        <v>13</v>
      </c>
      <c r="C20" s="36"/>
      <c r="D20" s="21"/>
      <c r="E20" s="19"/>
      <c r="F20" s="20"/>
      <c r="G20" s="32"/>
    </row>
    <row r="21" spans="2:7" s="4" customFormat="1" ht="64.5" customHeight="1" x14ac:dyDescent="0.25">
      <c r="B21" s="6">
        <f>B20+1</f>
        <v>14</v>
      </c>
      <c r="C21" s="36"/>
      <c r="D21" s="21"/>
      <c r="E21" s="19"/>
      <c r="F21" s="20"/>
      <c r="G21" s="32"/>
    </row>
    <row r="22" spans="2:7" s="4" customFormat="1" ht="64.5" customHeight="1" x14ac:dyDescent="0.25">
      <c r="B22" s="35">
        <f>+B21+1</f>
        <v>15</v>
      </c>
      <c r="C22" s="36"/>
      <c r="D22" s="21"/>
      <c r="E22" s="19"/>
      <c r="F22" s="20"/>
      <c r="G22" s="32"/>
    </row>
    <row r="23" spans="2:7" s="4" customFormat="1" ht="64.5" customHeight="1" x14ac:dyDescent="0.25">
      <c r="B23" s="6">
        <f>B22+1</f>
        <v>16</v>
      </c>
      <c r="C23" s="36"/>
      <c r="D23" s="21"/>
      <c r="E23" s="19"/>
      <c r="F23" s="20"/>
      <c r="G23" s="32"/>
    </row>
    <row r="24" spans="2:7" ht="21" thickBot="1" x14ac:dyDescent="0.3">
      <c r="B24" s="35">
        <f>+B23+1</f>
        <v>17</v>
      </c>
      <c r="C24" s="18"/>
      <c r="D24" s="23"/>
      <c r="E24" s="10"/>
      <c r="F24" s="11"/>
      <c r="G24" s="34"/>
    </row>
    <row r="25" spans="2:7" ht="18.75" thickBot="1" x14ac:dyDescent="0.3">
      <c r="B25" s="245" t="s">
        <v>13</v>
      </c>
      <c r="C25" s="246"/>
      <c r="D25" s="175" t="s">
        <v>7</v>
      </c>
      <c r="E25" s="176"/>
      <c r="F25" s="177"/>
      <c r="G25" s="24" t="s">
        <v>8</v>
      </c>
    </row>
    <row r="26" spans="2:7" x14ac:dyDescent="0.25">
      <c r="B26" s="153"/>
      <c r="C26" s="154"/>
      <c r="D26" s="154"/>
      <c r="E26" s="154"/>
      <c r="F26" s="154"/>
      <c r="G26" s="159"/>
    </row>
    <row r="27" spans="2:7" x14ac:dyDescent="0.25">
      <c r="B27" s="155"/>
      <c r="C27" s="156"/>
      <c r="D27" s="156"/>
      <c r="E27" s="156"/>
      <c r="F27" s="156"/>
      <c r="G27" s="160"/>
    </row>
    <row r="28" spans="2:7" x14ac:dyDescent="0.25">
      <c r="B28" s="155"/>
      <c r="C28" s="156"/>
      <c r="D28" s="156"/>
      <c r="E28" s="156"/>
      <c r="F28" s="156"/>
      <c r="G28" s="160"/>
    </row>
    <row r="29" spans="2:7" x14ac:dyDescent="0.25">
      <c r="B29" s="155"/>
      <c r="C29" s="156"/>
      <c r="D29" s="156"/>
      <c r="E29" s="156"/>
      <c r="F29" s="156"/>
      <c r="G29" s="160"/>
    </row>
    <row r="30" spans="2:7" ht="15.75" thickBot="1" x14ac:dyDescent="0.3">
      <c r="B30" s="157"/>
      <c r="C30" s="158"/>
      <c r="D30" s="158"/>
      <c r="E30" s="158"/>
      <c r="F30" s="158"/>
      <c r="G30" s="161"/>
    </row>
  </sheetData>
  <sheetProtection selectLockedCells="1"/>
  <mergeCells count="10">
    <mergeCell ref="G26:G30"/>
    <mergeCell ref="B5:C5"/>
    <mergeCell ref="D5:G5"/>
    <mergeCell ref="B3:F3"/>
    <mergeCell ref="D4:F4"/>
    <mergeCell ref="E6:F6"/>
    <mergeCell ref="B25:C25"/>
    <mergeCell ref="D25:F25"/>
    <mergeCell ref="B26:C30"/>
    <mergeCell ref="D26:F30"/>
  </mergeCells>
  <conditionalFormatting sqref="D8:D24">
    <cfRule type="cellIs" dxfId="11" priority="3" operator="equal">
      <formula>3</formula>
    </cfRule>
    <cfRule type="cellIs" dxfId="10"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4"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6">
    <tabColor rgb="FFFFC000"/>
  </sheetPr>
  <dimension ref="B1:G27"/>
  <sheetViews>
    <sheetView view="pageBreakPreview" zoomScale="55" zoomScaleNormal="55" zoomScaleSheetLayoutView="55" zoomScalePageLayoutView="70" workbookViewId="0">
      <selection activeCell="G12" sqref="G12"/>
    </sheetView>
  </sheetViews>
  <sheetFormatPr baseColWidth="10" defaultColWidth="11.42578125" defaultRowHeight="15" x14ac:dyDescent="0.25"/>
  <cols>
    <col min="1" max="1" width="0.28515625" style="1" customWidth="1"/>
    <col min="2" max="2" width="5.7109375" style="1" customWidth="1"/>
    <col min="3" max="3" width="96.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701</v>
      </c>
      <c r="D4" s="165" t="str">
        <f>+'Line &amp; frequency'!C1</f>
        <v>CHAINE 5</v>
      </c>
      <c r="E4" s="166"/>
      <c r="F4" s="166"/>
      <c r="G4" s="31" t="s">
        <v>368</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364</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324</v>
      </c>
      <c r="D10" s="21"/>
      <c r="E10" s="19"/>
      <c r="F10" s="20"/>
      <c r="G10" s="32"/>
    </row>
    <row r="11" spans="2:7" s="4" customFormat="1" ht="64.5" customHeight="1" x14ac:dyDescent="0.25">
      <c r="B11" s="6">
        <f>B10+1</f>
        <v>4</v>
      </c>
      <c r="C11" s="36" t="s">
        <v>325</v>
      </c>
      <c r="D11" s="21"/>
      <c r="E11" s="19"/>
      <c r="F11" s="20"/>
      <c r="G11" s="32"/>
    </row>
    <row r="12" spans="2:7" s="4" customFormat="1" ht="64.5" customHeight="1" x14ac:dyDescent="0.25">
      <c r="B12" s="35">
        <f>+B11+1</f>
        <v>5</v>
      </c>
      <c r="C12" s="36" t="s">
        <v>302</v>
      </c>
      <c r="D12" s="21"/>
      <c r="E12" s="19"/>
      <c r="F12" s="20"/>
      <c r="G12" s="32"/>
    </row>
    <row r="13" spans="2:7" s="4" customFormat="1" ht="64.5" customHeight="1" x14ac:dyDescent="0.25">
      <c r="B13" s="6">
        <f>B12+1</f>
        <v>6</v>
      </c>
      <c r="C13" s="36" t="s">
        <v>326</v>
      </c>
      <c r="D13" s="21"/>
      <c r="E13" s="19"/>
      <c r="F13" s="20"/>
      <c r="G13" s="32"/>
    </row>
    <row r="14" spans="2:7" s="4" customFormat="1" ht="64.5" customHeight="1" x14ac:dyDescent="0.25">
      <c r="B14" s="35">
        <f>+B13+1</f>
        <v>7</v>
      </c>
      <c r="C14" s="36" t="s">
        <v>327</v>
      </c>
      <c r="D14" s="21"/>
      <c r="E14" s="19"/>
      <c r="F14" s="20"/>
      <c r="G14" s="32"/>
    </row>
    <row r="15" spans="2:7" s="4" customFormat="1" ht="64.5" customHeight="1" x14ac:dyDescent="0.25">
      <c r="B15" s="6">
        <f>B14+1</f>
        <v>8</v>
      </c>
      <c r="C15" s="36" t="s">
        <v>328</v>
      </c>
      <c r="D15" s="21"/>
      <c r="E15" s="19"/>
      <c r="F15" s="20"/>
      <c r="G15" s="32"/>
    </row>
    <row r="16" spans="2:7" s="4" customFormat="1" ht="63.75" customHeight="1" x14ac:dyDescent="0.25">
      <c r="B16" s="35">
        <f>+B15+1</f>
        <v>9</v>
      </c>
      <c r="C16" s="36" t="s">
        <v>329</v>
      </c>
      <c r="D16" s="21"/>
      <c r="E16" s="19"/>
      <c r="F16" s="20"/>
      <c r="G16" s="32"/>
    </row>
    <row r="17" spans="2:7" s="4" customFormat="1" ht="64.5" customHeight="1" x14ac:dyDescent="0.25">
      <c r="B17" s="6">
        <f>B16+1</f>
        <v>10</v>
      </c>
      <c r="C17" s="36" t="s">
        <v>366</v>
      </c>
      <c r="D17" s="21"/>
      <c r="E17" s="19"/>
      <c r="F17" s="20"/>
      <c r="G17" s="32"/>
    </row>
    <row r="18" spans="2:7" s="4" customFormat="1" ht="64.5" customHeight="1" x14ac:dyDescent="0.25">
      <c r="B18" s="35">
        <f>+B17+1</f>
        <v>11</v>
      </c>
      <c r="C18" s="36" t="s">
        <v>622</v>
      </c>
      <c r="D18" s="21"/>
      <c r="E18" s="19"/>
      <c r="F18" s="20"/>
      <c r="G18" s="32"/>
    </row>
    <row r="19" spans="2:7" ht="40.5" x14ac:dyDescent="0.25">
      <c r="B19" s="6">
        <f>B18+1</f>
        <v>12</v>
      </c>
      <c r="C19" s="36" t="s">
        <v>442</v>
      </c>
      <c r="D19" s="22"/>
      <c r="E19" s="7"/>
      <c r="F19" s="8"/>
      <c r="G19" s="33"/>
    </row>
    <row r="20" spans="2:7" ht="51" customHeight="1" x14ac:dyDescent="0.25">
      <c r="B20" s="35">
        <f>+B19+1</f>
        <v>13</v>
      </c>
      <c r="C20" s="37" t="s">
        <v>506</v>
      </c>
      <c r="D20" s="38"/>
      <c r="E20" s="39"/>
      <c r="F20" s="40"/>
      <c r="G20" s="41"/>
    </row>
    <row r="21" spans="2:7" ht="51" customHeight="1" thickBot="1" x14ac:dyDescent="0.3">
      <c r="B21" s="6">
        <f>B20+1</f>
        <v>14</v>
      </c>
      <c r="C21" s="128" t="s">
        <v>670</v>
      </c>
      <c r="D21" s="23"/>
      <c r="E21" s="10"/>
      <c r="F21" s="11"/>
      <c r="G21" s="34"/>
    </row>
    <row r="22" spans="2:7" ht="18.75" thickBot="1" x14ac:dyDescent="0.3">
      <c r="B22" s="245" t="s">
        <v>13</v>
      </c>
      <c r="C22" s="246"/>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15.75" thickBot="1" x14ac:dyDescent="0.3">
      <c r="B27" s="157"/>
      <c r="C27" s="158"/>
      <c r="D27" s="158"/>
      <c r="E27" s="158"/>
      <c r="F27" s="158"/>
      <c r="G27" s="161"/>
    </row>
  </sheetData>
  <sheetProtection selectLockedCells="1"/>
  <mergeCells count="10">
    <mergeCell ref="G23:G27"/>
    <mergeCell ref="B5:C5"/>
    <mergeCell ref="D5:G5"/>
    <mergeCell ref="B3:F3"/>
    <mergeCell ref="D4:F4"/>
    <mergeCell ref="E6:F6"/>
    <mergeCell ref="B22:C22"/>
    <mergeCell ref="D22:F22"/>
    <mergeCell ref="B23:C27"/>
    <mergeCell ref="D23:F27"/>
  </mergeCells>
  <conditionalFormatting sqref="D8:D21">
    <cfRule type="cellIs" dxfId="9" priority="3" operator="equal">
      <formula>3</formula>
    </cfRule>
    <cfRule type="cellIs" dxfId="8"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45"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57">
    <tabColor rgb="FFFFC000"/>
  </sheetPr>
  <dimension ref="B1:G27"/>
  <sheetViews>
    <sheetView view="pageBreakPreview" topLeftCell="A2" zoomScale="55" zoomScaleNormal="55" zoomScaleSheetLayoutView="55" zoomScalePageLayoutView="70" workbookViewId="0">
      <selection activeCell="G8" sqref="G8"/>
    </sheetView>
  </sheetViews>
  <sheetFormatPr baseColWidth="10" defaultColWidth="11.42578125" defaultRowHeight="15" x14ac:dyDescent="0.25"/>
  <cols>
    <col min="1" max="1" width="0.28515625" style="1" customWidth="1"/>
    <col min="2" max="2" width="5.7109375" style="1" customWidth="1"/>
    <col min="3" max="3" width="96.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331</v>
      </c>
      <c r="D4" s="165" t="str">
        <f>+'Line &amp; frequency'!C1</f>
        <v>CHAINE 5</v>
      </c>
      <c r="E4" s="166"/>
      <c r="F4" s="166"/>
      <c r="G4" s="31" t="s">
        <v>368</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332</v>
      </c>
      <c r="D8" s="21"/>
      <c r="E8" s="19"/>
      <c r="F8" s="20"/>
      <c r="G8" s="32"/>
    </row>
    <row r="9" spans="2:7" s="4" customFormat="1" ht="52.5" customHeight="1" x14ac:dyDescent="0.25">
      <c r="B9" s="6">
        <f>B8+1</f>
        <v>2</v>
      </c>
      <c r="C9" s="36" t="s">
        <v>309</v>
      </c>
      <c r="D9" s="21"/>
      <c r="E9" s="19"/>
      <c r="F9" s="20"/>
      <c r="G9" s="32"/>
    </row>
    <row r="10" spans="2:7" s="4" customFormat="1" ht="61.5" customHeight="1" x14ac:dyDescent="0.25">
      <c r="B10" s="35">
        <f>+B9+1</f>
        <v>3</v>
      </c>
      <c r="C10" s="36" t="s">
        <v>324</v>
      </c>
      <c r="D10" s="21"/>
      <c r="E10" s="19"/>
      <c r="F10" s="20"/>
      <c r="G10" s="32"/>
    </row>
    <row r="11" spans="2:7" s="4" customFormat="1" ht="64.5" customHeight="1" x14ac:dyDescent="0.25">
      <c r="B11" s="6">
        <f>B10+1</f>
        <v>4</v>
      </c>
      <c r="C11" s="36" t="s">
        <v>325</v>
      </c>
      <c r="D11" s="21"/>
      <c r="E11" s="19"/>
      <c r="F11" s="20"/>
      <c r="G11" s="32"/>
    </row>
    <row r="12" spans="2:7" s="4" customFormat="1" ht="64.5" customHeight="1" x14ac:dyDescent="0.25">
      <c r="B12" s="35">
        <f>+B11+1</f>
        <v>5</v>
      </c>
      <c r="C12" s="36" t="s">
        <v>302</v>
      </c>
      <c r="D12" s="21"/>
      <c r="E12" s="19"/>
      <c r="F12" s="20"/>
      <c r="G12" s="32"/>
    </row>
    <row r="13" spans="2:7" s="4" customFormat="1" ht="64.5" customHeight="1" x14ac:dyDescent="0.25">
      <c r="B13" s="6">
        <f>B12+1</f>
        <v>6</v>
      </c>
      <c r="C13" s="36" t="s">
        <v>326</v>
      </c>
      <c r="D13" s="21"/>
      <c r="E13" s="19"/>
      <c r="F13" s="20"/>
      <c r="G13" s="32"/>
    </row>
    <row r="14" spans="2:7" s="4" customFormat="1" ht="64.5" customHeight="1" x14ac:dyDescent="0.25">
      <c r="B14" s="35">
        <f>+B13+1</f>
        <v>7</v>
      </c>
      <c r="C14" s="36" t="s">
        <v>327</v>
      </c>
      <c r="D14" s="21"/>
      <c r="E14" s="19"/>
      <c r="F14" s="20"/>
      <c r="G14" s="32"/>
    </row>
    <row r="15" spans="2:7" s="4" customFormat="1" ht="64.5" customHeight="1" x14ac:dyDescent="0.25">
      <c r="B15" s="6">
        <f>B14+1</f>
        <v>8</v>
      </c>
      <c r="C15" s="36" t="s">
        <v>328</v>
      </c>
      <c r="D15" s="21"/>
      <c r="E15" s="19"/>
      <c r="F15" s="20"/>
      <c r="G15" s="32"/>
    </row>
    <row r="16" spans="2:7" s="4" customFormat="1" ht="63.75" customHeight="1" x14ac:dyDescent="0.25">
      <c r="B16" s="35">
        <f>+B15+1</f>
        <v>9</v>
      </c>
      <c r="C16" s="36" t="s">
        <v>329</v>
      </c>
      <c r="D16" s="21"/>
      <c r="E16" s="19"/>
      <c r="F16" s="20"/>
      <c r="G16" s="32"/>
    </row>
    <row r="17" spans="2:7" s="4" customFormat="1" ht="64.5" customHeight="1" x14ac:dyDescent="0.25">
      <c r="B17" s="6">
        <f>B16+1</f>
        <v>10</v>
      </c>
      <c r="C17" s="36" t="s">
        <v>366</v>
      </c>
      <c r="D17" s="21"/>
      <c r="E17" s="19"/>
      <c r="F17" s="20"/>
      <c r="G17" s="32"/>
    </row>
    <row r="18" spans="2:7" s="4" customFormat="1" ht="74.25" customHeight="1" x14ac:dyDescent="0.25">
      <c r="B18" s="35">
        <f>+B17+1</f>
        <v>11</v>
      </c>
      <c r="C18" s="36" t="s">
        <v>622</v>
      </c>
      <c r="D18" s="21"/>
      <c r="E18" s="19"/>
      <c r="F18" s="20"/>
      <c r="G18" s="32"/>
    </row>
    <row r="19" spans="2:7" s="4" customFormat="1" ht="64.5" customHeight="1" x14ac:dyDescent="0.25">
      <c r="B19" s="6">
        <f>B18+1</f>
        <v>12</v>
      </c>
      <c r="C19" s="36" t="s">
        <v>442</v>
      </c>
      <c r="D19" s="21"/>
      <c r="E19" s="19"/>
      <c r="F19" s="20"/>
      <c r="G19" s="32"/>
    </row>
    <row r="20" spans="2:7" s="4" customFormat="1" ht="64.5" customHeight="1" x14ac:dyDescent="0.25">
      <c r="B20" s="35">
        <f>+B19+1</f>
        <v>13</v>
      </c>
      <c r="C20" s="103" t="s">
        <v>506</v>
      </c>
      <c r="D20" s="21"/>
      <c r="E20" s="19"/>
      <c r="F20" s="20"/>
      <c r="G20" s="32"/>
    </row>
    <row r="21" spans="2:7" s="4" customFormat="1" ht="64.5" customHeight="1" thickBot="1" x14ac:dyDescent="0.3">
      <c r="B21" s="6">
        <f>B20+1</f>
        <v>14</v>
      </c>
      <c r="C21" s="128" t="s">
        <v>670</v>
      </c>
      <c r="D21" s="21"/>
      <c r="E21" s="19"/>
      <c r="F21" s="20"/>
      <c r="G21" s="32"/>
    </row>
    <row r="22" spans="2:7" ht="18.75" thickBot="1" x14ac:dyDescent="0.3">
      <c r="B22" s="245" t="s">
        <v>13</v>
      </c>
      <c r="C22" s="246"/>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15.75" thickBot="1" x14ac:dyDescent="0.3">
      <c r="B27" s="157"/>
      <c r="C27" s="158"/>
      <c r="D27" s="158"/>
      <c r="E27" s="158"/>
      <c r="F27" s="158"/>
      <c r="G27" s="161"/>
    </row>
  </sheetData>
  <sheetProtection selectLockedCells="1"/>
  <mergeCells count="10">
    <mergeCell ref="G23:G27"/>
    <mergeCell ref="B5:C5"/>
    <mergeCell ref="D5:G5"/>
    <mergeCell ref="B3:F3"/>
    <mergeCell ref="D4:F4"/>
    <mergeCell ref="E6:F6"/>
    <mergeCell ref="B22:C22"/>
    <mergeCell ref="D22:F22"/>
    <mergeCell ref="B23:C27"/>
    <mergeCell ref="D23:F27"/>
  </mergeCells>
  <conditionalFormatting sqref="D8:D21">
    <cfRule type="cellIs" dxfId="7" priority="3" operator="equal">
      <formula>3</formula>
    </cfRule>
    <cfRule type="cellIs" dxfId="6"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4"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58">
    <tabColor rgb="FFFFC000"/>
    <pageSetUpPr fitToPage="1"/>
  </sheetPr>
  <dimension ref="B1:G27"/>
  <sheetViews>
    <sheetView view="pageBreakPreview" zoomScale="40" zoomScaleNormal="40" zoomScaleSheetLayoutView="40" zoomScalePageLayoutView="55" workbookViewId="0">
      <selection activeCell="G18" sqref="G18"/>
    </sheetView>
  </sheetViews>
  <sheetFormatPr baseColWidth="10" defaultColWidth="11.42578125" defaultRowHeight="15" x14ac:dyDescent="0.25"/>
  <cols>
    <col min="1" max="1" width="0.28515625" style="1" customWidth="1"/>
    <col min="2" max="2" width="5.7109375" style="1" customWidth="1"/>
    <col min="3" max="3" width="96.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708</v>
      </c>
      <c r="D4" s="165"/>
      <c r="E4" s="166"/>
      <c r="F4" s="166"/>
      <c r="G4" s="31" t="s">
        <v>368</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330</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324</v>
      </c>
      <c r="D10" s="21"/>
      <c r="E10" s="19"/>
      <c r="F10" s="20"/>
      <c r="G10" s="32"/>
    </row>
    <row r="11" spans="2:7" s="4" customFormat="1" ht="64.5" customHeight="1" x14ac:dyDescent="0.25">
      <c r="B11" s="6">
        <f>B10+1</f>
        <v>4</v>
      </c>
      <c r="C11" s="36" t="s">
        <v>325</v>
      </c>
      <c r="D11" s="21"/>
      <c r="E11" s="19"/>
      <c r="F11" s="20"/>
      <c r="G11" s="32"/>
    </row>
    <row r="12" spans="2:7" s="4" customFormat="1" ht="64.5" customHeight="1" x14ac:dyDescent="0.25">
      <c r="B12" s="35">
        <f>+B11+1</f>
        <v>5</v>
      </c>
      <c r="C12" s="36" t="s">
        <v>302</v>
      </c>
      <c r="D12" s="21"/>
      <c r="E12" s="19"/>
      <c r="F12" s="20"/>
      <c r="G12" s="32"/>
    </row>
    <row r="13" spans="2:7" s="4" customFormat="1" ht="64.5" customHeight="1" x14ac:dyDescent="0.25">
      <c r="B13" s="6">
        <f>B12+1</f>
        <v>6</v>
      </c>
      <c r="C13" s="36" t="s">
        <v>326</v>
      </c>
      <c r="D13" s="21"/>
      <c r="E13" s="19"/>
      <c r="F13" s="20"/>
      <c r="G13" s="32"/>
    </row>
    <row r="14" spans="2:7" s="4" customFormat="1" ht="64.5" customHeight="1" x14ac:dyDescent="0.25">
      <c r="B14" s="35">
        <f>+B13+1</f>
        <v>7</v>
      </c>
      <c r="C14" s="36" t="s">
        <v>327</v>
      </c>
      <c r="D14" s="21"/>
      <c r="E14" s="19"/>
      <c r="F14" s="20"/>
      <c r="G14" s="32"/>
    </row>
    <row r="15" spans="2:7" s="4" customFormat="1" ht="64.5" customHeight="1" x14ac:dyDescent="0.25">
      <c r="B15" s="6">
        <f>B14+1</f>
        <v>8</v>
      </c>
      <c r="C15" s="36" t="s">
        <v>328</v>
      </c>
      <c r="D15" s="21"/>
      <c r="E15" s="19"/>
      <c r="F15" s="20"/>
      <c r="G15" s="32"/>
    </row>
    <row r="16" spans="2:7" s="4" customFormat="1" ht="63.75" customHeight="1" x14ac:dyDescent="0.25">
      <c r="B16" s="35">
        <f>+B15+1</f>
        <v>9</v>
      </c>
      <c r="C16" s="36" t="s">
        <v>329</v>
      </c>
      <c r="D16" s="21"/>
      <c r="E16" s="19"/>
      <c r="F16" s="20"/>
      <c r="G16" s="32"/>
    </row>
    <row r="17" spans="2:7" s="4" customFormat="1" ht="64.5" customHeight="1" x14ac:dyDescent="0.25">
      <c r="B17" s="6">
        <f>B16+1</f>
        <v>10</v>
      </c>
      <c r="C17" s="36" t="s">
        <v>366</v>
      </c>
      <c r="D17" s="21"/>
      <c r="E17" s="19"/>
      <c r="F17" s="20"/>
      <c r="G17" s="32"/>
    </row>
    <row r="18" spans="2:7" s="4" customFormat="1" ht="93" customHeight="1" x14ac:dyDescent="0.25">
      <c r="B18" s="35">
        <f>+B17+1</f>
        <v>11</v>
      </c>
      <c r="C18" s="36" t="s">
        <v>622</v>
      </c>
      <c r="D18" s="21"/>
      <c r="E18" s="19"/>
      <c r="F18" s="20"/>
      <c r="G18" s="32"/>
    </row>
    <row r="19" spans="2:7" ht="40.5" x14ac:dyDescent="0.25">
      <c r="B19" s="6">
        <f>B18+1</f>
        <v>12</v>
      </c>
      <c r="C19" s="36" t="s">
        <v>442</v>
      </c>
      <c r="D19" s="22"/>
      <c r="E19" s="7"/>
      <c r="F19" s="8"/>
      <c r="G19" s="33"/>
    </row>
    <row r="20" spans="2:7" ht="40.5" customHeight="1" x14ac:dyDescent="0.25">
      <c r="B20" s="35">
        <f>+B19+1</f>
        <v>13</v>
      </c>
      <c r="C20" s="37" t="s">
        <v>506</v>
      </c>
      <c r="D20" s="38"/>
      <c r="E20" s="39"/>
      <c r="F20" s="40"/>
      <c r="G20" s="41"/>
    </row>
    <row r="21" spans="2:7" ht="41.25" customHeight="1" thickBot="1" x14ac:dyDescent="0.3">
      <c r="B21" s="6">
        <f>B20+1</f>
        <v>14</v>
      </c>
      <c r="C21" s="128" t="s">
        <v>670</v>
      </c>
      <c r="D21" s="23"/>
      <c r="E21" s="10"/>
      <c r="F21" s="11"/>
      <c r="G21" s="34"/>
    </row>
    <row r="22" spans="2:7" ht="18.75" thickBot="1" x14ac:dyDescent="0.3">
      <c r="B22" s="245" t="s">
        <v>13</v>
      </c>
      <c r="C22" s="246"/>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15.75" thickBot="1" x14ac:dyDescent="0.3">
      <c r="B27" s="157"/>
      <c r="C27" s="158"/>
      <c r="D27" s="158"/>
      <c r="E27" s="158"/>
      <c r="F27" s="158"/>
      <c r="G27" s="161"/>
    </row>
  </sheetData>
  <sheetProtection selectLockedCells="1"/>
  <mergeCells count="10">
    <mergeCell ref="G23:G27"/>
    <mergeCell ref="B5:C5"/>
    <mergeCell ref="D5:G5"/>
    <mergeCell ref="B3:F3"/>
    <mergeCell ref="D4:F4"/>
    <mergeCell ref="E6:F6"/>
    <mergeCell ref="B22:C22"/>
    <mergeCell ref="D22:F22"/>
    <mergeCell ref="B23:C27"/>
    <mergeCell ref="D23:F27"/>
  </mergeCells>
  <conditionalFormatting sqref="D8:D21">
    <cfRule type="cellIs" dxfId="5" priority="3" operator="equal">
      <formula>3</formula>
    </cfRule>
    <cfRule type="cellIs" dxfId="4" priority="4"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4"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59">
    <tabColor rgb="FFFFC000"/>
    <pageSetUpPr fitToPage="1"/>
  </sheetPr>
  <dimension ref="B1:G27"/>
  <sheetViews>
    <sheetView tabSelected="1" view="pageBreakPreview" topLeftCell="B16" zoomScale="55" zoomScaleNormal="55" zoomScaleSheetLayoutView="55" zoomScalePageLayoutView="70" workbookViewId="0">
      <selection activeCell="G16" sqref="G16"/>
    </sheetView>
  </sheetViews>
  <sheetFormatPr baseColWidth="10" defaultColWidth="11.42578125" defaultRowHeight="15" x14ac:dyDescent="0.25"/>
  <cols>
    <col min="1" max="1" width="0.28515625" style="1" customWidth="1"/>
    <col min="2" max="2" width="5.7109375" style="1" customWidth="1"/>
    <col min="3" max="3" width="96.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99" t="str">
        <f>Date!B2</f>
        <v>Week ... 2025</v>
      </c>
    </row>
    <row r="4" spans="2:7" ht="24" thickBot="1" x14ac:dyDescent="0.3">
      <c r="B4" s="14"/>
      <c r="C4" s="15" t="s">
        <v>686</v>
      </c>
      <c r="D4" s="165" t="str">
        <f>+'Line &amp; frequency'!C1</f>
        <v>CHAINE 5</v>
      </c>
      <c r="E4" s="166"/>
      <c r="F4" s="166"/>
      <c r="G4" s="31" t="s">
        <v>368</v>
      </c>
    </row>
    <row r="5" spans="2:7" ht="39.75" customHeight="1" thickBot="1" x14ac:dyDescent="0.3">
      <c r="B5" s="167" t="s">
        <v>170</v>
      </c>
      <c r="C5" s="168"/>
      <c r="D5" s="169"/>
      <c r="E5" s="170"/>
      <c r="F5" s="170"/>
      <c r="G5" s="191"/>
    </row>
    <row r="6" spans="2:7" ht="20.25" customHeight="1" thickBot="1" x14ac:dyDescent="0.3">
      <c r="E6" s="171" t="s">
        <v>0</v>
      </c>
      <c r="F6" s="172"/>
      <c r="G6" s="100"/>
    </row>
    <row r="7" spans="2:7" s="4" customFormat="1" ht="24" customHeight="1" thickBot="1" x14ac:dyDescent="0.3">
      <c r="B7" s="25" t="s">
        <v>1</v>
      </c>
      <c r="C7" s="26" t="s">
        <v>2</v>
      </c>
      <c r="D7" s="27" t="s">
        <v>3</v>
      </c>
      <c r="E7" s="29" t="s">
        <v>4</v>
      </c>
      <c r="F7" s="30" t="s">
        <v>5</v>
      </c>
      <c r="G7" s="28" t="s">
        <v>6</v>
      </c>
    </row>
    <row r="8" spans="2:7" s="4" customFormat="1" ht="67.5" customHeight="1" x14ac:dyDescent="0.25">
      <c r="B8" s="5">
        <v>1</v>
      </c>
      <c r="C8" s="16" t="s">
        <v>365</v>
      </c>
      <c r="D8" s="21"/>
      <c r="E8" s="19"/>
      <c r="F8" s="20"/>
      <c r="G8" s="32"/>
    </row>
    <row r="9" spans="2:7" s="4" customFormat="1" ht="52.5" customHeight="1" x14ac:dyDescent="0.25">
      <c r="B9" s="6">
        <f>B8+1</f>
        <v>2</v>
      </c>
      <c r="C9" s="36" t="s">
        <v>309</v>
      </c>
      <c r="D9" s="21"/>
      <c r="E9" s="19"/>
      <c r="F9" s="20"/>
      <c r="G9" s="32"/>
    </row>
    <row r="10" spans="2:7" s="4" customFormat="1" ht="64.5" customHeight="1" x14ac:dyDescent="0.25">
      <c r="B10" s="35">
        <f>+B9+1</f>
        <v>3</v>
      </c>
      <c r="C10" s="36" t="s">
        <v>324</v>
      </c>
      <c r="D10" s="21"/>
      <c r="E10" s="19"/>
      <c r="F10" s="20"/>
      <c r="G10" s="32"/>
    </row>
    <row r="11" spans="2:7" s="4" customFormat="1" ht="64.5" customHeight="1" x14ac:dyDescent="0.25">
      <c r="B11" s="6">
        <f>B10+1</f>
        <v>4</v>
      </c>
      <c r="C11" s="36" t="s">
        <v>325</v>
      </c>
      <c r="D11" s="21"/>
      <c r="E11" s="19"/>
      <c r="F11" s="20"/>
      <c r="G11" s="32"/>
    </row>
    <row r="12" spans="2:7" s="4" customFormat="1" ht="64.5" customHeight="1" x14ac:dyDescent="0.25">
      <c r="B12" s="35">
        <f>+B11+1</f>
        <v>5</v>
      </c>
      <c r="C12" s="36" t="s">
        <v>302</v>
      </c>
      <c r="D12" s="21"/>
      <c r="E12" s="19"/>
      <c r="F12" s="20"/>
      <c r="G12" s="32"/>
    </row>
    <row r="13" spans="2:7" s="4" customFormat="1" ht="64.5" customHeight="1" x14ac:dyDescent="0.25">
      <c r="B13" s="6">
        <f>B12+1</f>
        <v>6</v>
      </c>
      <c r="C13" s="36" t="s">
        <v>326</v>
      </c>
      <c r="D13" s="21"/>
      <c r="E13" s="19"/>
      <c r="F13" s="20"/>
      <c r="G13" s="32"/>
    </row>
    <row r="14" spans="2:7" s="4" customFormat="1" ht="64.5" customHeight="1" x14ac:dyDescent="0.25">
      <c r="B14" s="35">
        <f>+B13+1</f>
        <v>7</v>
      </c>
      <c r="C14" s="36" t="s">
        <v>327</v>
      </c>
      <c r="D14" s="21"/>
      <c r="E14" s="19"/>
      <c r="F14" s="20"/>
      <c r="G14" s="32"/>
    </row>
    <row r="15" spans="2:7" s="4" customFormat="1" ht="64.5" customHeight="1" x14ac:dyDescent="0.25">
      <c r="B15" s="6">
        <f>B14+1</f>
        <v>8</v>
      </c>
      <c r="C15" s="36" t="s">
        <v>328</v>
      </c>
      <c r="D15" s="21"/>
      <c r="E15" s="19"/>
      <c r="F15" s="20"/>
      <c r="G15" s="32"/>
    </row>
    <row r="16" spans="2:7" s="4" customFormat="1" ht="63.75" customHeight="1" x14ac:dyDescent="0.25">
      <c r="B16" s="35">
        <f>+B15+1</f>
        <v>9</v>
      </c>
      <c r="C16" s="36" t="s">
        <v>329</v>
      </c>
      <c r="D16" s="21"/>
      <c r="E16" s="19"/>
      <c r="F16" s="20"/>
      <c r="G16" s="32"/>
    </row>
    <row r="17" spans="2:7" s="4" customFormat="1" ht="64.5" customHeight="1" x14ac:dyDescent="0.25">
      <c r="B17" s="6">
        <f>B16+1</f>
        <v>10</v>
      </c>
      <c r="C17" s="36" t="s">
        <v>366</v>
      </c>
      <c r="D17" s="21"/>
      <c r="E17" s="19"/>
      <c r="F17" s="20"/>
      <c r="G17" s="32"/>
    </row>
    <row r="18" spans="2:7" s="4" customFormat="1" ht="75" customHeight="1" x14ac:dyDescent="0.25">
      <c r="B18" s="35">
        <f>+B17+1</f>
        <v>11</v>
      </c>
      <c r="C18" s="36" t="s">
        <v>622</v>
      </c>
      <c r="D18" s="21"/>
      <c r="E18" s="19"/>
      <c r="F18" s="20"/>
      <c r="G18" s="32"/>
    </row>
    <row r="19" spans="2:7" ht="55.5" customHeight="1" x14ac:dyDescent="0.25">
      <c r="B19" s="6">
        <f>B18+1</f>
        <v>12</v>
      </c>
      <c r="C19" s="36" t="s">
        <v>442</v>
      </c>
      <c r="D19" s="22"/>
      <c r="E19" s="7"/>
      <c r="F19" s="8"/>
      <c r="G19" s="33"/>
    </row>
    <row r="20" spans="2:7" ht="48.75" customHeight="1" x14ac:dyDescent="0.25">
      <c r="B20" s="35">
        <f>+B19+1</f>
        <v>13</v>
      </c>
      <c r="C20" s="37" t="s">
        <v>506</v>
      </c>
      <c r="D20" s="38"/>
      <c r="E20" s="39"/>
      <c r="F20" s="40"/>
      <c r="G20" s="41"/>
    </row>
    <row r="21" spans="2:7" ht="54" customHeight="1" thickBot="1" x14ac:dyDescent="0.3">
      <c r="B21" s="6">
        <f>B20+1</f>
        <v>14</v>
      </c>
      <c r="C21" s="128" t="s">
        <v>670</v>
      </c>
      <c r="D21" s="23"/>
      <c r="E21" s="10"/>
      <c r="F21" s="11"/>
      <c r="G21" s="34"/>
    </row>
    <row r="22" spans="2:7" ht="18.75" thickBot="1" x14ac:dyDescent="0.3">
      <c r="B22" s="245" t="s">
        <v>13</v>
      </c>
      <c r="C22" s="246"/>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15.75" thickBot="1" x14ac:dyDescent="0.3">
      <c r="B27" s="157"/>
      <c r="C27" s="158"/>
      <c r="D27" s="158"/>
      <c r="E27" s="158"/>
      <c r="F27" s="158"/>
      <c r="G27" s="161"/>
    </row>
  </sheetData>
  <sheetProtection selectLockedCells="1"/>
  <mergeCells count="10">
    <mergeCell ref="B23:C27"/>
    <mergeCell ref="D23:F27"/>
    <mergeCell ref="G23:G27"/>
    <mergeCell ref="B3:F3"/>
    <mergeCell ref="D4:F4"/>
    <mergeCell ref="B5:C5"/>
    <mergeCell ref="D5:G5"/>
    <mergeCell ref="E6:F6"/>
    <mergeCell ref="B22:C22"/>
    <mergeCell ref="D22:F22"/>
  </mergeCells>
  <conditionalFormatting sqref="D8:D21">
    <cfRule type="cellIs" dxfId="3" priority="1" operator="equal">
      <formula>3</formula>
    </cfRule>
    <cfRule type="cellIs" dxfId="2"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4"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8"/>
  <dimension ref="B1:C2"/>
  <sheetViews>
    <sheetView workbookViewId="0">
      <selection activeCell="H3" sqref="H3"/>
    </sheetView>
  </sheetViews>
  <sheetFormatPr baseColWidth="10" defaultColWidth="11.42578125" defaultRowHeight="15" x14ac:dyDescent="0.25"/>
  <cols>
    <col min="3" max="3" width="15.42578125" bestFit="1" customWidth="1"/>
  </cols>
  <sheetData>
    <row r="1" spans="2:3" x14ac:dyDescent="0.25">
      <c r="B1" t="s">
        <v>9</v>
      </c>
      <c r="C1" s="13" t="s">
        <v>162</v>
      </c>
    </row>
    <row r="2" spans="2:3" x14ac:dyDescent="0.25">
      <c r="B2" t="s">
        <v>10</v>
      </c>
      <c r="C2" s="13" t="s">
        <v>14</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0">
    <tabColor theme="0" tint="-0.14999847407452621"/>
    <pageSetUpPr fitToPage="1"/>
  </sheetPr>
  <dimension ref="B1:G27"/>
  <sheetViews>
    <sheetView view="pageBreakPreview" zoomScale="60" zoomScaleNormal="55" zoomScalePageLayoutView="70" workbookViewId="0">
      <selection activeCell="C15" sqref="C15:E15"/>
    </sheetView>
  </sheetViews>
  <sheetFormatPr baseColWidth="10" defaultColWidth="11.42578125" defaultRowHeight="15" x14ac:dyDescent="0.25"/>
  <cols>
    <col min="1" max="1" width="0.28515625" style="1" customWidth="1"/>
    <col min="2" max="2" width="5.7109375" style="1" customWidth="1"/>
    <col min="3" max="3" width="88.28515625" style="1" customWidth="1"/>
    <col min="4" max="4" width="9.7109375" style="1" bestFit="1" customWidth="1"/>
    <col min="5" max="5" width="8.42578125" style="1" customWidth="1"/>
    <col min="6" max="6" width="10.5703125" style="1" customWidth="1"/>
    <col min="7" max="7" width="52.28515625" style="1" bestFit="1" customWidth="1"/>
    <col min="8" max="8" width="6.5703125" style="1" customWidth="1"/>
    <col min="9" max="9" width="7.85546875" style="1" customWidth="1"/>
    <col min="10" max="11" width="8.140625" style="1" customWidth="1"/>
    <col min="12" max="13" width="11.42578125" style="1" customWidth="1"/>
    <col min="14" max="14" width="8.85546875" style="1" customWidth="1"/>
    <col min="15" max="17" width="11.42578125" style="1" customWidth="1"/>
    <col min="18" max="18" width="2.140625" style="1" customWidth="1"/>
    <col min="19" max="16384" width="11.42578125" style="1"/>
  </cols>
  <sheetData>
    <row r="1" spans="2:7" ht="1.5" customHeight="1" x14ac:dyDescent="0.25"/>
    <row r="2" spans="2:7" ht="1.5" customHeight="1" thickBot="1" x14ac:dyDescent="0.3"/>
    <row r="3" spans="2:7" ht="62.25" customHeight="1" thickBot="1" x14ac:dyDescent="0.3">
      <c r="B3" s="162" t="s">
        <v>11</v>
      </c>
      <c r="C3" s="163"/>
      <c r="D3" s="163"/>
      <c r="E3" s="163"/>
      <c r="F3" s="164"/>
      <c r="G3" s="49" t="str">
        <f>Date!B2</f>
        <v>Week ... 2025</v>
      </c>
    </row>
    <row r="4" spans="2:7" ht="24" thickBot="1" x14ac:dyDescent="0.3">
      <c r="B4" s="14"/>
      <c r="C4" s="15" t="s">
        <v>315</v>
      </c>
      <c r="D4" s="165" t="str">
        <f>+'Line &amp; frequency'!C1</f>
        <v>CHAINE 5</v>
      </c>
      <c r="E4" s="166"/>
      <c r="F4" s="166"/>
      <c r="G4" s="31" t="str">
        <f>+'Line &amp; frequency'!C2</f>
        <v>HEBDOMADAIRE</v>
      </c>
    </row>
    <row r="5" spans="2:7" ht="39" customHeight="1" thickBot="1" x14ac:dyDescent="0.3">
      <c r="B5" s="167" t="s">
        <v>170</v>
      </c>
      <c r="C5" s="168"/>
      <c r="D5" s="169" t="s">
        <v>340</v>
      </c>
      <c r="E5" s="170"/>
      <c r="F5" s="170"/>
      <c r="G5" s="170"/>
    </row>
    <row r="6" spans="2:7" ht="20.25" customHeight="1" thickBot="1" x14ac:dyDescent="0.3">
      <c r="C6" s="50" t="s">
        <v>167</v>
      </c>
      <c r="E6" s="171" t="s">
        <v>0</v>
      </c>
      <c r="F6" s="172"/>
    </row>
    <row r="7" spans="2:7" s="4" customFormat="1" ht="24" customHeight="1" thickBot="1" x14ac:dyDescent="0.3">
      <c r="B7" s="25" t="s">
        <v>1</v>
      </c>
      <c r="C7" s="26" t="s">
        <v>2</v>
      </c>
      <c r="D7" s="27" t="s">
        <v>3</v>
      </c>
      <c r="E7" s="29" t="s">
        <v>4</v>
      </c>
      <c r="F7" s="30" t="s">
        <v>5</v>
      </c>
      <c r="G7" s="28" t="s">
        <v>6</v>
      </c>
    </row>
    <row r="8" spans="2:7" s="4" customFormat="1" ht="52.5" customHeight="1" x14ac:dyDescent="0.25">
      <c r="B8" s="5">
        <v>1</v>
      </c>
      <c r="C8" s="57" t="s">
        <v>178</v>
      </c>
      <c r="D8" s="21"/>
      <c r="E8" s="19"/>
      <c r="F8" s="20"/>
      <c r="G8" s="32"/>
    </row>
    <row r="9" spans="2:7" s="4" customFormat="1" ht="72" customHeight="1" x14ac:dyDescent="0.25">
      <c r="B9" s="6">
        <f>B8+1</f>
        <v>2</v>
      </c>
      <c r="C9" s="55" t="s">
        <v>180</v>
      </c>
      <c r="D9" s="21"/>
      <c r="E9" s="19"/>
      <c r="F9" s="20"/>
      <c r="G9" s="32"/>
    </row>
    <row r="10" spans="2:7" s="4" customFormat="1" ht="69.75" customHeight="1" x14ac:dyDescent="0.25">
      <c r="B10" s="35">
        <f>+B9+1</f>
        <v>3</v>
      </c>
      <c r="C10" s="55"/>
      <c r="D10" s="21"/>
      <c r="E10" s="19"/>
      <c r="F10" s="20"/>
      <c r="G10" s="32"/>
    </row>
    <row r="11" spans="2:7" s="4" customFormat="1" ht="64.5" customHeight="1" x14ac:dyDescent="0.25">
      <c r="B11" s="6">
        <f>B10+1</f>
        <v>4</v>
      </c>
      <c r="C11" s="55"/>
      <c r="D11" s="21"/>
      <c r="E11" s="19"/>
      <c r="F11" s="20"/>
      <c r="G11" s="32"/>
    </row>
    <row r="12" spans="2:7" s="4" customFormat="1" ht="64.5" customHeight="1" x14ac:dyDescent="0.25">
      <c r="B12" s="35">
        <f>+B11+1</f>
        <v>5</v>
      </c>
      <c r="C12" s="55"/>
      <c r="D12" s="21"/>
      <c r="E12" s="19"/>
      <c r="F12" s="20"/>
      <c r="G12" s="32"/>
    </row>
    <row r="13" spans="2:7" s="4" customFormat="1" ht="64.5" customHeight="1" x14ac:dyDescent="0.25">
      <c r="B13" s="6">
        <f>B12+1</f>
        <v>6</v>
      </c>
      <c r="C13" s="55"/>
      <c r="D13" s="21"/>
      <c r="E13" s="19"/>
      <c r="F13" s="20"/>
      <c r="G13" s="32"/>
    </row>
    <row r="14" spans="2:7" s="4" customFormat="1" ht="64.5" customHeight="1" x14ac:dyDescent="0.25">
      <c r="B14" s="35">
        <f>+B13+1</f>
        <v>7</v>
      </c>
      <c r="C14" s="36"/>
      <c r="D14" s="21"/>
      <c r="E14" s="19"/>
      <c r="F14" s="20"/>
      <c r="G14" s="32"/>
    </row>
    <row r="15" spans="2:7" s="4" customFormat="1" ht="64.5" customHeight="1" x14ac:dyDescent="0.25">
      <c r="B15" s="6">
        <f>B14+1</f>
        <v>8</v>
      </c>
      <c r="C15" s="36"/>
      <c r="D15" s="21"/>
      <c r="E15" s="19"/>
      <c r="F15" s="20"/>
      <c r="G15" s="32"/>
    </row>
    <row r="16" spans="2:7" s="4" customFormat="1" ht="64.5" customHeight="1" x14ac:dyDescent="0.25">
      <c r="B16" s="35">
        <f>+B15+1</f>
        <v>9</v>
      </c>
      <c r="C16" s="36"/>
      <c r="D16" s="21"/>
      <c r="E16" s="19"/>
      <c r="F16" s="20"/>
      <c r="G16" s="32"/>
    </row>
    <row r="17" spans="2:7" s="4" customFormat="1" ht="64.5" customHeight="1" x14ac:dyDescent="0.25">
      <c r="B17" s="6">
        <f>B16+1</f>
        <v>10</v>
      </c>
      <c r="C17" s="36"/>
      <c r="D17" s="21"/>
      <c r="E17" s="19"/>
      <c r="F17" s="20"/>
      <c r="G17" s="32"/>
    </row>
    <row r="18" spans="2:7" s="4" customFormat="1" ht="64.5" customHeight="1" x14ac:dyDescent="0.25">
      <c r="B18" s="35">
        <f>+B17+1</f>
        <v>11</v>
      </c>
      <c r="C18" s="36"/>
      <c r="D18" s="21"/>
      <c r="E18" s="19"/>
      <c r="F18" s="20"/>
      <c r="G18" s="32"/>
    </row>
    <row r="19" spans="2:7" s="4" customFormat="1" ht="64.5" customHeight="1" x14ac:dyDescent="0.25">
      <c r="B19" s="6">
        <f>B18+1</f>
        <v>12</v>
      </c>
      <c r="C19" s="36"/>
      <c r="D19" s="21"/>
      <c r="E19" s="19"/>
      <c r="F19" s="20"/>
      <c r="G19" s="32"/>
    </row>
    <row r="20" spans="2:7" s="4" customFormat="1" ht="64.5" customHeight="1" x14ac:dyDescent="0.25">
      <c r="B20" s="35">
        <f>+B19+1</f>
        <v>13</v>
      </c>
      <c r="C20" s="36"/>
      <c r="D20" s="21"/>
      <c r="E20" s="19"/>
      <c r="F20" s="20"/>
      <c r="G20" s="32"/>
    </row>
    <row r="21" spans="2:7" s="4" customFormat="1" ht="64.5" customHeight="1" thickBot="1" x14ac:dyDescent="0.3">
      <c r="B21" s="6">
        <f>B20+1</f>
        <v>14</v>
      </c>
      <c r="C21" s="36"/>
      <c r="D21" s="21"/>
      <c r="E21" s="19"/>
      <c r="F21" s="20"/>
      <c r="G21" s="32"/>
    </row>
    <row r="22" spans="2:7" ht="18.75" thickBot="1" x14ac:dyDescent="0.3">
      <c r="B22" s="173" t="s">
        <v>13</v>
      </c>
      <c r="C22" s="174"/>
      <c r="D22" s="175" t="s">
        <v>7</v>
      </c>
      <c r="E22" s="176"/>
      <c r="F22" s="177"/>
      <c r="G22" s="24" t="s">
        <v>8</v>
      </c>
    </row>
    <row r="23" spans="2:7" x14ac:dyDescent="0.25">
      <c r="B23" s="153"/>
      <c r="C23" s="154"/>
      <c r="D23" s="154"/>
      <c r="E23" s="154"/>
      <c r="F23" s="154"/>
      <c r="G23" s="159"/>
    </row>
    <row r="24" spans="2:7" x14ac:dyDescent="0.25">
      <c r="B24" s="155"/>
      <c r="C24" s="156"/>
      <c r="D24" s="156"/>
      <c r="E24" s="156"/>
      <c r="F24" s="156"/>
      <c r="G24" s="160"/>
    </row>
    <row r="25" spans="2:7" x14ac:dyDescent="0.25">
      <c r="B25" s="155"/>
      <c r="C25" s="156"/>
      <c r="D25" s="156"/>
      <c r="E25" s="156"/>
      <c r="F25" s="156"/>
      <c r="G25" s="160"/>
    </row>
    <row r="26" spans="2:7" x14ac:dyDescent="0.25">
      <c r="B26" s="155"/>
      <c r="C26" s="156"/>
      <c r="D26" s="156"/>
      <c r="E26" s="156"/>
      <c r="F26" s="156"/>
      <c r="G26" s="160"/>
    </row>
    <row r="27" spans="2:7" ht="15.75" thickBot="1" x14ac:dyDescent="0.3">
      <c r="B27" s="157"/>
      <c r="C27" s="158"/>
      <c r="D27" s="158"/>
      <c r="E27" s="158"/>
      <c r="F27" s="158"/>
      <c r="G27" s="161"/>
    </row>
  </sheetData>
  <sheetProtection selectLockedCells="1"/>
  <mergeCells count="10">
    <mergeCell ref="B23:C27"/>
    <mergeCell ref="D23:F27"/>
    <mergeCell ref="G23:G27"/>
    <mergeCell ref="B3:F3"/>
    <mergeCell ref="D4:F4"/>
    <mergeCell ref="B5:C5"/>
    <mergeCell ref="D5:G5"/>
    <mergeCell ref="E6:F6"/>
    <mergeCell ref="B22:C22"/>
    <mergeCell ref="D22:F22"/>
  </mergeCells>
  <conditionalFormatting sqref="D8:D21">
    <cfRule type="cellIs" dxfId="1" priority="1" operator="equal">
      <formula>3</formula>
    </cfRule>
    <cfRule type="cellIs" dxfId="0" priority="2" operator="equal">
      <formula>4</formula>
    </cfRule>
  </conditionalFormatting>
  <printOptions horizontalCentered="1" verticalCentered="1"/>
  <pageMargins left="0.15748031496062992" right="7.874015748031496E-2" top="0.19685039370078741" bottom="0.15748031496062992" header="0.31496062992125984" footer="0.31496062992125984"/>
  <pageSetup paperSize="9" scale="56"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73</vt:i4>
      </vt:variant>
      <vt:variant>
        <vt:lpstr>Plages nommées</vt:lpstr>
      </vt:variant>
      <vt:variant>
        <vt:i4>68</vt:i4>
      </vt:variant>
    </vt:vector>
  </HeadingPairs>
  <TitlesOfParts>
    <vt:vector size="141" baseType="lpstr">
      <vt:lpstr>Date</vt:lpstr>
      <vt:lpstr>Apolloss graissage + Lub</vt:lpstr>
      <vt:lpstr>Decaisseuse Graissage + Lub</vt:lpstr>
      <vt:lpstr>Encaisseuse Graissage + Lub</vt:lpstr>
      <vt:lpstr>Depal Graissage + Lub</vt:lpstr>
      <vt:lpstr>PAL Graisage + Lub</vt:lpstr>
      <vt:lpstr>EBI Hebdo Méca</vt:lpstr>
      <vt:lpstr>Etiqueteuse Graissage + Lub rev</vt:lpstr>
      <vt:lpstr>Etiqueteuse Graissage + Lub  M</vt:lpstr>
      <vt:lpstr>Laveuse Graissage</vt:lpstr>
      <vt:lpstr>Laveuse Graissage 2W</vt:lpstr>
      <vt:lpstr>Lave caisses Graissage + Lub </vt:lpstr>
      <vt:lpstr>Pasteurisateur Graissage</vt:lpstr>
      <vt:lpstr>Soutireuse Graissage hebdo</vt:lpstr>
      <vt:lpstr>Soutireuse Graissage 2-weekly</vt:lpstr>
      <vt:lpstr>Soutireuse Graissage mensuel</vt:lpstr>
      <vt:lpstr>Soutireuse Lub Quad</vt:lpstr>
      <vt:lpstr>A1</vt:lpstr>
      <vt:lpstr>A1 MENSUELLE </vt:lpstr>
      <vt:lpstr>A2</vt:lpstr>
      <vt:lpstr>A2 MENSUELLE</vt:lpstr>
      <vt:lpstr>A3</vt:lpstr>
      <vt:lpstr>A3 MENSUELLE</vt:lpstr>
      <vt:lpstr>A4</vt:lpstr>
      <vt:lpstr>A4 MENSUELLE</vt:lpstr>
      <vt:lpstr>BLOWER Hebdo</vt:lpstr>
      <vt:lpstr>Décaisseuse</vt:lpstr>
      <vt:lpstr>Décaisseuse Quatherly</vt:lpstr>
      <vt:lpstr>Encaisseuse</vt:lpstr>
      <vt:lpstr>Encaisseuse Tri</vt:lpstr>
      <vt:lpstr>Encaisseuse Semestriel</vt:lpstr>
      <vt:lpstr>Dépalettiseur</vt:lpstr>
      <vt:lpstr>Dépalettiseur Mensuel</vt:lpstr>
      <vt:lpstr>Dépalettiseur Trmestriel</vt:lpstr>
      <vt:lpstr>Dépalettiseur Semestriel </vt:lpstr>
      <vt:lpstr>Palettiseur</vt:lpstr>
      <vt:lpstr>Palettiseur Trimestriel</vt:lpstr>
      <vt:lpstr>Palettiseur Semestriel</vt:lpstr>
      <vt:lpstr>Etiqueteuse</vt:lpstr>
      <vt:lpstr>Etiqueteuse Mensuelle</vt:lpstr>
      <vt:lpstr>Etiqueteuse Trimestrielle</vt:lpstr>
      <vt:lpstr>Etiqueteuse Semestriel</vt:lpstr>
      <vt:lpstr>Lave-caisses</vt:lpstr>
      <vt:lpstr>Lave-caisses Mensuelle</vt:lpstr>
      <vt:lpstr>Laveuse</vt:lpstr>
      <vt:lpstr>Laveuse MENSUELLE</vt:lpstr>
      <vt:lpstr>Laveuse tri</vt:lpstr>
      <vt:lpstr>Pasteurisateur</vt:lpstr>
      <vt:lpstr>Soutireuse</vt:lpstr>
      <vt:lpstr>Soutireuse Mensuel</vt:lpstr>
      <vt:lpstr>Soutireuse Trimestrielle</vt:lpstr>
      <vt:lpstr>Soutireuse Quadrimestre</vt:lpstr>
      <vt:lpstr>CB 1</vt:lpstr>
      <vt:lpstr>CB 2</vt:lpstr>
      <vt:lpstr>CB 3</vt:lpstr>
      <vt:lpstr>CB 4</vt:lpstr>
      <vt:lpstr>CB 5</vt:lpstr>
      <vt:lpstr>CB 6</vt:lpstr>
      <vt:lpstr>CB 7</vt:lpstr>
      <vt:lpstr>CC 2</vt:lpstr>
      <vt:lpstr>CC 1</vt:lpstr>
      <vt:lpstr>CC 3</vt:lpstr>
      <vt:lpstr>CC 4</vt:lpstr>
      <vt:lpstr>CC 5</vt:lpstr>
      <vt:lpstr>CC 6</vt:lpstr>
      <vt:lpstr>CC 7</vt:lpstr>
      <vt:lpstr>CC 8</vt:lpstr>
      <vt:lpstr>Groupe Tapis 1</vt:lpstr>
      <vt:lpstr>Groupe Tapis 2</vt:lpstr>
      <vt:lpstr>Groupe Tapis 3</vt:lpstr>
      <vt:lpstr>Groupe Tapis 4</vt:lpstr>
      <vt:lpstr>Line &amp; frequency</vt:lpstr>
      <vt:lpstr>Station lubrification </vt:lpstr>
      <vt:lpstr>'A1'!Zone_d_impression</vt:lpstr>
      <vt:lpstr>'A1 MENSUELLE '!Zone_d_impression</vt:lpstr>
      <vt:lpstr>'A2'!Zone_d_impression</vt:lpstr>
      <vt:lpstr>'A2 MENSUELLE'!Zone_d_impression</vt:lpstr>
      <vt:lpstr>'A3'!Zone_d_impression</vt:lpstr>
      <vt:lpstr>'A3 MENSUELLE'!Zone_d_impression</vt:lpstr>
      <vt:lpstr>'A4'!Zone_d_impression</vt:lpstr>
      <vt:lpstr>'A4 MENSUELLE'!Zone_d_impression</vt:lpstr>
      <vt:lpstr>'Apolloss graissage + Lub'!Zone_d_impression</vt:lpstr>
      <vt:lpstr>'BLOWER Hebdo'!Zone_d_impression</vt:lpstr>
      <vt:lpstr>'CB 1'!Zone_d_impression</vt:lpstr>
      <vt:lpstr>'CB 2'!Zone_d_impression</vt:lpstr>
      <vt:lpstr>'CB 3'!Zone_d_impression</vt:lpstr>
      <vt:lpstr>'CB 4'!Zone_d_impression</vt:lpstr>
      <vt:lpstr>'CB 5'!Zone_d_impression</vt:lpstr>
      <vt:lpstr>'CB 6'!Zone_d_impression</vt:lpstr>
      <vt:lpstr>'CB 7'!Zone_d_impression</vt:lpstr>
      <vt:lpstr>'CC 1'!Zone_d_impression</vt:lpstr>
      <vt:lpstr>'CC 2'!Zone_d_impression</vt:lpstr>
      <vt:lpstr>'CC 3'!Zone_d_impression</vt:lpstr>
      <vt:lpstr>'CC 4'!Zone_d_impression</vt:lpstr>
      <vt:lpstr>'CC 5'!Zone_d_impression</vt:lpstr>
      <vt:lpstr>'CC 6'!Zone_d_impression</vt:lpstr>
      <vt:lpstr>'CC 7'!Zone_d_impression</vt:lpstr>
      <vt:lpstr>'CC 8'!Zone_d_impression</vt:lpstr>
      <vt:lpstr>Décaisseuse!Zone_d_impression</vt:lpstr>
      <vt:lpstr>'Decaisseuse Graissage + Lub'!Zone_d_impression</vt:lpstr>
      <vt:lpstr>'Décaisseuse Quatherly'!Zone_d_impression</vt:lpstr>
      <vt:lpstr>'Depal Graissage + Lub'!Zone_d_impression</vt:lpstr>
      <vt:lpstr>Dépalettiseur!Zone_d_impression</vt:lpstr>
      <vt:lpstr>'Dépalettiseur Mensuel'!Zone_d_impression</vt:lpstr>
      <vt:lpstr>'Dépalettiseur Semestriel '!Zone_d_impression</vt:lpstr>
      <vt:lpstr>'Dépalettiseur Trmestriel'!Zone_d_impression</vt:lpstr>
      <vt:lpstr>'EBI Hebdo Méca'!Zone_d_impression</vt:lpstr>
      <vt:lpstr>Encaisseuse!Zone_d_impression</vt:lpstr>
      <vt:lpstr>'Encaisseuse Graissage + Lub'!Zone_d_impression</vt:lpstr>
      <vt:lpstr>'Encaisseuse Semestriel'!Zone_d_impression</vt:lpstr>
      <vt:lpstr>'Encaisseuse Tri'!Zone_d_impression</vt:lpstr>
      <vt:lpstr>Etiqueteuse!Zone_d_impression</vt:lpstr>
      <vt:lpstr>'Etiqueteuse Graissage + Lub  M'!Zone_d_impression</vt:lpstr>
      <vt:lpstr>'Etiqueteuse Graissage + Lub rev'!Zone_d_impression</vt:lpstr>
      <vt:lpstr>'Etiqueteuse Mensuelle'!Zone_d_impression</vt:lpstr>
      <vt:lpstr>'Etiqueteuse Semestriel'!Zone_d_impression</vt:lpstr>
      <vt:lpstr>'Etiqueteuse Trimestrielle'!Zone_d_impression</vt:lpstr>
      <vt:lpstr>'Groupe Tapis 1'!Zone_d_impression</vt:lpstr>
      <vt:lpstr>'Groupe Tapis 2'!Zone_d_impression</vt:lpstr>
      <vt:lpstr>'Groupe Tapis 3'!Zone_d_impression</vt:lpstr>
      <vt:lpstr>'Groupe Tapis 4'!Zone_d_impression</vt:lpstr>
      <vt:lpstr>'Lave caisses Graissage + Lub '!Zone_d_impression</vt:lpstr>
      <vt:lpstr>'Lave-caisses'!Zone_d_impression</vt:lpstr>
      <vt:lpstr>'Lave-caisses Mensuelle'!Zone_d_impression</vt:lpstr>
      <vt:lpstr>'Laveuse Graissage'!Zone_d_impression</vt:lpstr>
      <vt:lpstr>'Laveuse Graissage 2W'!Zone_d_impression</vt:lpstr>
      <vt:lpstr>'PAL Graisage + Lub'!Zone_d_impression</vt:lpstr>
      <vt:lpstr>Palettiseur!Zone_d_impression</vt:lpstr>
      <vt:lpstr>'Palettiseur Semestriel'!Zone_d_impression</vt:lpstr>
      <vt:lpstr>'Palettiseur Trimestriel'!Zone_d_impression</vt:lpstr>
      <vt:lpstr>Pasteurisateur!Zone_d_impression</vt:lpstr>
      <vt:lpstr>'Pasteurisateur Graissage'!Zone_d_impression</vt:lpstr>
      <vt:lpstr>Soutireuse!Zone_d_impression</vt:lpstr>
      <vt:lpstr>'Soutireuse Graissage 2-weekly'!Zone_d_impression</vt:lpstr>
      <vt:lpstr>'Soutireuse Graissage hebdo'!Zone_d_impression</vt:lpstr>
      <vt:lpstr>'Soutireuse Graissage mensuel'!Zone_d_impression</vt:lpstr>
      <vt:lpstr>'Soutireuse Lub Quad'!Zone_d_impression</vt:lpstr>
      <vt:lpstr>'Soutireuse Mensuel'!Zone_d_impression</vt:lpstr>
      <vt:lpstr>'Soutireuse Quadrimestre'!Zone_d_impression</vt:lpstr>
      <vt:lpstr>'Soutireuse Trimestrielle'!Zone_d_impression</vt:lpstr>
      <vt:lpstr>'Station lubrification '!Zone_d_impression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UCB DOUALA</dc:creator>
  <cp:lastModifiedBy>TUETE MAMNO JESSIE MAUREEN</cp:lastModifiedBy>
  <cp:lastPrinted>2025-11-04T09:02:02Z</cp:lastPrinted>
  <dcterms:created xsi:type="dcterms:W3CDTF">2021-01-06T16:50:41Z</dcterms:created>
  <dcterms:modified xsi:type="dcterms:W3CDTF">2025-11-13T16:08:27Z</dcterms:modified>
</cp:coreProperties>
</file>