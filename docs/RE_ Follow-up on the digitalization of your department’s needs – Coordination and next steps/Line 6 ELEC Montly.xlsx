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5120" windowHeight="7935" tabRatio="949"/>
  </bookViews>
  <sheets>
    <sheet name="AF Compressor" sheetId="33" r:id="rId1"/>
    <sheet name="Blomax" sheetId="1" r:id="rId2"/>
    <sheet name="Filler" sheetId="31" r:id="rId3"/>
    <sheet name="Paramix" sheetId="29" r:id="rId4"/>
    <sheet name="Labeller" sheetId="8" r:id="rId5"/>
    <sheet name="Kisters" sheetId="32" r:id="rId6"/>
    <sheet name="Handle applicator" sheetId="10" r:id="rId7"/>
    <sheet name="Conveyors" sheetId="11" r:id="rId8"/>
    <sheet name="Blower" sheetId="34" r:id="rId9"/>
    <sheet name="CIP" sheetId="35" r:id="rId10"/>
    <sheet name="Robopac" sheetId="36" r:id="rId11"/>
    <sheet name="Cvyr Btles" sheetId="12" state="hidden" r:id="rId12"/>
    <sheet name="CC C1" sheetId="13" state="hidden" r:id="rId13"/>
    <sheet name="CC C2" sheetId="15" state="hidden" r:id="rId14"/>
    <sheet name="CC C3" sheetId="16" state="hidden" r:id="rId15"/>
    <sheet name="CC C4" sheetId="17" state="hidden" r:id="rId16"/>
    <sheet name="CC C5" sheetId="18" state="hidden" r:id="rId17"/>
    <sheet name="CC C6" sheetId="19" state="hidden" r:id="rId18"/>
    <sheet name="CC C7" sheetId="20" state="hidden" r:id="rId19"/>
    <sheet name="CC C8" sheetId="21" state="hidden" r:id="rId20"/>
    <sheet name="Line &amp; frequency" sheetId="2" state="hidden" r:id="rId21"/>
  </sheets>
  <definedNames>
    <definedName name="_xlnm.Print_Area" localSheetId="0">'AF Compressor'!$B$3:$G$31</definedName>
    <definedName name="_xlnm.Print_Area" localSheetId="1">Blomax!$B$3:$G$27</definedName>
    <definedName name="_xlnm.Print_Area" localSheetId="8">Blower!$B$1:$G$20</definedName>
    <definedName name="_xlnm.Print_Area" localSheetId="12">'CC C1'!$B$3:$G$63</definedName>
    <definedName name="_xlnm.Print_Area" localSheetId="13">'CC C2'!$B$3:$G$63</definedName>
    <definedName name="_xlnm.Print_Area" localSheetId="14">'CC C3'!$B$3:$G$32</definedName>
    <definedName name="_xlnm.Print_Area" localSheetId="15">'CC C4'!$B$3:$G$37</definedName>
    <definedName name="_xlnm.Print_Area" localSheetId="16">'CC C5'!$B$3:$G$37</definedName>
    <definedName name="_xlnm.Print_Area" localSheetId="17">'CC C6'!$B$3:$G$37</definedName>
    <definedName name="_xlnm.Print_Area" localSheetId="18">'CC C7'!$B$3:$G$37</definedName>
    <definedName name="_xlnm.Print_Area" localSheetId="19">'CC C8'!$B$3:$G$37</definedName>
    <definedName name="_xlnm.Print_Area" localSheetId="7">Conveyors!$B$1:$G$20</definedName>
    <definedName name="_xlnm.Print_Area" localSheetId="11">'Cvyr Btles'!$B$3:$G$63</definedName>
    <definedName name="_xlnm.Print_Area" localSheetId="2">Filler!$B$3:$G$21</definedName>
    <definedName name="_xlnm.Print_Area" localSheetId="6">'Handle applicator'!$B$1:$G$23</definedName>
    <definedName name="_xlnm.Print_Area" localSheetId="5">Kisters!$B$3:$G$25</definedName>
    <definedName name="_xlnm.Print_Area" localSheetId="4">Labeller!$B$3:$G$22</definedName>
  </definedNames>
  <calcPr calcId="144525"/>
</workbook>
</file>

<file path=xl/calcChain.xml><?xml version="1.0" encoding="utf-8"?>
<calcChain xmlns="http://schemas.openxmlformats.org/spreadsheetml/2006/main">
  <c r="B12" i="29" l="1"/>
  <c r="B13" i="29" s="1"/>
  <c r="B14" i="31"/>
  <c r="B15" i="31" s="1"/>
  <c r="B24" i="33"/>
  <c r="B25" i="33" s="1"/>
  <c r="B6" i="36" l="1"/>
  <c r="B7" i="36" s="1"/>
  <c r="B8" i="36" s="1"/>
  <c r="B9" i="36" s="1"/>
  <c r="B10" i="36" s="1"/>
  <c r="B11" i="36" s="1"/>
  <c r="B6" i="35"/>
  <c r="B7" i="35" s="1"/>
  <c r="B8" i="35" s="1"/>
  <c r="B9" i="35" s="1"/>
  <c r="B10" i="35" s="1"/>
  <c r="B11" i="35" s="1"/>
  <c r="B9" i="34" l="1"/>
  <c r="B10" i="34" s="1"/>
  <c r="B11" i="34" s="1"/>
  <c r="B12" i="34" s="1"/>
  <c r="B13" i="34" s="1"/>
  <c r="B14" i="34" s="1"/>
  <c r="B11" i="10" l="1"/>
  <c r="B13" i="10"/>
  <c r="B15" i="10"/>
  <c r="B17" i="10"/>
  <c r="B12" i="33" l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B11" i="33"/>
  <c r="B9" i="32" l="1"/>
  <c r="B9" i="33" l="1"/>
  <c r="B10" i="33" s="1"/>
  <c r="B6" i="29" l="1"/>
  <c r="B7" i="29" s="1"/>
  <c r="B8" i="29" s="1"/>
  <c r="B9" i="29" s="1"/>
  <c r="B10" i="29" s="1"/>
  <c r="B11" i="29" s="1"/>
  <c r="B9" i="31" l="1"/>
  <c r="B10" i="31" s="1"/>
  <c r="B11" i="31" s="1"/>
  <c r="B12" i="31" s="1"/>
  <c r="B13" i="31" s="1"/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9" i="11"/>
  <c r="B10" i="11" s="1"/>
  <c r="B11" i="11" s="1"/>
  <c r="B12" i="11" s="1"/>
  <c r="B13" i="11" s="1"/>
  <c r="B14" i="11" s="1"/>
  <c r="B9" i="10"/>
  <c r="G4" i="13" l="1"/>
  <c r="D4" i="13"/>
  <c r="G4" i="12"/>
  <c r="D4" i="12"/>
</calcChain>
</file>

<file path=xl/sharedStrings.xml><?xml version="1.0" encoding="utf-8"?>
<sst xmlns="http://schemas.openxmlformats.org/spreadsheetml/2006/main" count="625" uniqueCount="117">
  <si>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</si>
  <si>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</si>
  <si>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</si>
  <si>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</si>
  <si>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</si>
  <si>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</si>
  <si>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</si>
  <si>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</si>
  <si>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</si>
  <si>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</si>
  <si>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</si>
  <si>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</si>
  <si>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</si>
  <si>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</si>
  <si>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</si>
  <si>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</si>
  <si>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</si>
  <si>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</si>
  <si>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</si>
  <si>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</si>
  <si>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</si>
  <si>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</si>
  <si>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</si>
  <si>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</si>
  <si>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</si>
  <si>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</si>
  <si>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</si>
  <si>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</si>
  <si>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</si>
  <si>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</si>
  <si>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</si>
  <si>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</si>
  <si>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</si>
  <si>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</si>
  <si>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</si>
  <si>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</si>
  <si>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</si>
  <si>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</si>
  <si>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</si>
  <si>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MENSUELLE</t>
  </si>
  <si>
    <t>KISTERS</t>
  </si>
  <si>
    <t>Paramix</t>
  </si>
  <si>
    <t>HANDLE APPLICATOR</t>
  </si>
  <si>
    <t>CHECKLIST ELECTRIQUE</t>
  </si>
  <si>
    <t>Blomax</t>
  </si>
  <si>
    <t>CHECKLIST  ELECTRIQUE</t>
  </si>
  <si>
    <t>AF Compressor</t>
  </si>
  <si>
    <t>Vérifier l'état d'encrassement des mats filtrants situés derrière les filtres de sortie et les ventilateurs et les remplacer si nécessaire</t>
  </si>
  <si>
    <t>Vérifier les raccords, les presse étoupes et des joints. Si besoin, resserrer les presse-étoupes. Si besoin, remettre les raccords et les joints en état.</t>
  </si>
  <si>
    <t>controler l'etat des câbles</t>
  </si>
  <si>
    <t>Vérifier l'étanchéité des raccords, des presse-étoupes et des joints</t>
  </si>
  <si>
    <t>Controler le serrage de tous les contacts des armoires électriques (serrer si neccessaire)</t>
  </si>
  <si>
    <t>mesurer les valeurs de l'intensité de courant des moteurs</t>
  </si>
  <si>
    <t>mesurer la valeur ohmique des enroulements</t>
  </si>
  <si>
    <t>controler le serrage des bornes des moteurs</t>
  </si>
  <si>
    <t>controler le serrage des contacts des contacteurs, relais et disjoncteurs</t>
  </si>
  <si>
    <t>FILLER</t>
  </si>
  <si>
    <t>Vérifier l'absence d'endommagement sur les moteurs,</t>
  </si>
  <si>
    <t>Vérifier l'absence d'endommagement sur les raccords</t>
  </si>
  <si>
    <t>Vérifier l'absence d'endommagement sur les distributeurs électriques.</t>
  </si>
  <si>
    <t>Contrôler les cartouches filtrantes de la ventilation et des appareils de refroidissement, et les nettoyer au besoin.</t>
  </si>
  <si>
    <t>Vérifier le fonctionnement de l'interrupteur d'arrêt d'urgence.</t>
  </si>
  <si>
    <t>LABELLER</t>
  </si>
  <si>
    <t>Controler le serrage de tous les contacts des armoires électriques</t>
  </si>
  <si>
    <t>CONVEYORS</t>
  </si>
  <si>
    <t xml:space="preserve">Date: </t>
  </si>
  <si>
    <t>Soufler l'armoire électrique</t>
  </si>
  <si>
    <t>Néttoyer les coffrets electriques et ranger l'intérieur</t>
  </si>
  <si>
    <t>Nettoyer les éléments filtrants dans la ventilation de l'armoire électrique</t>
  </si>
  <si>
    <t>Contrôle et/ou nettoyage du système de refroidissement du sécheur</t>
  </si>
  <si>
    <t>Soufler les armoires électriques</t>
  </si>
  <si>
    <t>Controler le serrage des connecteurs de cable reseau</t>
  </si>
  <si>
    <t xml:space="preserve">                                                                                  CHECKLIST  ELECTRIQUE</t>
  </si>
  <si>
    <t xml:space="preserve">Vérifier l'état d'encrassement sur le ventilateur des climatiseurs </t>
  </si>
  <si>
    <t xml:space="preserve">Vérifier l'état d'encrassement sur les grilles de protection de tous les ventilateurs </t>
  </si>
  <si>
    <t xml:space="preserve">Présence de la rouille à l'intérieur </t>
  </si>
  <si>
    <t>Controler la connection des cables réseau</t>
  </si>
  <si>
    <t>Blower</t>
  </si>
  <si>
    <t>Controler le fonctionnement de toutes les portes de sécurité</t>
  </si>
  <si>
    <t>Mesurer la valeur ohmique des enroulements des moteurs des pompes</t>
  </si>
  <si>
    <t>Controler le serrage des bornes des moteurs des pompes</t>
  </si>
  <si>
    <t>Néttoyer le moteur principal (ouvrir le capot et nettoyer l'helice)</t>
  </si>
  <si>
    <t>Néttoyer la pompe d'huile (ouvrir le capot et nettoyer l'helice)</t>
  </si>
  <si>
    <t>Néttoyer la pompe d'eau (ouvrir le capot et nettoyer l'helice)</t>
  </si>
  <si>
    <t>Néttoyer tous les moteurs du périphèrique (ouvrir les capot et nettoyer les helices)</t>
  </si>
  <si>
    <t>Néttoyer tous les moteurs du Gassner (ouvrir les capot et nettoyer les helices)</t>
  </si>
  <si>
    <t>Néttoyer tous les hélice des ventillateurs de la salle</t>
  </si>
  <si>
    <t>Néttoyer la pompe à vide (ouvrir le capot et souffler)</t>
  </si>
  <si>
    <t>Néttoyer les moteurs de pompes (ouvrir le capot et nettoyer l'helice)</t>
  </si>
  <si>
    <t>Néttoyer tous les hélices des ventillateurs de refroidissement</t>
  </si>
  <si>
    <t>Néttoyer le moteur du tapis du four (ouvrir le capot et nettoyer l'helice)</t>
  </si>
  <si>
    <t>Néttoyer le moteur du tapis interieur (ouvrir le capot et nettoyer l'helice)</t>
  </si>
  <si>
    <t>Néttoyer tous les hélices des ventillateurs de refroidissement du Chiller</t>
  </si>
  <si>
    <t>Néttoyer le moteur de la pompe d'eau de refroidissement du Chiller (ouvrir les capot et nettoyer les helices)</t>
  </si>
  <si>
    <t>Néttoyer tous les moteurs des pompes (ouvrir les capots et nettoyer les hélices)</t>
  </si>
  <si>
    <t>CIP</t>
  </si>
  <si>
    <t>Néttoyer le moteur de la pompes de circulation (ouvrir les capots et nettoyer l'hélices)</t>
  </si>
  <si>
    <t>Néttoyer tous les moteurs des pompes de dosage (ouvrir les capots et nettoyer les hélices)</t>
  </si>
  <si>
    <t>Robopac</t>
  </si>
  <si>
    <t>Néttoyer le moteur du chariot (ouvrir les capots et nettoyer l'hélices)</t>
  </si>
  <si>
    <t>Néttoyer le moteur du plateau (ouvrir les capots et nettoyer l'hélices)</t>
  </si>
  <si>
    <t>Néttoyer le moteur d'entrainement des mandrins (ouvrir les capot et nettoyer les helices)</t>
  </si>
  <si>
    <t>Néttoyer le moteur de la pompe du Foam cleaning (ouvrir les capot et nettoyer les helices)</t>
  </si>
  <si>
    <t>Nettoyer l'helice de l'extracteur de chaleur de la salle</t>
  </si>
  <si>
    <t>Néttoyer le moteur de la pompe de Madiba (ouvrir le capot et souffler)</t>
  </si>
  <si>
    <t>Néttoyer les moteurs de translation (ouvrir le capot et nettoyer l'helice)</t>
  </si>
  <si>
    <t>Néttoyer le moteur la pompe à vide  (ouvrir le capot et nettoyer l'helice)</t>
  </si>
  <si>
    <t>Néttoyer les rideaux à l'entrée et sortie du four</t>
  </si>
  <si>
    <t>Souffler les ventilateurs des variateurs</t>
  </si>
  <si>
    <t>Tester la fonctionnalité des arrets d'urgence</t>
  </si>
  <si>
    <t>20min</t>
  </si>
  <si>
    <t>5min</t>
  </si>
  <si>
    <t>10min</t>
  </si>
  <si>
    <t>25min</t>
  </si>
  <si>
    <t>30min</t>
  </si>
  <si>
    <t>1h</t>
  </si>
  <si>
    <t>15min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</si>
</sst>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2"/>
      <color rgb="FFFF0000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9" fillId="0" borderId="0"/>
  </cellStyleXfs>
  <cellXfs count="122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 wrapText="1"/>
    </xf>
    <xf numFmtId="0" fontId="18" fillId="0" borderId="20" xfId="0" applyFont="1" applyBorder="1" applyAlignment="1">
      <alignment vertical="center" wrapText="1"/>
    </xf>
    <xf numFmtId="0" fontId="9" fillId="2" borderId="20" xfId="0" applyFont="1" applyFill="1" applyBorder="1" applyAlignment="1" applyProtection="1">
      <alignment vertical="center"/>
      <protection locked="0"/>
    </xf>
    <xf numFmtId="0" fontId="10" fillId="2" borderId="20" xfId="0" applyFont="1" applyFill="1" applyBorder="1" applyAlignment="1" applyProtection="1">
      <alignment horizontal="center" vertical="center"/>
      <protection locked="0"/>
    </xf>
    <xf numFmtId="0" fontId="1" fillId="2" borderId="20" xfId="0" applyFont="1" applyFill="1" applyBorder="1" applyProtection="1"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 wrapText="1"/>
      <protection locked="0"/>
    </xf>
    <xf numFmtId="0" fontId="7" fillId="2" borderId="20" xfId="0" applyFont="1" applyFill="1" applyBorder="1" applyAlignment="1" applyProtection="1">
      <alignment horizontal="center" vertical="center"/>
      <protection hidden="1"/>
    </xf>
    <xf numFmtId="0" fontId="6" fillId="2" borderId="20" xfId="0" applyFont="1" applyFill="1" applyBorder="1" applyProtection="1">
      <protection locked="0"/>
    </xf>
    <xf numFmtId="0" fontId="6" fillId="2" borderId="20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164" fontId="20" fillId="0" borderId="36" xfId="2" applyNumberFormat="1" applyFont="1" applyBorder="1" applyAlignment="1" applyProtection="1">
      <alignment horizontal="left" vertical="center" wrapText="1"/>
      <protection locked="0"/>
    </xf>
    <xf numFmtId="164" fontId="20" fillId="0" borderId="20" xfId="2" applyNumberFormat="1" applyFont="1" applyBorder="1" applyAlignment="1" applyProtection="1">
      <alignment horizontal="left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/>
      <protection hidden="1"/>
    </xf>
    <xf numFmtId="0" fontId="18" fillId="2" borderId="20" xfId="0" applyFont="1" applyFill="1" applyBorder="1" applyAlignment="1">
      <alignment vertical="center" wrapText="1"/>
    </xf>
    <xf numFmtId="0" fontId="3" fillId="5" borderId="20" xfId="0" applyFont="1" applyFill="1" applyBorder="1" applyAlignment="1" applyProtection="1">
      <alignment horizontal="center" vertical="center"/>
      <protection locked="0"/>
    </xf>
    <xf numFmtId="0" fontId="15" fillId="2" borderId="20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8" fillId="2" borderId="51" xfId="0" applyFont="1" applyFill="1" applyBorder="1" applyAlignment="1">
      <alignment horizontal="left" vertical="center" wrapText="1"/>
    </xf>
    <xf numFmtId="0" fontId="18" fillId="2" borderId="17" xfId="0" applyFont="1" applyFill="1" applyBorder="1" applyAlignment="1">
      <alignment horizontal="left" vertical="center" wrapText="1"/>
    </xf>
    <xf numFmtId="0" fontId="21" fillId="2" borderId="20" xfId="0" applyFont="1" applyFill="1" applyBorder="1" applyAlignment="1">
      <alignment horizontal="left" vertical="center" wrapText="1"/>
    </xf>
    <xf numFmtId="0" fontId="3" fillId="5" borderId="49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4" fillId="3" borderId="49" xfId="0" applyFont="1" applyFill="1" applyBorder="1" applyAlignment="1" applyProtection="1">
      <alignment horizontal="center" vertical="center"/>
      <protection locked="0"/>
    </xf>
    <xf numFmtId="0" fontId="6" fillId="2" borderId="49" xfId="0" applyFont="1" applyFill="1" applyBorder="1" applyAlignment="1" applyProtection="1">
      <alignment vertical="center"/>
      <protection locked="0"/>
    </xf>
    <xf numFmtId="0" fontId="6" fillId="2" borderId="52" xfId="0" applyFont="1" applyFill="1" applyBorder="1" applyAlignment="1" applyProtection="1">
      <alignment vertical="center"/>
      <protection locked="0"/>
    </xf>
    <xf numFmtId="164" fontId="20" fillId="0" borderId="5" xfId="2" applyNumberFormat="1" applyFont="1" applyBorder="1" applyAlignment="1" applyProtection="1">
      <alignment horizontal="left" vertical="center" wrapText="1"/>
      <protection locked="0"/>
    </xf>
    <xf numFmtId="0" fontId="15" fillId="2" borderId="53" xfId="0" applyFont="1" applyFill="1" applyBorder="1" applyAlignment="1" applyProtection="1">
      <alignment horizontal="center" vertical="center"/>
      <protection locked="0"/>
    </xf>
    <xf numFmtId="0" fontId="1" fillId="2" borderId="53" xfId="0" applyFont="1" applyFill="1" applyBorder="1" applyProtection="1">
      <protection locked="0"/>
    </xf>
    <xf numFmtId="0" fontId="13" fillId="3" borderId="53" xfId="0" applyFont="1" applyFill="1" applyBorder="1" applyAlignment="1" applyProtection="1">
      <alignment horizontal="center" vertical="center" wrapText="1"/>
      <protection locked="0"/>
    </xf>
    <xf numFmtId="0" fontId="7" fillId="2" borderId="53" xfId="0" applyFont="1" applyFill="1" applyBorder="1" applyAlignment="1" applyProtection="1">
      <alignment horizontal="left" vertical="center"/>
      <protection locked="0"/>
    </xf>
    <xf numFmtId="0" fontId="7" fillId="2" borderId="54" xfId="0" applyFont="1" applyFill="1" applyBorder="1" applyAlignment="1" applyProtection="1">
      <alignment horizontal="left"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22" fillId="2" borderId="20" xfId="0" applyFont="1" applyFill="1" applyBorder="1" applyAlignment="1">
      <alignment horizontal="left" vertical="center" wrapText="1"/>
    </xf>
    <xf numFmtId="0" fontId="22" fillId="0" borderId="20" xfId="0" applyFont="1" applyBorder="1" applyAlignment="1">
      <alignment vertical="center" wrapText="1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" fillId="2" borderId="46" xfId="0" applyFont="1" applyFill="1" applyBorder="1" applyAlignment="1" applyProtection="1">
      <alignment horizontal="center"/>
      <protection locked="0"/>
    </xf>
    <xf numFmtId="0" fontId="1" fillId="2" borderId="47" xfId="0" applyFont="1" applyFill="1" applyBorder="1" applyAlignment="1" applyProtection="1">
      <alignment horizontal="center"/>
      <protection locked="0"/>
    </xf>
    <xf numFmtId="0" fontId="1" fillId="2" borderId="48" xfId="0" applyFont="1" applyFill="1" applyBorder="1" applyAlignment="1" applyProtection="1">
      <alignment horizontal="center"/>
      <protection locked="0"/>
    </xf>
    <xf numFmtId="0" fontId="15" fillId="2" borderId="49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0" fontId="12" fillId="3" borderId="31" xfId="0" applyFont="1" applyFill="1" applyBorder="1" applyAlignment="1" applyProtection="1">
      <alignment horizontal="center" vertical="center"/>
      <protection locked="0"/>
    </xf>
    <xf numFmtId="0" fontId="12" fillId="3" borderId="25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41" xfId="0" applyFont="1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 applyProtection="1">
      <alignment horizontal="center"/>
      <protection locked="0"/>
    </xf>
    <xf numFmtId="0" fontId="1" fillId="2" borderId="43" xfId="0" applyFont="1" applyFill="1" applyBorder="1" applyAlignment="1" applyProtection="1">
      <alignment horizontal="center"/>
      <protection locked="0"/>
    </xf>
    <xf numFmtId="0" fontId="1" fillId="2" borderId="44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Alignment="1" applyProtection="1">
      <alignment horizontal="center"/>
      <protection locked="0"/>
    </xf>
    <xf numFmtId="0" fontId="1" fillId="2" borderId="45" xfId="0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 2" xfId="2"/>
    <cellStyle name="Normal 3" xfId="1"/>
  </cellStyles>
  <dxfs count="4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44129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401204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557"/>
          <a:ext cx="936625" cy="78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212912</xdr:colOff>
      <xdr:row>1</xdr:row>
      <xdr:rowOff>224118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627529" cy="5602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212912</xdr:colOff>
      <xdr:row>1</xdr:row>
      <xdr:rowOff>224118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622487" cy="5574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212912</xdr:colOff>
      <xdr:row>1</xdr:row>
      <xdr:rowOff>224118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0"/>
          <a:ext cx="622487" cy="55749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1"/>
  <sheetViews>
    <sheetView tabSelected="1" view="pageBreakPreview" topLeftCell="A7" zoomScale="85" zoomScaleNormal="55" zoomScaleSheetLayoutView="85" zoomScalePageLayoutView="70" workbookViewId="0">
      <selection activeCell="K9" sqref="K9"/>
    </sheetView>
  </sheetViews>
  <sheetFormatPr baseColWidth="10" defaultColWidth="11.42578125" defaultRowHeight="15" x14ac:dyDescent="0.2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46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1.5" x14ac:dyDescent="0.25">
      <c r="B8" s="5">
        <v>1</v>
      </c>
      <c r="C8" s="48" t="s">
        <v>47</v>
      </c>
      <c r="D8" s="21" t="s">
        <v>110</v>
      </c>
      <c r="E8" s="19"/>
      <c r="F8" s="20"/>
      <c r="G8" s="33"/>
    </row>
    <row r="9" spans="2:7" s="4" customFormat="1" ht="31.5" x14ac:dyDescent="0.25">
      <c r="B9" s="6">
        <f>B8+1</f>
        <v>2</v>
      </c>
      <c r="C9" s="48" t="s">
        <v>48</v>
      </c>
      <c r="D9" s="21" t="s">
        <v>110</v>
      </c>
      <c r="E9" s="19"/>
      <c r="F9" s="20"/>
      <c r="G9" s="33"/>
    </row>
    <row r="10" spans="2:7" s="4" customFormat="1" ht="18.75" x14ac:dyDescent="0.25">
      <c r="B10" s="37">
        <f>+B9+1</f>
        <v>3</v>
      </c>
      <c r="C10" s="48" t="s">
        <v>49</v>
      </c>
      <c r="D10" s="21" t="s">
        <v>110</v>
      </c>
      <c r="E10" s="19"/>
      <c r="F10" s="20"/>
      <c r="G10" s="33"/>
    </row>
    <row r="11" spans="2:7" s="4" customFormat="1" ht="18.75" x14ac:dyDescent="0.25">
      <c r="B11" s="37">
        <f>+B10+1</f>
        <v>4</v>
      </c>
      <c r="C11" s="48" t="s">
        <v>50</v>
      </c>
      <c r="D11" s="21" t="s">
        <v>116</v>
      </c>
      <c r="E11" s="19"/>
      <c r="F11" s="20"/>
      <c r="G11" s="33"/>
    </row>
    <row r="12" spans="2:7" s="4" customFormat="1" ht="18.75" x14ac:dyDescent="0.25">
      <c r="B12" s="37">
        <f t="shared" ref="B12:B25" si="0">+B11+1</f>
        <v>5</v>
      </c>
      <c r="C12" s="48" t="s">
        <v>51</v>
      </c>
      <c r="D12" s="21" t="s">
        <v>110</v>
      </c>
      <c r="E12" s="19"/>
      <c r="F12" s="20"/>
      <c r="G12" s="33"/>
    </row>
    <row r="13" spans="2:7" s="4" customFormat="1" ht="18.75" x14ac:dyDescent="0.25">
      <c r="B13" s="37">
        <f t="shared" si="0"/>
        <v>6</v>
      </c>
      <c r="C13" s="48" t="s">
        <v>52</v>
      </c>
      <c r="D13" s="21" t="s">
        <v>112</v>
      </c>
      <c r="E13" s="19"/>
      <c r="F13" s="20"/>
      <c r="G13" s="33"/>
    </row>
    <row r="14" spans="2:7" s="4" customFormat="1" ht="18.75" x14ac:dyDescent="0.25">
      <c r="B14" s="37">
        <f t="shared" si="0"/>
        <v>7</v>
      </c>
      <c r="C14" s="48" t="s">
        <v>53</v>
      </c>
      <c r="D14" s="21" t="s">
        <v>110</v>
      </c>
      <c r="E14" s="19"/>
      <c r="F14" s="20"/>
      <c r="G14" s="33"/>
    </row>
    <row r="15" spans="2:7" s="4" customFormat="1" ht="18.75" x14ac:dyDescent="0.25">
      <c r="B15" s="37">
        <f t="shared" si="0"/>
        <v>8</v>
      </c>
      <c r="C15" s="48" t="s">
        <v>54</v>
      </c>
      <c r="D15" s="21" t="s">
        <v>110</v>
      </c>
      <c r="E15" s="19"/>
      <c r="F15" s="20"/>
      <c r="G15" s="33"/>
    </row>
    <row r="16" spans="2:7" s="4" customFormat="1" ht="18.75" x14ac:dyDescent="0.25">
      <c r="B16" s="37">
        <f t="shared" si="0"/>
        <v>9</v>
      </c>
      <c r="C16" s="48" t="s">
        <v>55</v>
      </c>
      <c r="D16" s="21" t="s">
        <v>110</v>
      </c>
      <c r="E16" s="19"/>
      <c r="F16" s="20"/>
      <c r="G16" s="33"/>
    </row>
    <row r="17" spans="2:7" s="4" customFormat="1" ht="18.75" x14ac:dyDescent="0.25">
      <c r="B17" s="37">
        <f t="shared" si="0"/>
        <v>10</v>
      </c>
      <c r="C17" s="48" t="s">
        <v>69</v>
      </c>
      <c r="D17" s="21" t="s">
        <v>110</v>
      </c>
      <c r="E17" s="19"/>
      <c r="F17" s="20"/>
      <c r="G17" s="33"/>
    </row>
    <row r="18" spans="2:7" s="4" customFormat="1" ht="18.75" x14ac:dyDescent="0.25">
      <c r="B18" s="37">
        <f t="shared" si="0"/>
        <v>11</v>
      </c>
      <c r="C18" s="48" t="s">
        <v>70</v>
      </c>
      <c r="D18" s="21" t="s">
        <v>110</v>
      </c>
      <c r="E18" s="19"/>
      <c r="F18" s="20"/>
      <c r="G18" s="33"/>
    </row>
    <row r="19" spans="2:7" s="4" customFormat="1" ht="18.75" x14ac:dyDescent="0.25">
      <c r="B19" s="37">
        <f t="shared" si="0"/>
        <v>12</v>
      </c>
      <c r="C19" s="48" t="s">
        <v>67</v>
      </c>
      <c r="D19" s="21" t="s">
        <v>110</v>
      </c>
      <c r="E19" s="19"/>
      <c r="F19" s="20"/>
      <c r="G19" s="33"/>
    </row>
    <row r="20" spans="2:7" s="4" customFormat="1" ht="18.75" x14ac:dyDescent="0.25">
      <c r="B20" s="37">
        <f t="shared" si="0"/>
        <v>13</v>
      </c>
      <c r="C20" s="48" t="s">
        <v>76</v>
      </c>
      <c r="D20" s="21" t="s">
        <v>112</v>
      </c>
      <c r="E20" s="19"/>
      <c r="F20" s="20"/>
      <c r="G20" s="33"/>
    </row>
    <row r="21" spans="2:7" s="4" customFormat="1" ht="18.75" x14ac:dyDescent="0.25">
      <c r="B21" s="37">
        <f t="shared" si="0"/>
        <v>14</v>
      </c>
      <c r="C21" s="82" t="s">
        <v>81</v>
      </c>
      <c r="D21" s="21" t="s">
        <v>110</v>
      </c>
      <c r="E21" s="19"/>
      <c r="F21" s="20"/>
      <c r="G21" s="33"/>
    </row>
    <row r="22" spans="2:7" s="4" customFormat="1" ht="18.75" x14ac:dyDescent="0.25">
      <c r="B22" s="37">
        <f t="shared" si="0"/>
        <v>15</v>
      </c>
      <c r="C22" s="82" t="s">
        <v>82</v>
      </c>
      <c r="D22" s="21" t="s">
        <v>110</v>
      </c>
      <c r="E22" s="19"/>
      <c r="F22" s="20"/>
      <c r="G22" s="33"/>
    </row>
    <row r="23" spans="2:7" s="4" customFormat="1" ht="18.75" x14ac:dyDescent="0.25">
      <c r="B23" s="37">
        <f t="shared" si="0"/>
        <v>16</v>
      </c>
      <c r="C23" s="82" t="s">
        <v>83</v>
      </c>
      <c r="D23" s="21" t="s">
        <v>110</v>
      </c>
      <c r="E23" s="19"/>
      <c r="F23" s="20"/>
      <c r="G23" s="33"/>
    </row>
    <row r="24" spans="2:7" s="4" customFormat="1" ht="18.75" x14ac:dyDescent="0.25">
      <c r="B24" s="37">
        <f t="shared" si="0"/>
        <v>17</v>
      </c>
      <c r="C24" s="82" t="s">
        <v>103</v>
      </c>
      <c r="D24" s="21" t="s">
        <v>110</v>
      </c>
      <c r="E24" s="19"/>
      <c r="F24" s="20"/>
      <c r="G24" s="33"/>
    </row>
    <row r="25" spans="2:7" s="4" customFormat="1" ht="19.5" thickBot="1" x14ac:dyDescent="0.3">
      <c r="B25" s="37">
        <f t="shared" si="0"/>
        <v>18</v>
      </c>
      <c r="C25" s="82" t="s">
        <v>109</v>
      </c>
      <c r="D25" s="21" t="s">
        <v>111</v>
      </c>
      <c r="E25" s="19"/>
      <c r="F25" s="20"/>
      <c r="G25" s="33"/>
    </row>
    <row r="26" spans="2:7" s="12" customFormat="1" ht="18.75" thickBot="1" x14ac:dyDescent="0.3">
      <c r="B26" s="94" t="s">
        <v>13</v>
      </c>
      <c r="C26" s="95"/>
      <c r="D26" s="96" t="s">
        <v>7</v>
      </c>
      <c r="E26" s="97"/>
      <c r="F26" s="98"/>
      <c r="G26" s="24" t="s">
        <v>8</v>
      </c>
    </row>
    <row r="27" spans="2:7" x14ac:dyDescent="0.25">
      <c r="B27" s="99"/>
      <c r="C27" s="100"/>
      <c r="D27" s="100"/>
      <c r="E27" s="100"/>
      <c r="F27" s="100"/>
      <c r="G27" s="84"/>
    </row>
    <row r="28" spans="2:7" x14ac:dyDescent="0.25">
      <c r="B28" s="101"/>
      <c r="C28" s="102"/>
      <c r="D28" s="102"/>
      <c r="E28" s="102"/>
      <c r="F28" s="102"/>
      <c r="G28" s="85"/>
    </row>
    <row r="29" spans="2:7" x14ac:dyDescent="0.25">
      <c r="B29" s="101"/>
      <c r="C29" s="102"/>
      <c r="D29" s="102"/>
      <c r="E29" s="102"/>
      <c r="F29" s="102"/>
      <c r="G29" s="85"/>
    </row>
    <row r="30" spans="2:7" x14ac:dyDescent="0.25">
      <c r="B30" s="101"/>
      <c r="C30" s="102"/>
      <c r="D30" s="102"/>
      <c r="E30" s="102"/>
      <c r="F30" s="102"/>
      <c r="G30" s="85"/>
    </row>
    <row r="31" spans="2:7" ht="15.75" thickBot="1" x14ac:dyDescent="0.3">
      <c r="B31" s="103"/>
      <c r="C31" s="104"/>
      <c r="D31" s="104"/>
      <c r="E31" s="104"/>
      <c r="F31" s="104"/>
      <c r="G31" s="86"/>
    </row>
  </sheetData>
  <sheetProtection selectLockedCells="1"/>
  <mergeCells count="8">
    <mergeCell ref="G27:G31"/>
    <mergeCell ref="B3:F3"/>
    <mergeCell ref="D4:F4"/>
    <mergeCell ref="E6:F6"/>
    <mergeCell ref="B26:C26"/>
    <mergeCell ref="D26:F26"/>
    <mergeCell ref="B27:C31"/>
    <mergeCell ref="D27:F31"/>
  </mergeCells>
  <conditionalFormatting sqref="D8:D25">
    <cfRule type="cellIs" dxfId="45" priority="1" operator="equal">
      <formula>3</formula>
    </cfRule>
    <cfRule type="cellIs" dxfId="4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7"/>
  <sheetViews>
    <sheetView view="pageBreakPreview" topLeftCell="A10" zoomScaleNormal="55" zoomScaleSheetLayoutView="100" zoomScalePageLayoutView="70" workbookViewId="0">
      <selection activeCell="D21" sqref="D21"/>
    </sheetView>
  </sheetViews>
  <sheetFormatPr baseColWidth="10" defaultColWidth="11.42578125" defaultRowHeight="15" x14ac:dyDescent="0.25"/>
  <cols>
    <col min="1" max="1" width="0.28515625" style="1" customWidth="1"/>
    <col min="2" max="2" width="7.855468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5.425781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43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44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1.5" x14ac:dyDescent="0.25">
      <c r="B8" s="37">
        <v>1</v>
      </c>
      <c r="C8" s="48" t="s">
        <v>47</v>
      </c>
      <c r="D8" s="21" t="s">
        <v>110</v>
      </c>
      <c r="E8" s="19"/>
      <c r="F8" s="20"/>
      <c r="G8" s="33"/>
    </row>
    <row r="9" spans="2:7" s="4" customFormat="1" ht="31.5" x14ac:dyDescent="0.25">
      <c r="B9" s="37">
        <v>2</v>
      </c>
      <c r="C9" s="48" t="s">
        <v>48</v>
      </c>
      <c r="D9" s="21" t="s">
        <v>110</v>
      </c>
      <c r="E9" s="19"/>
      <c r="F9" s="20"/>
      <c r="G9" s="33"/>
    </row>
    <row r="10" spans="2:7" s="4" customFormat="1" ht="18.75" x14ac:dyDescent="0.25">
      <c r="B10" s="37">
        <v>4</v>
      </c>
      <c r="C10" s="48" t="s">
        <v>50</v>
      </c>
      <c r="D10" s="21" t="s">
        <v>110</v>
      </c>
      <c r="E10" s="19"/>
      <c r="F10" s="20"/>
      <c r="G10" s="33"/>
    </row>
    <row r="11" spans="2:7" s="4" customFormat="1" ht="18.75" x14ac:dyDescent="0.25">
      <c r="B11" s="37">
        <v>5</v>
      </c>
      <c r="C11" s="48" t="s">
        <v>51</v>
      </c>
      <c r="D11" s="21" t="s">
        <v>113</v>
      </c>
      <c r="E11" s="19"/>
      <c r="F11" s="20"/>
      <c r="G11" s="33"/>
    </row>
    <row r="12" spans="2:7" s="4" customFormat="1" ht="18.75" x14ac:dyDescent="0.25">
      <c r="B12" s="37">
        <v>6</v>
      </c>
      <c r="C12" s="48" t="s">
        <v>52</v>
      </c>
      <c r="D12" s="21" t="s">
        <v>112</v>
      </c>
      <c r="E12" s="19"/>
      <c r="F12" s="20"/>
      <c r="G12" s="33"/>
    </row>
    <row r="13" spans="2:7" s="4" customFormat="1" ht="18.75" x14ac:dyDescent="0.25">
      <c r="B13" s="37">
        <v>7</v>
      </c>
      <c r="C13" s="48" t="s">
        <v>53</v>
      </c>
      <c r="D13" s="21" t="s">
        <v>110</v>
      </c>
      <c r="E13" s="19"/>
      <c r="F13" s="20"/>
      <c r="G13" s="33"/>
    </row>
    <row r="14" spans="2:7" s="4" customFormat="1" ht="18.75" x14ac:dyDescent="0.25">
      <c r="B14" s="37">
        <v>8</v>
      </c>
      <c r="C14" s="48" t="s">
        <v>54</v>
      </c>
      <c r="D14" s="21" t="s">
        <v>110</v>
      </c>
      <c r="E14" s="19"/>
      <c r="F14" s="20"/>
      <c r="G14" s="33"/>
    </row>
    <row r="15" spans="2:7" s="4" customFormat="1" ht="18.75" x14ac:dyDescent="0.25">
      <c r="B15" s="47">
        <v>9</v>
      </c>
      <c r="C15" s="48" t="s">
        <v>55</v>
      </c>
      <c r="D15" s="21" t="s">
        <v>110</v>
      </c>
      <c r="E15" s="19"/>
      <c r="F15" s="20"/>
      <c r="G15" s="33"/>
    </row>
    <row r="16" spans="2:7" s="4" customFormat="1" ht="18.75" x14ac:dyDescent="0.25">
      <c r="B16" s="47">
        <v>10</v>
      </c>
      <c r="C16" s="82" t="s">
        <v>81</v>
      </c>
      <c r="D16" s="21" t="s">
        <v>110</v>
      </c>
      <c r="E16" s="19"/>
      <c r="F16" s="20"/>
      <c r="G16" s="33"/>
    </row>
    <row r="17" spans="2:7" s="4" customFormat="1" ht="18.75" x14ac:dyDescent="0.25">
      <c r="B17" s="47">
        <v>11</v>
      </c>
      <c r="C17" s="82" t="s">
        <v>84</v>
      </c>
      <c r="D17" s="21" t="s">
        <v>110</v>
      </c>
      <c r="E17" s="19"/>
      <c r="F17" s="20"/>
      <c r="G17" s="33"/>
    </row>
    <row r="18" spans="2:7" s="4" customFormat="1" ht="31.5" x14ac:dyDescent="0.25">
      <c r="B18" s="47">
        <v>12</v>
      </c>
      <c r="C18" s="82" t="s">
        <v>93</v>
      </c>
      <c r="D18" s="21" t="s">
        <v>110</v>
      </c>
      <c r="E18" s="19"/>
      <c r="F18" s="20"/>
      <c r="G18" s="33"/>
    </row>
    <row r="19" spans="2:7" s="4" customFormat="1" ht="18.75" x14ac:dyDescent="0.25">
      <c r="B19" s="47">
        <v>13</v>
      </c>
      <c r="C19" s="82" t="s">
        <v>101</v>
      </c>
      <c r="D19" s="21" t="s">
        <v>112</v>
      </c>
      <c r="E19" s="19"/>
      <c r="F19" s="20"/>
      <c r="G19" s="33"/>
    </row>
    <row r="20" spans="2:7" s="4" customFormat="1" ht="18.75" x14ac:dyDescent="0.25">
      <c r="B20" s="47">
        <v>14</v>
      </c>
      <c r="C20" s="82" t="s">
        <v>92</v>
      </c>
      <c r="D20" s="21" t="s">
        <v>113</v>
      </c>
      <c r="E20" s="19"/>
      <c r="F20" s="20"/>
      <c r="G20" s="33"/>
    </row>
    <row r="21" spans="2:7" s="4" customFormat="1" ht="19.5" thickBot="1" x14ac:dyDescent="0.3">
      <c r="B21" s="47">
        <v>15</v>
      </c>
      <c r="C21" s="82" t="s">
        <v>109</v>
      </c>
      <c r="D21" s="21" t="s">
        <v>111</v>
      </c>
      <c r="E21" s="19"/>
      <c r="F21" s="20"/>
      <c r="G21" s="33"/>
    </row>
    <row r="22" spans="2:7" s="12" customFormat="1" ht="18.75" thickBot="1" x14ac:dyDescent="0.3">
      <c r="B22" s="94" t="s">
        <v>13</v>
      </c>
      <c r="C22" s="95"/>
      <c r="D22" s="96" t="s">
        <v>7</v>
      </c>
      <c r="E22" s="97"/>
      <c r="F22" s="98"/>
      <c r="G22" s="24" t="s">
        <v>8</v>
      </c>
    </row>
    <row r="23" spans="2:7" x14ac:dyDescent="0.25">
      <c r="B23" s="99"/>
      <c r="C23" s="100"/>
      <c r="D23" s="100"/>
      <c r="E23" s="100"/>
      <c r="F23" s="100"/>
      <c r="G23" s="84"/>
    </row>
    <row r="24" spans="2:7" x14ac:dyDescent="0.25">
      <c r="B24" s="101"/>
      <c r="C24" s="102"/>
      <c r="D24" s="102"/>
      <c r="E24" s="102"/>
      <c r="F24" s="102"/>
      <c r="G24" s="85"/>
    </row>
    <row r="25" spans="2:7" x14ac:dyDescent="0.25">
      <c r="B25" s="101"/>
      <c r="C25" s="102"/>
      <c r="D25" s="102"/>
      <c r="E25" s="102"/>
      <c r="F25" s="102"/>
      <c r="G25" s="85"/>
    </row>
    <row r="26" spans="2:7" x14ac:dyDescent="0.25">
      <c r="B26" s="101"/>
      <c r="C26" s="102"/>
      <c r="D26" s="102"/>
      <c r="E26" s="102"/>
      <c r="F26" s="102"/>
      <c r="G26" s="85"/>
    </row>
    <row r="27" spans="2:7" ht="15.75" thickBot="1" x14ac:dyDescent="0.3">
      <c r="B27" s="103"/>
      <c r="C27" s="104"/>
      <c r="D27" s="104"/>
      <c r="E27" s="104"/>
      <c r="F27" s="104"/>
      <c r="G27" s="86"/>
    </row>
  </sheetData>
  <sheetProtection selectLockedCells="1"/>
  <mergeCells count="8">
    <mergeCell ref="B23:C27"/>
    <mergeCell ref="D23:F27"/>
    <mergeCell ref="G23:G27"/>
    <mergeCell ref="E6:F6"/>
    <mergeCell ref="B3:F3"/>
    <mergeCell ref="D4:F4"/>
    <mergeCell ref="B22:C22"/>
    <mergeCell ref="D22:F22"/>
  </mergeCells>
  <conditionalFormatting sqref="D8:D21">
    <cfRule type="cellIs" dxfId="43" priority="3" operator="equal">
      <formula>3</formula>
    </cfRule>
    <cfRule type="cellIs" dxfId="4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0" fitToHeight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1"/>
  <sheetViews>
    <sheetView view="pageBreakPreview" zoomScale="90" zoomScaleNormal="55" zoomScaleSheetLayoutView="90" zoomScalePageLayoutView="70" workbookViewId="0">
      <selection activeCell="D15" sqref="D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56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5">
        <v>1</v>
      </c>
      <c r="C8" s="49" t="s">
        <v>57</v>
      </c>
      <c r="D8" s="21" t="s">
        <v>112</v>
      </c>
      <c r="E8" s="19"/>
      <c r="F8" s="20"/>
      <c r="G8" s="33"/>
    </row>
    <row r="9" spans="2:7" s="4" customFormat="1" ht="18.75" x14ac:dyDescent="0.25">
      <c r="B9" s="6">
        <f>B8+1</f>
        <v>2</v>
      </c>
      <c r="C9" s="49" t="s">
        <v>58</v>
      </c>
      <c r="D9" s="21" t="s">
        <v>112</v>
      </c>
      <c r="E9" s="19"/>
      <c r="F9" s="20"/>
      <c r="G9" s="33"/>
    </row>
    <row r="10" spans="2:7" s="4" customFormat="1" ht="18.75" x14ac:dyDescent="0.25">
      <c r="B10" s="37">
        <f>+B9+1</f>
        <v>3</v>
      </c>
      <c r="C10" s="49" t="s">
        <v>59</v>
      </c>
      <c r="D10" s="21" t="s">
        <v>112</v>
      </c>
      <c r="E10" s="19"/>
      <c r="F10" s="20"/>
      <c r="G10" s="33"/>
    </row>
    <row r="11" spans="2:7" s="4" customFormat="1" ht="31.5" x14ac:dyDescent="0.25">
      <c r="B11" s="6">
        <f t="shared" ref="B11:B15" si="0">B10+1</f>
        <v>4</v>
      </c>
      <c r="C11" s="49" t="s">
        <v>60</v>
      </c>
      <c r="D11" s="21" t="s">
        <v>110</v>
      </c>
      <c r="E11" s="19"/>
      <c r="F11" s="20"/>
      <c r="G11" s="33"/>
    </row>
    <row r="12" spans="2:7" s="4" customFormat="1" ht="18.75" x14ac:dyDescent="0.25">
      <c r="B12" s="37">
        <f t="shared" ref="B12:B14" si="1">+B11+1</f>
        <v>5</v>
      </c>
      <c r="C12" s="82" t="s">
        <v>85</v>
      </c>
      <c r="D12" s="21" t="s">
        <v>113</v>
      </c>
      <c r="E12" s="19"/>
      <c r="F12" s="20"/>
      <c r="G12" s="33"/>
    </row>
    <row r="13" spans="2:7" s="4" customFormat="1" ht="18.75" x14ac:dyDescent="0.25">
      <c r="B13" s="6">
        <f t="shared" si="0"/>
        <v>6</v>
      </c>
      <c r="C13" s="82" t="s">
        <v>102</v>
      </c>
      <c r="D13" s="21" t="s">
        <v>114</v>
      </c>
      <c r="E13" s="19"/>
      <c r="F13" s="20"/>
      <c r="G13" s="33"/>
    </row>
    <row r="14" spans="2:7" s="4" customFormat="1" ht="18.75" x14ac:dyDescent="0.25">
      <c r="B14" s="37">
        <f t="shared" si="1"/>
        <v>7</v>
      </c>
      <c r="C14" s="83" t="s">
        <v>86</v>
      </c>
      <c r="D14" s="21" t="s">
        <v>115</v>
      </c>
      <c r="E14" s="19"/>
      <c r="F14" s="20"/>
      <c r="G14" s="33"/>
    </row>
    <row r="15" spans="2:7" s="4" customFormat="1" ht="19.5" thickBot="1" x14ac:dyDescent="0.3">
      <c r="B15" s="6">
        <f t="shared" si="0"/>
        <v>8</v>
      </c>
      <c r="C15" s="82" t="s">
        <v>109</v>
      </c>
      <c r="D15" s="21" t="s">
        <v>111</v>
      </c>
      <c r="E15" s="19"/>
      <c r="F15" s="20"/>
      <c r="G15" s="33"/>
    </row>
    <row r="16" spans="2:7" ht="18.75" thickBot="1" x14ac:dyDescent="0.3">
      <c r="B16" s="94" t="s">
        <v>13</v>
      </c>
      <c r="C16" s="95"/>
      <c r="D16" s="96" t="s">
        <v>7</v>
      </c>
      <c r="E16" s="97"/>
      <c r="F16" s="98"/>
      <c r="G16" s="24" t="s">
        <v>8</v>
      </c>
    </row>
    <row r="17" spans="2:7" x14ac:dyDescent="0.25">
      <c r="B17" s="99"/>
      <c r="C17" s="100"/>
      <c r="D17" s="100"/>
      <c r="E17" s="100"/>
      <c r="F17" s="100"/>
      <c r="G17" s="84"/>
    </row>
    <row r="18" spans="2:7" x14ac:dyDescent="0.25">
      <c r="B18" s="101"/>
      <c r="C18" s="102"/>
      <c r="D18" s="102"/>
      <c r="E18" s="102"/>
      <c r="F18" s="102"/>
      <c r="G18" s="85"/>
    </row>
    <row r="19" spans="2:7" x14ac:dyDescent="0.25">
      <c r="B19" s="101"/>
      <c r="C19" s="102"/>
      <c r="D19" s="102"/>
      <c r="E19" s="102"/>
      <c r="F19" s="102"/>
      <c r="G19" s="85"/>
    </row>
    <row r="20" spans="2:7" x14ac:dyDescent="0.25">
      <c r="B20" s="101"/>
      <c r="C20" s="102"/>
      <c r="D20" s="102"/>
      <c r="E20" s="102"/>
      <c r="F20" s="102"/>
      <c r="G20" s="85"/>
    </row>
    <row r="21" spans="2:7" ht="15.75" thickBot="1" x14ac:dyDescent="0.3">
      <c r="B21" s="103"/>
      <c r="C21" s="104"/>
      <c r="D21" s="104"/>
      <c r="E21" s="104"/>
      <c r="F21" s="104"/>
      <c r="G21" s="86"/>
    </row>
  </sheetData>
  <sheetProtection selectLockedCells="1"/>
  <mergeCells count="8">
    <mergeCell ref="G17:G21"/>
    <mergeCell ref="B3:F3"/>
    <mergeCell ref="D4:F4"/>
    <mergeCell ref="E6:F6"/>
    <mergeCell ref="B16:C16"/>
    <mergeCell ref="D16:F16"/>
    <mergeCell ref="B17:C21"/>
    <mergeCell ref="D17:F21"/>
  </mergeCells>
  <conditionalFormatting sqref="D8:D15">
    <cfRule type="cellIs" dxfId="41" priority="1" operator="equal">
      <formula>3</formula>
    </cfRule>
    <cfRule type="cellIs" dxfId="40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R20"/>
  <sheetViews>
    <sheetView view="pageLayout" zoomScale="85" zoomScaleNormal="90" zoomScalePageLayoutView="85" workbookViewId="0">
      <selection activeCell="D12" sqref="D12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0.5703125" style="1" customWidth="1"/>
    <col min="9" max="9" width="7.85546875" style="1" hidden="1" customWidth="1"/>
    <col min="10" max="11" width="8.140625" style="1" hidden="1" customWidth="1"/>
    <col min="12" max="13" width="11.42578125" style="1" hidden="1" customWidth="1"/>
    <col min="14" max="14" width="8.85546875" style="1" hidden="1" customWidth="1"/>
    <col min="15" max="17" width="11.42578125" style="1" hidden="1" customWidth="1"/>
    <col min="18" max="18" width="2.140625" style="1" hidden="1" customWidth="1"/>
    <col min="19" max="16384" width="11.42578125" style="1"/>
  </cols>
  <sheetData>
    <row r="1" spans="2:7" ht="26.25" x14ac:dyDescent="0.25">
      <c r="B1" s="64" t="s">
        <v>72</v>
      </c>
      <c r="C1" s="64"/>
      <c r="D1" s="64"/>
      <c r="E1" s="64"/>
      <c r="F1" s="64"/>
      <c r="G1" s="61" t="s">
        <v>65</v>
      </c>
    </row>
    <row r="2" spans="2:7" ht="23.25" x14ac:dyDescent="0.25">
      <c r="B2" s="50"/>
      <c r="C2" s="51" t="s">
        <v>41</v>
      </c>
      <c r="D2" s="108" t="s">
        <v>38</v>
      </c>
      <c r="E2" s="109"/>
      <c r="F2" s="110"/>
      <c r="G2" s="65" t="s">
        <v>39</v>
      </c>
    </row>
    <row r="3" spans="2:7" ht="18" x14ac:dyDescent="0.25">
      <c r="B3" s="52"/>
      <c r="C3" s="52"/>
      <c r="D3" s="52"/>
      <c r="E3" s="66" t="s">
        <v>0</v>
      </c>
      <c r="F3" s="66"/>
      <c r="G3" s="52"/>
    </row>
    <row r="4" spans="2:7" s="4" customFormat="1" ht="15.75" x14ac:dyDescent="0.25">
      <c r="B4" s="53" t="s">
        <v>1</v>
      </c>
      <c r="C4" s="53" t="s">
        <v>2</v>
      </c>
      <c r="D4" s="53" t="s">
        <v>3</v>
      </c>
      <c r="E4" s="54" t="s">
        <v>4</v>
      </c>
      <c r="F4" s="54" t="s">
        <v>5</v>
      </c>
      <c r="G4" s="55" t="s">
        <v>6</v>
      </c>
    </row>
    <row r="5" spans="2:7" s="4" customFormat="1" ht="18.75" x14ac:dyDescent="0.25">
      <c r="B5" s="47">
        <v>1</v>
      </c>
      <c r="C5" s="49" t="s">
        <v>61</v>
      </c>
      <c r="D5" s="56" t="s">
        <v>111</v>
      </c>
      <c r="E5" s="57"/>
      <c r="F5" s="58"/>
      <c r="G5" s="59"/>
    </row>
    <row r="6" spans="2:7" s="4" customFormat="1" ht="18.75" x14ac:dyDescent="0.25">
      <c r="B6" s="62">
        <f>B5+1</f>
        <v>2</v>
      </c>
      <c r="C6" s="49" t="s">
        <v>57</v>
      </c>
      <c r="D6" s="56" t="s">
        <v>112</v>
      </c>
      <c r="E6" s="57"/>
      <c r="F6" s="58"/>
      <c r="G6" s="59"/>
    </row>
    <row r="7" spans="2:7" s="4" customFormat="1" ht="18.75" x14ac:dyDescent="0.25">
      <c r="B7" s="47">
        <f>+B6+1</f>
        <v>3</v>
      </c>
      <c r="C7" s="49" t="s">
        <v>58</v>
      </c>
      <c r="D7" s="56" t="s">
        <v>112</v>
      </c>
      <c r="E7" s="57"/>
      <c r="F7" s="58"/>
      <c r="G7" s="59"/>
    </row>
    <row r="8" spans="2:7" s="4" customFormat="1" ht="18.75" x14ac:dyDescent="0.25">
      <c r="B8" s="62">
        <f t="shared" ref="B8" si="0">B7+1</f>
        <v>4</v>
      </c>
      <c r="C8" s="49" t="s">
        <v>59</v>
      </c>
      <c r="D8" s="56" t="s">
        <v>112</v>
      </c>
      <c r="E8" s="57"/>
      <c r="F8" s="58"/>
      <c r="G8" s="59"/>
    </row>
    <row r="9" spans="2:7" s="4" customFormat="1" ht="31.5" x14ac:dyDescent="0.25">
      <c r="B9" s="37">
        <f t="shared" ref="B9:B13" si="1">+B8+1</f>
        <v>5</v>
      </c>
      <c r="C9" s="49" t="s">
        <v>60</v>
      </c>
      <c r="D9" s="21" t="s">
        <v>110</v>
      </c>
      <c r="E9" s="19"/>
      <c r="F9" s="20"/>
      <c r="G9" s="33"/>
    </row>
    <row r="10" spans="2:7" s="4" customFormat="1" ht="18.75" x14ac:dyDescent="0.25">
      <c r="B10" s="6">
        <f t="shared" ref="B10:B12" si="2">B9+1</f>
        <v>6</v>
      </c>
      <c r="C10" s="82" t="s">
        <v>94</v>
      </c>
      <c r="D10" s="21" t="s">
        <v>110</v>
      </c>
      <c r="E10" s="19"/>
      <c r="F10" s="20"/>
      <c r="G10" s="33"/>
    </row>
    <row r="11" spans="2:7" s="4" customFormat="1" ht="18.75" x14ac:dyDescent="0.25">
      <c r="B11" s="37">
        <f t="shared" si="1"/>
        <v>7</v>
      </c>
      <c r="C11" s="82" t="s">
        <v>104</v>
      </c>
      <c r="D11" s="21" t="s">
        <v>110</v>
      </c>
      <c r="E11" s="19"/>
      <c r="F11" s="20"/>
      <c r="G11" s="33"/>
    </row>
    <row r="12" spans="2:7" s="4" customFormat="1" ht="18.75" x14ac:dyDescent="0.25">
      <c r="B12" s="6">
        <f t="shared" si="2"/>
        <v>8</v>
      </c>
      <c r="C12" s="82" t="s">
        <v>87</v>
      </c>
      <c r="D12" s="21" t="s">
        <v>110</v>
      </c>
      <c r="E12" s="19"/>
      <c r="F12" s="20"/>
      <c r="G12" s="33"/>
    </row>
    <row r="13" spans="2:7" s="4" customFormat="1" ht="19.5" thickBot="1" x14ac:dyDescent="0.3">
      <c r="B13" s="37">
        <f t="shared" si="1"/>
        <v>9</v>
      </c>
      <c r="C13" s="82"/>
      <c r="D13" s="21"/>
      <c r="E13" s="19"/>
      <c r="F13" s="20"/>
      <c r="G13" s="33"/>
    </row>
    <row r="14" spans="2:7" ht="32.25" customHeight="1" thickBot="1" x14ac:dyDescent="0.3">
      <c r="B14" s="111" t="s">
        <v>13</v>
      </c>
      <c r="C14" s="112"/>
      <c r="D14" s="96" t="s">
        <v>7</v>
      </c>
      <c r="E14" s="97"/>
      <c r="F14" s="98"/>
      <c r="G14" s="24" t="s">
        <v>8</v>
      </c>
    </row>
    <row r="15" spans="2:7" x14ac:dyDescent="0.25">
      <c r="B15" s="113"/>
      <c r="C15" s="114"/>
      <c r="D15" s="113"/>
      <c r="E15" s="119"/>
      <c r="F15" s="114"/>
      <c r="G15" s="105"/>
    </row>
    <row r="16" spans="2:7" x14ac:dyDescent="0.25">
      <c r="B16" s="115"/>
      <c r="C16" s="116"/>
      <c r="D16" s="115"/>
      <c r="E16" s="120"/>
      <c r="F16" s="116"/>
      <c r="G16" s="106"/>
    </row>
    <row r="17" spans="2:7" x14ac:dyDescent="0.25">
      <c r="B17" s="115"/>
      <c r="C17" s="116"/>
      <c r="D17" s="115"/>
      <c r="E17" s="120"/>
      <c r="F17" s="116"/>
      <c r="G17" s="106"/>
    </row>
    <row r="18" spans="2:7" x14ac:dyDescent="0.25">
      <c r="B18" s="115"/>
      <c r="C18" s="116"/>
      <c r="D18" s="115"/>
      <c r="E18" s="120"/>
      <c r="F18" s="116"/>
      <c r="G18" s="106"/>
    </row>
    <row r="19" spans="2:7" x14ac:dyDescent="0.25">
      <c r="B19" s="115"/>
      <c r="C19" s="116"/>
      <c r="D19" s="115"/>
      <c r="E19" s="120"/>
      <c r="F19" s="116"/>
      <c r="G19" s="106"/>
    </row>
    <row r="20" spans="2:7" ht="15.75" thickBot="1" x14ac:dyDescent="0.3">
      <c r="B20" s="117"/>
      <c r="C20" s="118"/>
      <c r="D20" s="117"/>
      <c r="E20" s="121"/>
      <c r="F20" s="118"/>
      <c r="G20" s="107"/>
    </row>
  </sheetData>
  <mergeCells count="6">
    <mergeCell ref="G15:G20"/>
    <mergeCell ref="D2:F2"/>
    <mergeCell ref="B14:C14"/>
    <mergeCell ref="D14:F14"/>
    <mergeCell ref="B15:C20"/>
    <mergeCell ref="D15:F20"/>
  </mergeCells>
  <conditionalFormatting sqref="D5:D13">
    <cfRule type="cellIs" dxfId="39" priority="1" operator="equal">
      <formula>3</formula>
    </cfRule>
    <cfRule type="cellIs" dxfId="38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2"/>
  <sheetViews>
    <sheetView view="pageBreakPreview" topLeftCell="B1" zoomScaleNormal="55" zoomScaleSheetLayoutView="100" zoomScalePageLayoutView="70" workbookViewId="0">
      <selection activeCell="C8" sqref="C8:C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62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1.5" x14ac:dyDescent="0.25">
      <c r="B8" s="5">
        <v>1</v>
      </c>
      <c r="C8" s="48" t="s">
        <v>48</v>
      </c>
      <c r="D8" s="21"/>
      <c r="E8" s="19"/>
      <c r="F8" s="20"/>
      <c r="G8" s="33"/>
    </row>
    <row r="9" spans="2:7" s="4" customFormat="1" ht="18.75" x14ac:dyDescent="0.25">
      <c r="B9" s="6">
        <v>2</v>
      </c>
      <c r="C9" s="49" t="s">
        <v>57</v>
      </c>
      <c r="D9" s="21"/>
      <c r="E9" s="19"/>
      <c r="F9" s="20"/>
      <c r="G9" s="33"/>
    </row>
    <row r="10" spans="2:7" s="4" customFormat="1" ht="18.75" x14ac:dyDescent="0.25">
      <c r="B10" s="37">
        <v>3</v>
      </c>
      <c r="C10" s="48" t="s">
        <v>55</v>
      </c>
      <c r="D10" s="21"/>
      <c r="E10" s="19"/>
      <c r="F10" s="20"/>
      <c r="G10" s="33"/>
    </row>
    <row r="11" spans="2:7" s="4" customFormat="1" ht="18.75" x14ac:dyDescent="0.25">
      <c r="B11" s="6">
        <v>4</v>
      </c>
      <c r="C11" s="48" t="s">
        <v>50</v>
      </c>
      <c r="D11" s="21"/>
      <c r="E11" s="19"/>
      <c r="F11" s="20"/>
      <c r="G11" s="33"/>
    </row>
    <row r="12" spans="2:7" s="4" customFormat="1" ht="18.75" x14ac:dyDescent="0.25">
      <c r="B12" s="37">
        <v>5</v>
      </c>
      <c r="C12" s="48" t="s">
        <v>49</v>
      </c>
      <c r="D12" s="21"/>
      <c r="E12" s="19"/>
      <c r="F12" s="20"/>
      <c r="G12" s="33"/>
    </row>
    <row r="13" spans="2:7" s="4" customFormat="1" ht="18.75" x14ac:dyDescent="0.25">
      <c r="B13" s="6">
        <v>6</v>
      </c>
      <c r="C13" s="48" t="s">
        <v>71</v>
      </c>
      <c r="D13" s="21"/>
      <c r="E13" s="19"/>
      <c r="F13" s="20"/>
      <c r="G13" s="33"/>
    </row>
    <row r="14" spans="2:7" s="4" customFormat="1" ht="18.75" x14ac:dyDescent="0.25">
      <c r="B14" s="37">
        <v>7</v>
      </c>
      <c r="C14" s="82" t="s">
        <v>105</v>
      </c>
      <c r="D14" s="21"/>
      <c r="E14" s="19"/>
      <c r="F14" s="20"/>
      <c r="G14" s="33"/>
    </row>
    <row r="15" spans="2:7" s="4" customFormat="1" ht="18.75" x14ac:dyDescent="0.25">
      <c r="B15" s="6">
        <v>8</v>
      </c>
      <c r="C15" s="82" t="s">
        <v>106</v>
      </c>
      <c r="D15" s="21"/>
      <c r="E15" s="19"/>
      <c r="F15" s="20"/>
      <c r="G15" s="33"/>
    </row>
    <row r="16" spans="2:7" s="4" customFormat="1" ht="19.5" thickBot="1" x14ac:dyDescent="0.3">
      <c r="B16" s="37">
        <v>9</v>
      </c>
      <c r="C16" s="82" t="s">
        <v>109</v>
      </c>
      <c r="D16" s="21"/>
      <c r="E16" s="19"/>
      <c r="F16" s="20"/>
      <c r="G16" s="33"/>
    </row>
    <row r="17" spans="2:7" ht="18.75" thickBot="1" x14ac:dyDescent="0.3">
      <c r="B17" s="94" t="s">
        <v>13</v>
      </c>
      <c r="C17" s="95"/>
      <c r="D17" s="96" t="s">
        <v>7</v>
      </c>
      <c r="E17" s="97"/>
      <c r="F17" s="98"/>
      <c r="G17" s="24" t="s">
        <v>8</v>
      </c>
    </row>
    <row r="18" spans="2:7" x14ac:dyDescent="0.25">
      <c r="B18" s="99"/>
      <c r="C18" s="100"/>
      <c r="D18" s="100"/>
      <c r="E18" s="100"/>
      <c r="F18" s="100"/>
      <c r="G18" s="84"/>
    </row>
    <row r="19" spans="2:7" x14ac:dyDescent="0.25">
      <c r="B19" s="101"/>
      <c r="C19" s="102"/>
      <c r="D19" s="102"/>
      <c r="E19" s="102"/>
      <c r="F19" s="102"/>
      <c r="G19" s="85"/>
    </row>
    <row r="20" spans="2:7" x14ac:dyDescent="0.25">
      <c r="B20" s="101"/>
      <c r="C20" s="102"/>
      <c r="D20" s="102"/>
      <c r="E20" s="102"/>
      <c r="F20" s="102"/>
      <c r="G20" s="85"/>
    </row>
    <row r="21" spans="2:7" x14ac:dyDescent="0.25">
      <c r="B21" s="101"/>
      <c r="C21" s="102"/>
      <c r="D21" s="102"/>
      <c r="E21" s="102"/>
      <c r="F21" s="102"/>
      <c r="G21" s="85"/>
    </row>
    <row r="22" spans="2:7" ht="15.75" thickBot="1" x14ac:dyDescent="0.3">
      <c r="B22" s="103"/>
      <c r="C22" s="104"/>
      <c r="D22" s="104"/>
      <c r="E22" s="104"/>
      <c r="F22" s="104"/>
      <c r="G22" s="86"/>
    </row>
  </sheetData>
  <sheetProtection selectLockedCells="1"/>
  <mergeCells count="8">
    <mergeCell ref="B18:C22"/>
    <mergeCell ref="D18:F22"/>
    <mergeCell ref="G18:G22"/>
    <mergeCell ref="B3:F3"/>
    <mergeCell ref="D4:F4"/>
    <mergeCell ref="E6:F6"/>
    <mergeCell ref="B17:C17"/>
    <mergeCell ref="D17:F17"/>
  </mergeCells>
  <conditionalFormatting sqref="D8:D16">
    <cfRule type="cellIs" dxfId="37" priority="3" operator="equal">
      <formula>3</formula>
    </cfRule>
    <cfRule type="cellIs" dxfId="36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5"/>
  <sheetViews>
    <sheetView view="pageBreakPreview" topLeftCell="A4" zoomScale="90" zoomScaleNormal="55" zoomScaleSheetLayoutView="90" zoomScalePageLayoutView="70" workbookViewId="0">
      <selection activeCell="C8" sqref="C8:C19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40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6">
        <v>1</v>
      </c>
      <c r="C8" s="48" t="s">
        <v>74</v>
      </c>
      <c r="D8" s="21"/>
      <c r="E8" s="19"/>
      <c r="F8" s="20"/>
      <c r="G8" s="33" t="s">
        <v>75</v>
      </c>
    </row>
    <row r="9" spans="2:7" s="4" customFormat="1" ht="31.5" x14ac:dyDescent="0.25">
      <c r="B9" s="37">
        <f>+B8+1</f>
        <v>2</v>
      </c>
      <c r="C9" s="48" t="s">
        <v>48</v>
      </c>
      <c r="D9" s="21"/>
      <c r="E9" s="19"/>
      <c r="F9" s="20"/>
      <c r="G9" s="33"/>
    </row>
    <row r="10" spans="2:7" s="4" customFormat="1" ht="18.75" x14ac:dyDescent="0.25">
      <c r="B10" s="37">
        <v>3</v>
      </c>
      <c r="C10" s="48" t="s">
        <v>49</v>
      </c>
      <c r="D10" s="21"/>
      <c r="E10" s="19"/>
      <c r="F10" s="20"/>
      <c r="G10" s="33"/>
    </row>
    <row r="11" spans="2:7" s="4" customFormat="1" ht="18.75" x14ac:dyDescent="0.25">
      <c r="B11" s="6">
        <v>4</v>
      </c>
      <c r="C11" s="48" t="s">
        <v>50</v>
      </c>
      <c r="D11" s="21"/>
      <c r="E11" s="19"/>
      <c r="F11" s="20"/>
      <c r="G11" s="33"/>
    </row>
    <row r="12" spans="2:7" s="4" customFormat="1" ht="18.75" x14ac:dyDescent="0.25">
      <c r="B12" s="6">
        <v>5</v>
      </c>
      <c r="C12" s="48" t="s">
        <v>51</v>
      </c>
      <c r="D12" s="21"/>
      <c r="E12" s="19"/>
      <c r="F12" s="20"/>
      <c r="G12" s="33"/>
    </row>
    <row r="13" spans="2:7" s="4" customFormat="1" ht="18.75" x14ac:dyDescent="0.25">
      <c r="B13" s="6">
        <v>6</v>
      </c>
      <c r="C13" s="63" t="s">
        <v>66</v>
      </c>
      <c r="D13" s="21"/>
      <c r="E13" s="19"/>
      <c r="F13" s="20"/>
      <c r="G13" s="33"/>
    </row>
    <row r="14" spans="2:7" s="4" customFormat="1" ht="18.75" x14ac:dyDescent="0.25">
      <c r="B14" s="6">
        <v>7</v>
      </c>
      <c r="C14" s="49" t="s">
        <v>68</v>
      </c>
      <c r="D14" s="21"/>
      <c r="E14" s="19"/>
      <c r="F14" s="20"/>
      <c r="G14" s="33"/>
    </row>
    <row r="15" spans="2:7" s="4" customFormat="1" ht="18.75" x14ac:dyDescent="0.25">
      <c r="B15" s="6">
        <v>8</v>
      </c>
      <c r="C15" s="82" t="s">
        <v>89</v>
      </c>
      <c r="D15" s="21"/>
      <c r="E15" s="19"/>
      <c r="F15" s="20"/>
      <c r="G15" s="33"/>
    </row>
    <row r="16" spans="2:7" s="4" customFormat="1" ht="18.75" x14ac:dyDescent="0.25">
      <c r="B16" s="6">
        <v>9</v>
      </c>
      <c r="C16" s="82" t="s">
        <v>90</v>
      </c>
      <c r="D16" s="21"/>
      <c r="E16" s="19"/>
      <c r="F16" s="20"/>
      <c r="G16" s="33"/>
    </row>
    <row r="17" spans="2:7" s="4" customFormat="1" ht="18.75" x14ac:dyDescent="0.25">
      <c r="B17" s="6">
        <v>10</v>
      </c>
      <c r="C17" s="82" t="s">
        <v>107</v>
      </c>
      <c r="D17" s="21"/>
      <c r="E17" s="19"/>
      <c r="F17" s="20"/>
      <c r="G17" s="33"/>
    </row>
    <row r="18" spans="2:7" s="4" customFormat="1" ht="18.75" x14ac:dyDescent="0.25">
      <c r="B18" s="6">
        <v>11</v>
      </c>
      <c r="C18" s="82" t="s">
        <v>88</v>
      </c>
      <c r="D18" s="21"/>
      <c r="E18" s="19"/>
      <c r="F18" s="20"/>
      <c r="G18" s="33"/>
    </row>
    <row r="19" spans="2:7" s="4" customFormat="1" ht="19.5" thickBot="1" x14ac:dyDescent="0.3">
      <c r="B19" s="6">
        <v>12</v>
      </c>
      <c r="C19" s="82" t="s">
        <v>109</v>
      </c>
      <c r="D19" s="21"/>
      <c r="E19" s="19"/>
      <c r="F19" s="20"/>
      <c r="G19" s="33"/>
    </row>
    <row r="20" spans="2:7" ht="18.75" thickBot="1" x14ac:dyDescent="0.3">
      <c r="B20" s="94" t="s">
        <v>13</v>
      </c>
      <c r="C20" s="95"/>
      <c r="D20" s="96" t="s">
        <v>7</v>
      </c>
      <c r="E20" s="97"/>
      <c r="F20" s="98"/>
      <c r="G20" s="24" t="s">
        <v>8</v>
      </c>
    </row>
    <row r="21" spans="2:7" x14ac:dyDescent="0.25">
      <c r="B21" s="99"/>
      <c r="C21" s="100"/>
      <c r="D21" s="100"/>
      <c r="E21" s="100"/>
      <c r="F21" s="100"/>
      <c r="G21" s="84"/>
    </row>
    <row r="22" spans="2:7" x14ac:dyDescent="0.25">
      <c r="B22" s="101"/>
      <c r="C22" s="102"/>
      <c r="D22" s="102"/>
      <c r="E22" s="102"/>
      <c r="F22" s="102"/>
      <c r="G22" s="85"/>
    </row>
    <row r="23" spans="2:7" x14ac:dyDescent="0.25">
      <c r="B23" s="101"/>
      <c r="C23" s="102"/>
      <c r="D23" s="102"/>
      <c r="E23" s="102"/>
      <c r="F23" s="102"/>
      <c r="G23" s="85"/>
    </row>
    <row r="24" spans="2:7" x14ac:dyDescent="0.25">
      <c r="B24" s="101"/>
      <c r="C24" s="102"/>
      <c r="D24" s="102"/>
      <c r="E24" s="102"/>
      <c r="F24" s="102"/>
      <c r="G24" s="85"/>
    </row>
    <row r="25" spans="2:7" ht="15.75" thickBot="1" x14ac:dyDescent="0.3">
      <c r="B25" s="103"/>
      <c r="C25" s="104"/>
      <c r="D25" s="104"/>
      <c r="E25" s="104"/>
      <c r="F25" s="104"/>
      <c r="G25" s="86"/>
    </row>
  </sheetData>
  <sheetProtection selectLockedCells="1"/>
  <mergeCells count="8">
    <mergeCell ref="G21:G25"/>
    <mergeCell ref="B3:F3"/>
    <mergeCell ref="D4:F4"/>
    <mergeCell ref="E6:F6"/>
    <mergeCell ref="B20:C20"/>
    <mergeCell ref="D20:F20"/>
    <mergeCell ref="B21:C25"/>
    <mergeCell ref="D21:F25"/>
  </mergeCells>
  <conditionalFormatting sqref="D8:D19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3"/>
  <sheetViews>
    <sheetView view="pageBreakPreview" zoomScaleNormal="55" zoomScaleSheetLayoutView="100" zoomScalePageLayoutView="70" workbookViewId="0">
      <selection activeCell="C8" sqref="C8:C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42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5">
        <v>1</v>
      </c>
      <c r="C8" s="48" t="s">
        <v>73</v>
      </c>
      <c r="D8" s="21"/>
      <c r="E8" s="19"/>
      <c r="F8" s="20"/>
      <c r="G8" s="33"/>
    </row>
    <row r="9" spans="2:7" s="4" customFormat="1" ht="32.25" thickBot="1" x14ac:dyDescent="0.3">
      <c r="B9" s="6">
        <f>B8+1</f>
        <v>2</v>
      </c>
      <c r="C9" s="48" t="s">
        <v>48</v>
      </c>
      <c r="D9" s="21"/>
      <c r="E9" s="19"/>
      <c r="F9" s="20"/>
      <c r="G9" s="33"/>
    </row>
    <row r="10" spans="2:7" s="4" customFormat="1" ht="18.75" x14ac:dyDescent="0.25">
      <c r="B10" s="5">
        <v>2</v>
      </c>
      <c r="C10" s="48" t="s">
        <v>49</v>
      </c>
      <c r="D10" s="21"/>
      <c r="E10" s="19"/>
      <c r="F10" s="20"/>
      <c r="G10" s="33"/>
    </row>
    <row r="11" spans="2:7" s="4" customFormat="1" ht="19.5" thickBot="1" x14ac:dyDescent="0.3">
      <c r="B11" s="6">
        <f t="shared" ref="B11" si="0">B10+1</f>
        <v>3</v>
      </c>
      <c r="C11" s="48" t="s">
        <v>63</v>
      </c>
      <c r="D11" s="21"/>
      <c r="E11" s="19"/>
      <c r="F11" s="20"/>
      <c r="G11" s="33"/>
    </row>
    <row r="12" spans="2:7" s="4" customFormat="1" ht="18.75" x14ac:dyDescent="0.25">
      <c r="B12" s="5">
        <v>3</v>
      </c>
      <c r="C12" s="49" t="s">
        <v>66</v>
      </c>
      <c r="D12" s="21"/>
      <c r="E12" s="19"/>
      <c r="F12" s="20"/>
      <c r="G12" s="33"/>
    </row>
    <row r="13" spans="2:7" s="4" customFormat="1" ht="19.5" thickBot="1" x14ac:dyDescent="0.3">
      <c r="B13" s="6">
        <f t="shared" ref="B13" si="1">B12+1</f>
        <v>4</v>
      </c>
      <c r="C13" s="49" t="s">
        <v>67</v>
      </c>
      <c r="D13" s="21"/>
      <c r="E13" s="19"/>
      <c r="F13" s="20"/>
      <c r="G13" s="33"/>
    </row>
    <row r="14" spans="2:7" s="4" customFormat="1" ht="18.75" x14ac:dyDescent="0.25">
      <c r="B14" s="5">
        <v>4</v>
      </c>
      <c r="C14" s="82" t="s">
        <v>91</v>
      </c>
      <c r="D14" s="21"/>
      <c r="E14" s="19"/>
      <c r="F14" s="20"/>
      <c r="G14" s="33"/>
    </row>
    <row r="15" spans="2:7" s="4" customFormat="1" ht="19.5" thickBot="1" x14ac:dyDescent="0.3">
      <c r="B15" s="6">
        <f t="shared" ref="B15" si="2">B14+1</f>
        <v>5</v>
      </c>
      <c r="C15" s="82" t="s">
        <v>109</v>
      </c>
      <c r="D15" s="21"/>
      <c r="E15" s="19"/>
      <c r="F15" s="20"/>
      <c r="G15" s="33"/>
    </row>
    <row r="16" spans="2:7" s="4" customFormat="1" ht="18.75" x14ac:dyDescent="0.25">
      <c r="B16" s="5">
        <v>5</v>
      </c>
      <c r="C16" s="49"/>
      <c r="D16" s="21"/>
      <c r="E16" s="19"/>
      <c r="F16" s="20"/>
      <c r="G16" s="33"/>
    </row>
    <row r="17" spans="2:7" s="4" customFormat="1" ht="19.5" thickBot="1" x14ac:dyDescent="0.3">
      <c r="B17" s="6">
        <f t="shared" ref="B17" si="3">B16+1</f>
        <v>6</v>
      </c>
      <c r="C17" s="49"/>
      <c r="D17" s="21"/>
      <c r="E17" s="19"/>
      <c r="F17" s="20"/>
      <c r="G17" s="33"/>
    </row>
    <row r="18" spans="2:7" ht="18.75" thickBot="1" x14ac:dyDescent="0.3">
      <c r="B18" s="94" t="s">
        <v>13</v>
      </c>
      <c r="C18" s="95"/>
      <c r="D18" s="96" t="s">
        <v>7</v>
      </c>
      <c r="E18" s="97"/>
      <c r="F18" s="98"/>
      <c r="G18" s="24" t="s">
        <v>8</v>
      </c>
    </row>
    <row r="19" spans="2:7" x14ac:dyDescent="0.25">
      <c r="B19" s="99"/>
      <c r="C19" s="100"/>
      <c r="D19" s="100"/>
      <c r="E19" s="100"/>
      <c r="F19" s="100"/>
      <c r="G19" s="84"/>
    </row>
    <row r="20" spans="2:7" x14ac:dyDescent="0.25">
      <c r="B20" s="101"/>
      <c r="C20" s="102"/>
      <c r="D20" s="102"/>
      <c r="E20" s="102"/>
      <c r="F20" s="102"/>
      <c r="G20" s="85"/>
    </row>
    <row r="21" spans="2:7" x14ac:dyDescent="0.25">
      <c r="B21" s="101"/>
      <c r="C21" s="102"/>
      <c r="D21" s="102"/>
      <c r="E21" s="102"/>
      <c r="F21" s="102"/>
      <c r="G21" s="85"/>
    </row>
    <row r="22" spans="2:7" x14ac:dyDescent="0.25">
      <c r="B22" s="101"/>
      <c r="C22" s="102"/>
      <c r="D22" s="102"/>
      <c r="E22" s="102"/>
      <c r="F22" s="102"/>
      <c r="G22" s="85"/>
    </row>
    <row r="23" spans="2:7" ht="15.75" thickBot="1" x14ac:dyDescent="0.3">
      <c r="B23" s="103"/>
      <c r="C23" s="104"/>
      <c r="D23" s="104"/>
      <c r="E23" s="104"/>
      <c r="F23" s="104"/>
      <c r="G23" s="86"/>
    </row>
  </sheetData>
  <sheetProtection selectLockedCells="1"/>
  <mergeCells count="8">
    <mergeCell ref="B19:C23"/>
    <mergeCell ref="D19:F23"/>
    <mergeCell ref="G19:G23"/>
    <mergeCell ref="B3:F3"/>
    <mergeCell ref="D4:F4"/>
    <mergeCell ref="E6:F6"/>
    <mergeCell ref="B18:C18"/>
    <mergeCell ref="D18:F18"/>
  </mergeCells>
  <conditionalFormatting sqref="D8:D17">
    <cfRule type="cellIs" dxfId="33" priority="3" operator="equal">
      <formula>3</formula>
    </cfRule>
    <cfRule type="cellIs" dxfId="32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81" fitToHeight="2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0"/>
  <sheetViews>
    <sheetView view="pageBreakPreview" zoomScale="90" zoomScaleNormal="55" zoomScaleSheetLayoutView="90" zoomScalePageLayoutView="70" workbookViewId="0">
      <selection activeCell="C8" sqref="C8:C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64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31.5" x14ac:dyDescent="0.25">
      <c r="B8" s="5">
        <v>1</v>
      </c>
      <c r="C8" s="48" t="s">
        <v>47</v>
      </c>
      <c r="D8" s="21"/>
      <c r="E8" s="19"/>
      <c r="F8" s="20"/>
      <c r="G8" s="33"/>
    </row>
    <row r="9" spans="2:7" s="4" customFormat="1" ht="31.5" x14ac:dyDescent="0.25">
      <c r="B9" s="6">
        <f>B8+1</f>
        <v>2</v>
      </c>
      <c r="C9" s="48" t="s">
        <v>48</v>
      </c>
      <c r="D9" s="21"/>
      <c r="E9" s="19"/>
      <c r="F9" s="20"/>
      <c r="G9" s="33"/>
    </row>
    <row r="10" spans="2:7" s="4" customFormat="1" ht="18.75" x14ac:dyDescent="0.25">
      <c r="B10" s="37">
        <f>+B9+1</f>
        <v>3</v>
      </c>
      <c r="C10" s="48" t="s">
        <v>49</v>
      </c>
      <c r="D10" s="21"/>
      <c r="E10" s="19"/>
      <c r="F10" s="20"/>
      <c r="G10" s="33"/>
    </row>
    <row r="11" spans="2:7" s="4" customFormat="1" ht="18.75" x14ac:dyDescent="0.25">
      <c r="B11" s="6">
        <f t="shared" ref="B11" si="0">B10+1</f>
        <v>4</v>
      </c>
      <c r="C11" s="48" t="s">
        <v>50</v>
      </c>
      <c r="D11" s="21"/>
      <c r="E11" s="19"/>
      <c r="F11" s="20"/>
      <c r="G11" s="33"/>
    </row>
    <row r="12" spans="2:7" s="4" customFormat="1" ht="18.75" x14ac:dyDescent="0.25">
      <c r="B12" s="37">
        <f t="shared" ref="B12" si="1">+B11+1</f>
        <v>5</v>
      </c>
      <c r="C12" s="48" t="s">
        <v>67</v>
      </c>
      <c r="D12" s="21"/>
      <c r="E12" s="19"/>
      <c r="F12" s="20"/>
      <c r="G12" s="33"/>
    </row>
    <row r="13" spans="2:7" s="4" customFormat="1" ht="18.75" x14ac:dyDescent="0.25">
      <c r="B13" s="6">
        <f t="shared" ref="B13" si="2">B12+1</f>
        <v>6</v>
      </c>
      <c r="C13" s="4" t="s">
        <v>108</v>
      </c>
      <c r="D13" s="21"/>
      <c r="E13" s="19"/>
      <c r="F13" s="20"/>
      <c r="G13" s="33"/>
    </row>
    <row r="14" spans="2:7" s="4" customFormat="1" ht="19.5" thickBot="1" x14ac:dyDescent="0.3">
      <c r="B14" s="37">
        <f t="shared" ref="B14" si="3">+B13+1</f>
        <v>7</v>
      </c>
      <c r="C14" s="82" t="s">
        <v>109</v>
      </c>
      <c r="D14" s="21"/>
      <c r="E14" s="19"/>
      <c r="F14" s="20"/>
      <c r="G14" s="33"/>
    </row>
    <row r="15" spans="2:7" ht="18.75" thickBot="1" x14ac:dyDescent="0.3">
      <c r="B15" s="94" t="s">
        <v>13</v>
      </c>
      <c r="C15" s="95"/>
      <c r="D15" s="96" t="s">
        <v>7</v>
      </c>
      <c r="E15" s="97"/>
      <c r="F15" s="98"/>
      <c r="G15" s="24" t="s">
        <v>8</v>
      </c>
    </row>
    <row r="16" spans="2:7" x14ac:dyDescent="0.25">
      <c r="B16" s="99"/>
      <c r="C16" s="100"/>
      <c r="D16" s="100"/>
      <c r="E16" s="100"/>
      <c r="F16" s="100"/>
      <c r="G16" s="84"/>
    </row>
    <row r="17" spans="2:7" x14ac:dyDescent="0.25">
      <c r="B17" s="101"/>
      <c r="C17" s="102"/>
      <c r="D17" s="102"/>
      <c r="E17" s="102"/>
      <c r="F17" s="102"/>
      <c r="G17" s="85"/>
    </row>
    <row r="18" spans="2:7" x14ac:dyDescent="0.25">
      <c r="B18" s="101"/>
      <c r="C18" s="102"/>
      <c r="D18" s="102"/>
      <c r="E18" s="102"/>
      <c r="F18" s="102"/>
      <c r="G18" s="85"/>
    </row>
    <row r="19" spans="2:7" x14ac:dyDescent="0.25">
      <c r="B19" s="101"/>
      <c r="C19" s="102"/>
      <c r="D19" s="102"/>
      <c r="E19" s="102"/>
      <c r="F19" s="102"/>
      <c r="G19" s="85"/>
    </row>
    <row r="20" spans="2:7" ht="15.75" thickBot="1" x14ac:dyDescent="0.3">
      <c r="B20" s="103"/>
      <c r="C20" s="104"/>
      <c r="D20" s="104"/>
      <c r="E20" s="104"/>
      <c r="F20" s="104"/>
      <c r="G20" s="86"/>
    </row>
  </sheetData>
  <sheetProtection selectLockedCells="1"/>
  <mergeCells count="8">
    <mergeCell ref="B16:C20"/>
    <mergeCell ref="D16:F20"/>
    <mergeCell ref="G16:G20"/>
    <mergeCell ref="B3:F3"/>
    <mergeCell ref="D4:F4"/>
    <mergeCell ref="E6:F6"/>
    <mergeCell ref="B15:C15"/>
    <mergeCell ref="D15:F15"/>
  </mergeCells>
  <conditionalFormatting sqref="D8:D14">
    <cfRule type="cellIs" dxfId="31" priority="3" operator="equal">
      <formula>3</formula>
    </cfRule>
    <cfRule type="cellIs" dxfId="30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20"/>
  <sheetViews>
    <sheetView view="pageBreakPreview" zoomScale="90" zoomScaleNormal="55" zoomScaleSheetLayoutView="90" zoomScalePageLayoutView="70" workbookViewId="0">
      <selection activeCell="C8" sqref="C8:C1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45</v>
      </c>
      <c r="C3" s="88"/>
      <c r="D3" s="88"/>
      <c r="E3" s="88"/>
      <c r="F3" s="89"/>
      <c r="G3" s="60" t="s">
        <v>65</v>
      </c>
    </row>
    <row r="4" spans="2:7" ht="24" thickBot="1" x14ac:dyDescent="0.3">
      <c r="B4" s="14"/>
      <c r="C4" s="15" t="s">
        <v>77</v>
      </c>
      <c r="D4" s="90" t="s">
        <v>38</v>
      </c>
      <c r="E4" s="91"/>
      <c r="F4" s="91"/>
      <c r="G4" s="32" t="s">
        <v>39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18.75" x14ac:dyDescent="0.25">
      <c r="B8" s="5">
        <v>1</v>
      </c>
      <c r="C8" s="67" t="s">
        <v>78</v>
      </c>
      <c r="D8" s="21"/>
      <c r="E8" s="19"/>
      <c r="F8" s="20"/>
      <c r="G8" s="33"/>
    </row>
    <row r="9" spans="2:7" s="4" customFormat="1" ht="18.75" x14ac:dyDescent="0.25">
      <c r="B9" s="6">
        <f>B8+1</f>
        <v>2</v>
      </c>
      <c r="C9" s="48" t="s">
        <v>79</v>
      </c>
      <c r="D9" s="21"/>
      <c r="E9" s="19"/>
      <c r="F9" s="20"/>
      <c r="G9" s="33"/>
    </row>
    <row r="10" spans="2:7" s="4" customFormat="1" ht="18.75" x14ac:dyDescent="0.25">
      <c r="B10" s="37">
        <f>+B9+1</f>
        <v>3</v>
      </c>
      <c r="C10" s="48" t="s">
        <v>80</v>
      </c>
      <c r="D10" s="21"/>
      <c r="E10" s="19"/>
      <c r="F10" s="20"/>
      <c r="G10" s="33"/>
    </row>
    <row r="11" spans="2:7" s="4" customFormat="1" ht="18.75" x14ac:dyDescent="0.25">
      <c r="B11" s="6">
        <f t="shared" ref="B11" si="0">B10+1</f>
        <v>4</v>
      </c>
      <c r="C11" s="82" t="s">
        <v>109</v>
      </c>
      <c r="D11" s="21"/>
      <c r="E11" s="19"/>
      <c r="F11" s="20"/>
      <c r="G11" s="33"/>
    </row>
    <row r="12" spans="2:7" s="4" customFormat="1" ht="18.75" x14ac:dyDescent="0.25">
      <c r="B12" s="47">
        <f t="shared" ref="B12" si="1">+B11+1</f>
        <v>5</v>
      </c>
      <c r="C12" s="68"/>
      <c r="D12" s="21"/>
      <c r="E12" s="19"/>
      <c r="F12" s="20"/>
      <c r="G12" s="33"/>
    </row>
    <row r="13" spans="2:7" s="4" customFormat="1" ht="18.75" x14ac:dyDescent="0.25">
      <c r="B13" s="62">
        <f t="shared" ref="B13" si="2">B12+1</f>
        <v>6</v>
      </c>
      <c r="D13" s="21"/>
      <c r="E13" s="19"/>
      <c r="F13" s="20"/>
      <c r="G13" s="33"/>
    </row>
    <row r="14" spans="2:7" s="4" customFormat="1" ht="19.5" thickBot="1" x14ac:dyDescent="0.3">
      <c r="B14" s="37">
        <f t="shared" ref="B14" si="3">+B13+1</f>
        <v>7</v>
      </c>
      <c r="C14" s="49"/>
      <c r="D14" s="21"/>
      <c r="E14" s="19"/>
      <c r="F14" s="20"/>
      <c r="G14" s="33"/>
    </row>
    <row r="15" spans="2:7" ht="18.75" thickBot="1" x14ac:dyDescent="0.3">
      <c r="B15" s="94" t="s">
        <v>13</v>
      </c>
      <c r="C15" s="95"/>
      <c r="D15" s="96" t="s">
        <v>7</v>
      </c>
      <c r="E15" s="97"/>
      <c r="F15" s="98"/>
      <c r="G15" s="24" t="s">
        <v>8</v>
      </c>
    </row>
    <row r="16" spans="2:7" x14ac:dyDescent="0.25">
      <c r="B16" s="99"/>
      <c r="C16" s="100"/>
      <c r="D16" s="100"/>
      <c r="E16" s="100"/>
      <c r="F16" s="100"/>
      <c r="G16" s="84"/>
    </row>
    <row r="17" spans="2:7" x14ac:dyDescent="0.25">
      <c r="B17" s="101"/>
      <c r="C17" s="102"/>
      <c r="D17" s="102"/>
      <c r="E17" s="102"/>
      <c r="F17" s="102"/>
      <c r="G17" s="85"/>
    </row>
    <row r="18" spans="2:7" x14ac:dyDescent="0.25">
      <c r="B18" s="101"/>
      <c r="C18" s="102"/>
      <c r="D18" s="102"/>
      <c r="E18" s="102"/>
      <c r="F18" s="102"/>
      <c r="G18" s="85"/>
    </row>
    <row r="19" spans="2:7" x14ac:dyDescent="0.25">
      <c r="B19" s="101"/>
      <c r="C19" s="102"/>
      <c r="D19" s="102"/>
      <c r="E19" s="102"/>
      <c r="F19" s="102"/>
      <c r="G19" s="85"/>
    </row>
    <row r="20" spans="2:7" ht="15.75" thickBot="1" x14ac:dyDescent="0.3">
      <c r="B20" s="103"/>
      <c r="C20" s="104"/>
      <c r="D20" s="104"/>
      <c r="E20" s="104"/>
      <c r="F20" s="104"/>
      <c r="G20" s="86"/>
    </row>
  </sheetData>
  <sheetProtection selectLockedCells="1"/>
  <mergeCells count="8">
    <mergeCell ref="G16:G20"/>
    <mergeCell ref="B3:F3"/>
    <mergeCell ref="D4:F4"/>
    <mergeCell ref="E6:F6"/>
    <mergeCell ref="B15:C15"/>
    <mergeCell ref="D15:F15"/>
    <mergeCell ref="B16:C20"/>
    <mergeCell ref="D16:F20"/>
  </mergeCells>
  <conditionalFormatting sqref="D8:D14">
    <cfRule type="cellIs" dxfId="29" priority="1" operator="equal">
      <formula>3</formula>
    </cfRule>
    <cfRule type="cellIs" dxfId="28" priority="2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R18"/>
  <sheetViews>
    <sheetView view="pageLayout" zoomScale="85" zoomScaleNormal="90" zoomScalePageLayoutView="85" workbookViewId="0">
      <selection activeCell="C5" sqref="C5:C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0.5703125" style="1" customWidth="1"/>
    <col min="9" max="9" width="7.85546875" style="1" hidden="1" customWidth="1"/>
    <col min="10" max="11" width="8.140625" style="1" hidden="1" customWidth="1"/>
    <col min="12" max="13" width="11.42578125" style="1" hidden="1" customWidth="1"/>
    <col min="14" max="14" width="8.85546875" style="1" hidden="1" customWidth="1"/>
    <col min="15" max="17" width="11.42578125" style="1" hidden="1" customWidth="1"/>
    <col min="18" max="18" width="2.140625" style="1" hidden="1" customWidth="1"/>
    <col min="19" max="16384" width="11.42578125" style="1"/>
  </cols>
  <sheetData>
    <row r="1" spans="2:7" ht="26.25" x14ac:dyDescent="0.25">
      <c r="B1" s="64" t="s">
        <v>72</v>
      </c>
      <c r="C1" s="64"/>
      <c r="D1" s="64"/>
      <c r="E1" s="64"/>
      <c r="F1" s="64"/>
      <c r="G1" s="61" t="s">
        <v>65</v>
      </c>
    </row>
    <row r="2" spans="2:7" ht="23.25" x14ac:dyDescent="0.25">
      <c r="B2" s="50"/>
      <c r="C2" s="51" t="s">
        <v>95</v>
      </c>
      <c r="D2" s="108" t="s">
        <v>38</v>
      </c>
      <c r="E2" s="109"/>
      <c r="F2" s="110"/>
      <c r="G2" s="65" t="s">
        <v>39</v>
      </c>
    </row>
    <row r="3" spans="2:7" ht="18" x14ac:dyDescent="0.25">
      <c r="B3" s="52"/>
      <c r="C3" s="52"/>
      <c r="D3" s="52"/>
      <c r="E3" s="66" t="s">
        <v>0</v>
      </c>
      <c r="F3" s="66"/>
      <c r="G3" s="52"/>
    </row>
    <row r="4" spans="2:7" s="4" customFormat="1" ht="15.75" x14ac:dyDescent="0.25">
      <c r="B4" s="53" t="s">
        <v>1</v>
      </c>
      <c r="C4" s="53" t="s">
        <v>2</v>
      </c>
      <c r="D4" s="53" t="s">
        <v>3</v>
      </c>
      <c r="E4" s="54" t="s">
        <v>4</v>
      </c>
      <c r="F4" s="54" t="s">
        <v>5</v>
      </c>
      <c r="G4" s="55" t="s">
        <v>6</v>
      </c>
    </row>
    <row r="5" spans="2:7" s="4" customFormat="1" ht="18.75" x14ac:dyDescent="0.25">
      <c r="B5" s="47">
        <v>1</v>
      </c>
      <c r="C5" s="82" t="s">
        <v>96</v>
      </c>
      <c r="D5" s="56"/>
      <c r="E5" s="57"/>
      <c r="F5" s="58"/>
      <c r="G5" s="59"/>
    </row>
    <row r="6" spans="2:7" s="4" customFormat="1" ht="18.75" x14ac:dyDescent="0.25">
      <c r="B6" s="62">
        <f>B5+1</f>
        <v>2</v>
      </c>
      <c r="C6" s="82" t="s">
        <v>97</v>
      </c>
      <c r="D6" s="56"/>
      <c r="E6" s="57"/>
      <c r="F6" s="58"/>
      <c r="G6" s="59"/>
    </row>
    <row r="7" spans="2:7" s="4" customFormat="1" ht="18.75" x14ac:dyDescent="0.25">
      <c r="B7" s="47">
        <f>+B6+1</f>
        <v>3</v>
      </c>
      <c r="C7" s="82" t="s">
        <v>109</v>
      </c>
      <c r="D7" s="56"/>
      <c r="E7" s="57"/>
      <c r="F7" s="58"/>
      <c r="G7" s="59"/>
    </row>
    <row r="8" spans="2:7" s="4" customFormat="1" ht="18.75" x14ac:dyDescent="0.25">
      <c r="B8" s="62">
        <f t="shared" ref="B8" si="0">B7+1</f>
        <v>4</v>
      </c>
      <c r="C8" s="49"/>
      <c r="D8" s="56"/>
      <c r="E8" s="57"/>
      <c r="F8" s="58"/>
      <c r="G8" s="59"/>
    </row>
    <row r="9" spans="2:7" s="4" customFormat="1" ht="18.75" x14ac:dyDescent="0.25">
      <c r="B9" s="37">
        <f t="shared" ref="B9" si="1">+B8+1</f>
        <v>5</v>
      </c>
      <c r="C9" s="49"/>
      <c r="D9" s="21"/>
      <c r="E9" s="19"/>
      <c r="F9" s="20"/>
      <c r="G9" s="33"/>
    </row>
    <row r="10" spans="2:7" s="4" customFormat="1" ht="18.75" x14ac:dyDescent="0.25">
      <c r="B10" s="6">
        <f t="shared" ref="B10:B11" si="2">B9+1</f>
        <v>6</v>
      </c>
      <c r="C10" s="69"/>
      <c r="D10" s="21"/>
      <c r="E10" s="19"/>
      <c r="F10" s="20"/>
      <c r="G10" s="33"/>
    </row>
    <row r="11" spans="2:7" s="4" customFormat="1" ht="19.5" thickBot="1" x14ac:dyDescent="0.3">
      <c r="B11" s="6">
        <f t="shared" si="2"/>
        <v>7</v>
      </c>
      <c r="C11" s="69"/>
      <c r="D11" s="21"/>
      <c r="E11" s="19"/>
      <c r="F11" s="20"/>
      <c r="G11" s="33"/>
    </row>
    <row r="12" spans="2:7" ht="32.25" customHeight="1" thickBot="1" x14ac:dyDescent="0.3">
      <c r="B12" s="111" t="s">
        <v>13</v>
      </c>
      <c r="C12" s="112"/>
      <c r="D12" s="96" t="s">
        <v>7</v>
      </c>
      <c r="E12" s="97"/>
      <c r="F12" s="98"/>
      <c r="G12" s="24" t="s">
        <v>8</v>
      </c>
    </row>
    <row r="13" spans="2:7" x14ac:dyDescent="0.25">
      <c r="B13" s="113"/>
      <c r="C13" s="114"/>
      <c r="D13" s="113"/>
      <c r="E13" s="119"/>
      <c r="F13" s="114"/>
      <c r="G13" s="105"/>
    </row>
    <row r="14" spans="2:7" x14ac:dyDescent="0.25">
      <c r="B14" s="115"/>
      <c r="C14" s="116"/>
      <c r="D14" s="115"/>
      <c r="E14" s="120"/>
      <c r="F14" s="116"/>
      <c r="G14" s="106"/>
    </row>
    <row r="15" spans="2:7" x14ac:dyDescent="0.25">
      <c r="B15" s="115"/>
      <c r="C15" s="116"/>
      <c r="D15" s="115"/>
      <c r="E15" s="120"/>
      <c r="F15" s="116"/>
      <c r="G15" s="106"/>
    </row>
    <row r="16" spans="2:7" x14ac:dyDescent="0.25">
      <c r="B16" s="115"/>
      <c r="C16" s="116"/>
      <c r="D16" s="115"/>
      <c r="E16" s="120"/>
      <c r="F16" s="116"/>
      <c r="G16" s="106"/>
    </row>
    <row r="17" spans="2:7" x14ac:dyDescent="0.25">
      <c r="B17" s="115"/>
      <c r="C17" s="116"/>
      <c r="D17" s="115"/>
      <c r="E17" s="120"/>
      <c r="F17" s="116"/>
      <c r="G17" s="106"/>
    </row>
    <row r="18" spans="2:7" ht="15.75" thickBot="1" x14ac:dyDescent="0.3">
      <c r="B18" s="117"/>
      <c r="C18" s="118"/>
      <c r="D18" s="117"/>
      <c r="E18" s="121"/>
      <c r="F18" s="118"/>
      <c r="G18" s="107"/>
    </row>
  </sheetData>
  <mergeCells count="6">
    <mergeCell ref="G13:G18"/>
    <mergeCell ref="D2:F2"/>
    <mergeCell ref="B12:C12"/>
    <mergeCell ref="D12:F12"/>
    <mergeCell ref="B13:C18"/>
    <mergeCell ref="D13:F18"/>
  </mergeCells>
  <conditionalFormatting sqref="D5:D11">
    <cfRule type="cellIs" dxfId="27" priority="1" operator="equal">
      <formula>3</formula>
    </cfRule>
    <cfRule type="cellIs" dxfId="26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R18"/>
  <sheetViews>
    <sheetView view="pageLayout" zoomScale="85" zoomScaleNormal="90" zoomScalePageLayoutView="85" workbookViewId="0">
      <selection activeCell="D7" sqref="D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0.5703125" style="1" customWidth="1"/>
    <col min="9" max="9" width="7.85546875" style="1" hidden="1" customWidth="1"/>
    <col min="10" max="11" width="8.140625" style="1" hidden="1" customWidth="1"/>
    <col min="12" max="13" width="11.42578125" style="1" hidden="1" customWidth="1"/>
    <col min="14" max="14" width="8.85546875" style="1" hidden="1" customWidth="1"/>
    <col min="15" max="17" width="11.42578125" style="1" hidden="1" customWidth="1"/>
    <col min="18" max="18" width="2.140625" style="1" hidden="1" customWidth="1"/>
    <col min="19" max="16384" width="11.42578125" style="1"/>
  </cols>
  <sheetData>
    <row r="1" spans="2:7" ht="26.25" x14ac:dyDescent="0.25">
      <c r="B1" s="64" t="s">
        <v>72</v>
      </c>
      <c r="C1" s="64"/>
      <c r="D1" s="64"/>
      <c r="E1" s="64"/>
      <c r="F1" s="70"/>
      <c r="G1" s="75" t="s">
        <v>65</v>
      </c>
    </row>
    <row r="2" spans="2:7" ht="23.25" x14ac:dyDescent="0.25">
      <c r="B2" s="50"/>
      <c r="C2" s="51" t="s">
        <v>98</v>
      </c>
      <c r="D2" s="108" t="s">
        <v>38</v>
      </c>
      <c r="E2" s="109"/>
      <c r="F2" s="109"/>
      <c r="G2" s="76" t="s">
        <v>39</v>
      </c>
    </row>
    <row r="3" spans="2:7" ht="18" x14ac:dyDescent="0.25">
      <c r="B3" s="52"/>
      <c r="C3" s="52"/>
      <c r="D3" s="52"/>
      <c r="E3" s="66" t="s">
        <v>0</v>
      </c>
      <c r="F3" s="71"/>
      <c r="G3" s="77"/>
    </row>
    <row r="4" spans="2:7" s="4" customFormat="1" ht="15.75" x14ac:dyDescent="0.25">
      <c r="B4" s="53" t="s">
        <v>1</v>
      </c>
      <c r="C4" s="53" t="s">
        <v>2</v>
      </c>
      <c r="D4" s="53" t="s">
        <v>3</v>
      </c>
      <c r="E4" s="54" t="s">
        <v>4</v>
      </c>
      <c r="F4" s="72" t="s">
        <v>5</v>
      </c>
      <c r="G4" s="78" t="s">
        <v>6</v>
      </c>
    </row>
    <row r="5" spans="2:7" s="4" customFormat="1" ht="18.75" x14ac:dyDescent="0.25">
      <c r="B5" s="47">
        <v>1</v>
      </c>
      <c r="C5" s="82" t="s">
        <v>99</v>
      </c>
      <c r="D5" s="56" t="s">
        <v>110</v>
      </c>
      <c r="E5" s="57"/>
      <c r="F5" s="73"/>
      <c r="G5" s="79"/>
    </row>
    <row r="6" spans="2:7" s="4" customFormat="1" ht="18.75" x14ac:dyDescent="0.25">
      <c r="B6" s="62">
        <f>B5+1</f>
        <v>2</v>
      </c>
      <c r="C6" s="82" t="s">
        <v>100</v>
      </c>
      <c r="D6" s="56" t="s">
        <v>110</v>
      </c>
      <c r="E6" s="57"/>
      <c r="F6" s="73"/>
      <c r="G6" s="79"/>
    </row>
    <row r="7" spans="2:7" s="4" customFormat="1" ht="18.75" x14ac:dyDescent="0.25">
      <c r="B7" s="47">
        <f>+B6+1</f>
        <v>3</v>
      </c>
      <c r="C7" s="82" t="s">
        <v>109</v>
      </c>
      <c r="D7" s="56" t="s">
        <v>111</v>
      </c>
      <c r="E7" s="57"/>
      <c r="F7" s="73"/>
      <c r="G7" s="79"/>
    </row>
    <row r="8" spans="2:7" s="4" customFormat="1" ht="18.75" x14ac:dyDescent="0.25">
      <c r="B8" s="62">
        <f t="shared" ref="B8" si="0">B7+1</f>
        <v>4</v>
      </c>
      <c r="C8" s="49"/>
      <c r="D8" s="56"/>
      <c r="E8" s="57"/>
      <c r="F8" s="73"/>
      <c r="G8" s="79"/>
    </row>
    <row r="9" spans="2:7" s="4" customFormat="1" ht="18.75" x14ac:dyDescent="0.25">
      <c r="B9" s="37">
        <f t="shared" ref="B9" si="1">+B8+1</f>
        <v>5</v>
      </c>
      <c r="C9" s="49"/>
      <c r="D9" s="21"/>
      <c r="E9" s="19"/>
      <c r="F9" s="74"/>
      <c r="G9" s="80"/>
    </row>
    <row r="10" spans="2:7" s="4" customFormat="1" ht="18.75" x14ac:dyDescent="0.25">
      <c r="B10" s="6">
        <f t="shared" ref="B10:B11" si="2">B9+1</f>
        <v>6</v>
      </c>
      <c r="C10" s="69"/>
      <c r="D10" s="21"/>
      <c r="E10" s="19"/>
      <c r="F10" s="74"/>
      <c r="G10" s="80"/>
    </row>
    <row r="11" spans="2:7" s="4" customFormat="1" ht="19.5" thickBot="1" x14ac:dyDescent="0.3">
      <c r="B11" s="6">
        <f t="shared" si="2"/>
        <v>7</v>
      </c>
      <c r="C11" s="69"/>
      <c r="D11" s="21"/>
      <c r="E11" s="19"/>
      <c r="F11" s="74"/>
      <c r="G11" s="80"/>
    </row>
    <row r="12" spans="2:7" ht="32.25" customHeight="1" thickBot="1" x14ac:dyDescent="0.3">
      <c r="B12" s="111" t="s">
        <v>13</v>
      </c>
      <c r="C12" s="112"/>
      <c r="D12" s="96" t="s">
        <v>7</v>
      </c>
      <c r="E12" s="97"/>
      <c r="F12" s="97"/>
      <c r="G12" s="81" t="s">
        <v>8</v>
      </c>
    </row>
    <row r="13" spans="2:7" x14ac:dyDescent="0.25">
      <c r="B13" s="113"/>
      <c r="C13" s="114"/>
      <c r="D13" s="113"/>
      <c r="E13" s="119"/>
      <c r="F13" s="119"/>
      <c r="G13" s="105"/>
    </row>
    <row r="14" spans="2:7" x14ac:dyDescent="0.25">
      <c r="B14" s="115"/>
      <c r="C14" s="116"/>
      <c r="D14" s="115"/>
      <c r="E14" s="120"/>
      <c r="F14" s="120"/>
      <c r="G14" s="106"/>
    </row>
    <row r="15" spans="2:7" x14ac:dyDescent="0.25">
      <c r="B15" s="115"/>
      <c r="C15" s="116"/>
      <c r="D15" s="115"/>
      <c r="E15" s="120"/>
      <c r="F15" s="120"/>
      <c r="G15" s="106"/>
    </row>
    <row r="16" spans="2:7" x14ac:dyDescent="0.25">
      <c r="B16" s="115"/>
      <c r="C16" s="116"/>
      <c r="D16" s="115"/>
      <c r="E16" s="120"/>
      <c r="F16" s="120"/>
      <c r="G16" s="106"/>
    </row>
    <row r="17" spans="2:7" x14ac:dyDescent="0.25">
      <c r="B17" s="115"/>
      <c r="C17" s="116"/>
      <c r="D17" s="115"/>
      <c r="E17" s="120"/>
      <c r="F17" s="120"/>
      <c r="G17" s="106"/>
    </row>
    <row r="18" spans="2:7" ht="15.75" thickBot="1" x14ac:dyDescent="0.3">
      <c r="B18" s="117"/>
      <c r="C18" s="118"/>
      <c r="D18" s="117"/>
      <c r="E18" s="121"/>
      <c r="F18" s="121"/>
      <c r="G18" s="107"/>
    </row>
  </sheetData>
  <mergeCells count="6">
    <mergeCell ref="G13:G18"/>
    <mergeCell ref="D2:F2"/>
    <mergeCell ref="B12:C12"/>
    <mergeCell ref="D12:F12"/>
    <mergeCell ref="B13:C18"/>
    <mergeCell ref="D13:F18"/>
  </mergeCells>
  <conditionalFormatting sqref="D5:D11">
    <cfRule type="cellIs" dxfId="25" priority="1" operator="equal">
      <formula>3</formula>
    </cfRule>
    <cfRule type="cellIs" dxfId="24" priority="2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16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/>
      <c r="D8" s="21"/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94" t="s">
        <v>13</v>
      </c>
      <c r="C108" s="95"/>
      <c r="D108" s="96" t="s">
        <v>7</v>
      </c>
      <c r="E108" s="97"/>
      <c r="F108" s="98"/>
      <c r="G108" s="24" t="s">
        <v>8</v>
      </c>
    </row>
    <row r="109" spans="2:7" x14ac:dyDescent="0.25">
      <c r="B109" s="99"/>
      <c r="C109" s="100"/>
      <c r="D109" s="100"/>
      <c r="E109" s="100"/>
      <c r="F109" s="100"/>
      <c r="G109" s="84"/>
    </row>
    <row r="110" spans="2:7" x14ac:dyDescent="0.25">
      <c r="B110" s="101"/>
      <c r="C110" s="102"/>
      <c r="D110" s="102"/>
      <c r="E110" s="102"/>
      <c r="F110" s="102"/>
      <c r="G110" s="85"/>
    </row>
    <row r="111" spans="2:7" x14ac:dyDescent="0.25">
      <c r="B111" s="101"/>
      <c r="C111" s="102"/>
      <c r="D111" s="102"/>
      <c r="E111" s="102"/>
      <c r="F111" s="102"/>
      <c r="G111" s="85"/>
    </row>
    <row r="112" spans="2:7" x14ac:dyDescent="0.25">
      <c r="B112" s="101"/>
      <c r="C112" s="102"/>
      <c r="D112" s="102"/>
      <c r="E112" s="102"/>
      <c r="F112" s="102"/>
      <c r="G112" s="85"/>
    </row>
    <row r="113" spans="2:7" ht="15.75" thickBot="1" x14ac:dyDescent="0.3">
      <c r="B113" s="103"/>
      <c r="C113" s="104"/>
      <c r="D113" s="104"/>
      <c r="E113" s="104"/>
      <c r="F113" s="104"/>
      <c r="G113" s="86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18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94" t="s">
        <v>13</v>
      </c>
      <c r="C108" s="95"/>
      <c r="D108" s="96" t="s">
        <v>7</v>
      </c>
      <c r="E108" s="97"/>
      <c r="F108" s="98"/>
      <c r="G108" s="24" t="s">
        <v>8</v>
      </c>
    </row>
    <row r="109" spans="2:7" x14ac:dyDescent="0.25">
      <c r="B109" s="99"/>
      <c r="C109" s="100"/>
      <c r="D109" s="100"/>
      <c r="E109" s="100"/>
      <c r="F109" s="100"/>
      <c r="G109" s="84"/>
    </row>
    <row r="110" spans="2:7" x14ac:dyDescent="0.25">
      <c r="B110" s="101"/>
      <c r="C110" s="102"/>
      <c r="D110" s="102"/>
      <c r="E110" s="102"/>
      <c r="F110" s="102"/>
      <c r="G110" s="85"/>
    </row>
    <row r="111" spans="2:7" x14ac:dyDescent="0.25">
      <c r="B111" s="101"/>
      <c r="C111" s="102"/>
      <c r="D111" s="102"/>
      <c r="E111" s="102"/>
      <c r="F111" s="102"/>
      <c r="G111" s="85"/>
    </row>
    <row r="112" spans="2:7" x14ac:dyDescent="0.25">
      <c r="B112" s="101"/>
      <c r="C112" s="102"/>
      <c r="D112" s="102"/>
      <c r="E112" s="102"/>
      <c r="F112" s="102"/>
      <c r="G112" s="85"/>
    </row>
    <row r="113" spans="2:7" ht="15.75" thickBot="1" x14ac:dyDescent="0.3">
      <c r="B113" s="103"/>
      <c r="C113" s="104"/>
      <c r="D113" s="104"/>
      <c r="E113" s="104"/>
      <c r="F113" s="104"/>
      <c r="G113" s="86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31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94" t="s">
        <v>13</v>
      </c>
      <c r="C108" s="95"/>
      <c r="D108" s="96" t="s">
        <v>7</v>
      </c>
      <c r="E108" s="97"/>
      <c r="F108" s="98"/>
      <c r="G108" s="24" t="s">
        <v>8</v>
      </c>
    </row>
    <row r="109" spans="2:7" x14ac:dyDescent="0.25">
      <c r="B109" s="99"/>
      <c r="C109" s="100"/>
      <c r="D109" s="100"/>
      <c r="E109" s="100"/>
      <c r="F109" s="100"/>
      <c r="G109" s="84"/>
    </row>
    <row r="110" spans="2:7" x14ac:dyDescent="0.25">
      <c r="B110" s="101"/>
      <c r="C110" s="102"/>
      <c r="D110" s="102"/>
      <c r="E110" s="102"/>
      <c r="F110" s="102"/>
      <c r="G110" s="85"/>
    </row>
    <row r="111" spans="2:7" x14ac:dyDescent="0.25">
      <c r="B111" s="101"/>
      <c r="C111" s="102"/>
      <c r="D111" s="102"/>
      <c r="E111" s="102"/>
      <c r="F111" s="102"/>
      <c r="G111" s="85"/>
    </row>
    <row r="112" spans="2:7" x14ac:dyDescent="0.25">
      <c r="B112" s="101"/>
      <c r="C112" s="102"/>
      <c r="D112" s="102"/>
      <c r="E112" s="102"/>
      <c r="F112" s="102"/>
      <c r="G112" s="85"/>
    </row>
    <row r="113" spans="2:7" ht="15.75" thickBot="1" x14ac:dyDescent="0.3">
      <c r="B113" s="103"/>
      <c r="C113" s="104"/>
      <c r="D113" s="104"/>
      <c r="E113" s="104"/>
      <c r="F113" s="104"/>
      <c r="G113" s="86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5" priority="3" operator="equal">
      <formula>3</formula>
    </cfRule>
    <cfRule type="cellIs" dxfId="14" priority="4" operator="equal">
      <formula>4</formula>
    </cfRule>
  </conditionalFormatting>
  <conditionalFormatting sqref="D89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33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 x14ac:dyDescent="0.3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 x14ac:dyDescent="0.3">
      <c r="B33" s="94" t="s">
        <v>13</v>
      </c>
      <c r="C33" s="95"/>
      <c r="D33" s="96" t="s">
        <v>7</v>
      </c>
      <c r="E33" s="97"/>
      <c r="F33" s="98"/>
      <c r="G33" s="24" t="s">
        <v>8</v>
      </c>
    </row>
    <row r="34" spans="2:7" x14ac:dyDescent="0.25">
      <c r="B34" s="99"/>
      <c r="C34" s="100"/>
      <c r="D34" s="100"/>
      <c r="E34" s="100"/>
      <c r="F34" s="100"/>
      <c r="G34" s="84"/>
    </row>
    <row r="35" spans="2:7" x14ac:dyDescent="0.25">
      <c r="B35" s="101"/>
      <c r="C35" s="102"/>
      <c r="D35" s="102"/>
      <c r="E35" s="102"/>
      <c r="F35" s="102"/>
      <c r="G35" s="85"/>
    </row>
    <row r="36" spans="2:7" x14ac:dyDescent="0.25">
      <c r="B36" s="101"/>
      <c r="C36" s="102"/>
      <c r="D36" s="102"/>
      <c r="E36" s="102"/>
      <c r="F36" s="102"/>
      <c r="G36" s="85"/>
    </row>
    <row r="37" spans="2:7" x14ac:dyDescent="0.25">
      <c r="B37" s="101"/>
      <c r="C37" s="102"/>
      <c r="D37" s="102"/>
      <c r="E37" s="102"/>
      <c r="F37" s="102"/>
      <c r="G37" s="85"/>
    </row>
    <row r="38" spans="2:7" ht="15.75" thickBot="1" x14ac:dyDescent="0.3">
      <c r="B38" s="103"/>
      <c r="C38" s="104"/>
      <c r="D38" s="104"/>
      <c r="E38" s="104"/>
      <c r="F38" s="104"/>
      <c r="G38" s="86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32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94" t="s">
        <v>13</v>
      </c>
      <c r="C38" s="95"/>
      <c r="D38" s="96" t="s">
        <v>7</v>
      </c>
      <c r="E38" s="97"/>
      <c r="F38" s="98"/>
      <c r="G38" s="24" t="s">
        <v>8</v>
      </c>
    </row>
    <row r="39" spans="2:7" x14ac:dyDescent="0.25">
      <c r="B39" s="99"/>
      <c r="C39" s="100"/>
      <c r="D39" s="100"/>
      <c r="E39" s="100"/>
      <c r="F39" s="100"/>
      <c r="G39" s="84"/>
    </row>
    <row r="40" spans="2:7" x14ac:dyDescent="0.25">
      <c r="B40" s="101"/>
      <c r="C40" s="102"/>
      <c r="D40" s="102"/>
      <c r="E40" s="102"/>
      <c r="F40" s="102"/>
      <c r="G40" s="85"/>
    </row>
    <row r="41" spans="2:7" x14ac:dyDescent="0.25">
      <c r="B41" s="101"/>
      <c r="C41" s="102"/>
      <c r="D41" s="102"/>
      <c r="E41" s="102"/>
      <c r="F41" s="102"/>
      <c r="G41" s="85"/>
    </row>
    <row r="42" spans="2:7" x14ac:dyDescent="0.25">
      <c r="B42" s="101"/>
      <c r="C42" s="102"/>
      <c r="D42" s="102"/>
      <c r="E42" s="102"/>
      <c r="F42" s="102"/>
      <c r="G42" s="85"/>
    </row>
    <row r="43" spans="2:7" ht="15.75" thickBot="1" x14ac:dyDescent="0.3">
      <c r="B43" s="103"/>
      <c r="C43" s="104"/>
      <c r="D43" s="104"/>
      <c r="E43" s="104"/>
      <c r="F43" s="104"/>
      <c r="G43" s="8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34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94" t="s">
        <v>13</v>
      </c>
      <c r="C38" s="95"/>
      <c r="D38" s="96" t="s">
        <v>7</v>
      </c>
      <c r="E38" s="97"/>
      <c r="F38" s="98"/>
      <c r="G38" s="24" t="s">
        <v>8</v>
      </c>
    </row>
    <row r="39" spans="2:7" x14ac:dyDescent="0.25">
      <c r="B39" s="99"/>
      <c r="C39" s="100"/>
      <c r="D39" s="100"/>
      <c r="E39" s="100"/>
      <c r="F39" s="100"/>
      <c r="G39" s="84"/>
    </row>
    <row r="40" spans="2:7" x14ac:dyDescent="0.25">
      <c r="B40" s="101"/>
      <c r="C40" s="102"/>
      <c r="D40" s="102"/>
      <c r="E40" s="102"/>
      <c r="F40" s="102"/>
      <c r="G40" s="85"/>
    </row>
    <row r="41" spans="2:7" x14ac:dyDescent="0.25">
      <c r="B41" s="101"/>
      <c r="C41" s="102"/>
      <c r="D41" s="102"/>
      <c r="E41" s="102"/>
      <c r="F41" s="102"/>
      <c r="G41" s="85"/>
    </row>
    <row r="42" spans="2:7" x14ac:dyDescent="0.25">
      <c r="B42" s="101"/>
      <c r="C42" s="102"/>
      <c r="D42" s="102"/>
      <c r="E42" s="102"/>
      <c r="F42" s="102"/>
      <c r="G42" s="85"/>
    </row>
    <row r="43" spans="2:7" ht="15.75" thickBot="1" x14ac:dyDescent="0.3">
      <c r="B43" s="103"/>
      <c r="C43" s="104"/>
      <c r="D43" s="104"/>
      <c r="E43" s="104"/>
      <c r="F43" s="104"/>
      <c r="G43" s="8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35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94" t="s">
        <v>13</v>
      </c>
      <c r="C38" s="95"/>
      <c r="D38" s="96" t="s">
        <v>7</v>
      </c>
      <c r="E38" s="97"/>
      <c r="F38" s="98"/>
      <c r="G38" s="24" t="s">
        <v>8</v>
      </c>
    </row>
    <row r="39" spans="2:7" x14ac:dyDescent="0.25">
      <c r="B39" s="99"/>
      <c r="C39" s="100"/>
      <c r="D39" s="100"/>
      <c r="E39" s="100"/>
      <c r="F39" s="100"/>
      <c r="G39" s="84"/>
    </row>
    <row r="40" spans="2:7" x14ac:dyDescent="0.25">
      <c r="B40" s="101"/>
      <c r="C40" s="102"/>
      <c r="D40" s="102"/>
      <c r="E40" s="102"/>
      <c r="F40" s="102"/>
      <c r="G40" s="85"/>
    </row>
    <row r="41" spans="2:7" x14ac:dyDescent="0.25">
      <c r="B41" s="101"/>
      <c r="C41" s="102"/>
      <c r="D41" s="102"/>
      <c r="E41" s="102"/>
      <c r="F41" s="102"/>
      <c r="G41" s="85"/>
    </row>
    <row r="42" spans="2:7" x14ac:dyDescent="0.25">
      <c r="B42" s="101"/>
      <c r="C42" s="102"/>
      <c r="D42" s="102"/>
      <c r="E42" s="102"/>
      <c r="F42" s="102"/>
      <c r="G42" s="85"/>
    </row>
    <row r="43" spans="2:7" ht="15.75" thickBot="1" x14ac:dyDescent="0.3">
      <c r="B43" s="103"/>
      <c r="C43" s="104"/>
      <c r="D43" s="104"/>
      <c r="E43" s="104"/>
      <c r="F43" s="104"/>
      <c r="G43" s="8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36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94" t="s">
        <v>13</v>
      </c>
      <c r="C38" s="95"/>
      <c r="D38" s="96" t="s">
        <v>7</v>
      </c>
      <c r="E38" s="97"/>
      <c r="F38" s="98"/>
      <c r="G38" s="24" t="s">
        <v>8</v>
      </c>
    </row>
    <row r="39" spans="2:7" x14ac:dyDescent="0.25">
      <c r="B39" s="99"/>
      <c r="C39" s="100"/>
      <c r="D39" s="100"/>
      <c r="E39" s="100"/>
      <c r="F39" s="100"/>
      <c r="G39" s="84"/>
    </row>
    <row r="40" spans="2:7" x14ac:dyDescent="0.25">
      <c r="B40" s="101"/>
      <c r="C40" s="102"/>
      <c r="D40" s="102"/>
      <c r="E40" s="102"/>
      <c r="F40" s="102"/>
      <c r="G40" s="85"/>
    </row>
    <row r="41" spans="2:7" x14ac:dyDescent="0.25">
      <c r="B41" s="101"/>
      <c r="C41" s="102"/>
      <c r="D41" s="102"/>
      <c r="E41" s="102"/>
      <c r="F41" s="102"/>
      <c r="G41" s="85"/>
    </row>
    <row r="42" spans="2:7" x14ac:dyDescent="0.25">
      <c r="B42" s="101"/>
      <c r="C42" s="102"/>
      <c r="D42" s="102"/>
      <c r="E42" s="102"/>
      <c r="F42" s="102"/>
      <c r="G42" s="85"/>
    </row>
    <row r="43" spans="2:7" ht="15.75" thickBot="1" x14ac:dyDescent="0.3">
      <c r="B43" s="103"/>
      <c r="C43" s="104"/>
      <c r="D43" s="104"/>
      <c r="E43" s="104"/>
      <c r="F43" s="104"/>
      <c r="G43" s="8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87" t="s">
        <v>11</v>
      </c>
      <c r="C3" s="88"/>
      <c r="D3" s="88"/>
      <c r="E3" s="88"/>
      <c r="F3" s="89"/>
      <c r="G3" s="31" t="s">
        <v>12</v>
      </c>
    </row>
    <row r="4" spans="2:7" ht="24" thickBot="1" x14ac:dyDescent="0.3">
      <c r="B4" s="14"/>
      <c r="C4" s="15" t="s">
        <v>37</v>
      </c>
      <c r="D4" s="90" t="str">
        <f>+'Line &amp; frequency'!C1</f>
        <v>CHAINE 4</v>
      </c>
      <c r="E4" s="91"/>
      <c r="F4" s="91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92" t="s">
        <v>0</v>
      </c>
      <c r="F6" s="93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94" t="s">
        <v>13</v>
      </c>
      <c r="C38" s="95"/>
      <c r="D38" s="96" t="s">
        <v>7</v>
      </c>
      <c r="E38" s="97"/>
      <c r="F38" s="98"/>
      <c r="G38" s="24" t="s">
        <v>8</v>
      </c>
    </row>
    <row r="39" spans="2:7" x14ac:dyDescent="0.25">
      <c r="B39" s="99"/>
      <c r="C39" s="100"/>
      <c r="D39" s="100"/>
      <c r="E39" s="100"/>
      <c r="F39" s="100"/>
      <c r="G39" s="84"/>
    </row>
    <row r="40" spans="2:7" x14ac:dyDescent="0.25">
      <c r="B40" s="101"/>
      <c r="C40" s="102"/>
      <c r="D40" s="102"/>
      <c r="E40" s="102"/>
      <c r="F40" s="102"/>
      <c r="G40" s="85"/>
    </row>
    <row r="41" spans="2:7" x14ac:dyDescent="0.25">
      <c r="B41" s="101"/>
      <c r="C41" s="102"/>
      <c r="D41" s="102"/>
      <c r="E41" s="102"/>
      <c r="F41" s="102"/>
      <c r="G41" s="85"/>
    </row>
    <row r="42" spans="2:7" x14ac:dyDescent="0.25">
      <c r="B42" s="101"/>
      <c r="C42" s="102"/>
      <c r="D42" s="102"/>
      <c r="E42" s="102"/>
      <c r="F42" s="102"/>
      <c r="G42" s="85"/>
    </row>
    <row r="43" spans="2:7" ht="15.75" thickBot="1" x14ac:dyDescent="0.3">
      <c r="B43" s="103"/>
      <c r="C43" s="104"/>
      <c r="D43" s="104"/>
      <c r="E43" s="104"/>
      <c r="F43" s="104"/>
      <c r="G43" s="86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 x14ac:dyDescent="0.25"/>
  <cols>
    <col min="3" max="3" width="15.42578125" bestFit="1" customWidth="1"/>
    <col min="7" max="7" width="46.28515625" bestFit="1" customWidth="1"/>
  </cols>
  <sheetData>
    <row r="1" spans="2:7" x14ac:dyDescent="0.25">
      <c r="B1" t="s">
        <v>9</v>
      </c>
      <c r="C1" s="13" t="s">
        <v>14</v>
      </c>
    </row>
    <row r="2" spans="2:7" x14ac:dyDescent="0.25">
      <c r="B2" t="s">
        <v>10</v>
      </c>
      <c r="C2" s="13" t="s">
        <v>15</v>
      </c>
    </row>
    <row r="3" spans="2:7" ht="26.25" x14ac:dyDescent="0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Plages nommées</vt:lpstr>
      </vt:variant>
      <vt:variant>
        <vt:i4>17</vt:i4>
      </vt:variant>
    </vt:vector>
  </HeadingPairs>
  <TitlesOfParts>
    <vt:vector size="38" baseType="lpstr">
      <vt:lpstr>AF Compressor</vt:lpstr>
      <vt:lpstr>Blomax</vt:lpstr>
      <vt:lpstr>Filler</vt:lpstr>
      <vt:lpstr>Paramix</vt:lpstr>
      <vt:lpstr>Labeller</vt:lpstr>
      <vt:lpstr>Kisters</vt:lpstr>
      <vt:lpstr>Handle applicator</vt:lpstr>
      <vt:lpstr>Conveyors</vt:lpstr>
      <vt:lpstr>Blower</vt:lpstr>
      <vt:lpstr>CIP</vt:lpstr>
      <vt:lpstr>Robopac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'AF Compressor'!Zone_d_impression</vt:lpstr>
      <vt:lpstr>Blomax!Zone_d_impression</vt:lpstr>
      <vt:lpstr>Blower!Zone_d_impression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Conveyors!Zone_d_impression</vt:lpstr>
      <vt:lpstr>'Cvyr Btles'!Zone_d_impression</vt:lpstr>
      <vt:lpstr>Filler!Zone_d_impression</vt:lpstr>
      <vt:lpstr>'Handle applicator'!Zone_d_impression</vt:lpstr>
      <vt:lpstr>Kisters!Zone_d_impression</vt:lpstr>
      <vt:lpstr>Labeller!Zone_d_impression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2022-06-30T15:50:22Z</cp:lastPrinted>
  <dcterms:created xsi:type="dcterms:W3CDTF">2021-01-06T16:50:41Z</dcterms:created>
  <dcterms:modified xsi:type="dcterms:W3CDTF">2024-10-09T09:37:13Z</dcterms:modified>
</cp:coreProperties>
</file>