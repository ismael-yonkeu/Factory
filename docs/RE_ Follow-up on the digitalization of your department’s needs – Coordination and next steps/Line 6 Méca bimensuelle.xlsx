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75" windowWidth="15120" windowHeight="7935" tabRatio="949"/>
  </bookViews>
  <sheets>
    <sheet name="Convoyeurs" sheetId="11" r:id="rId1"/>
    <sheet name="Cvyr Btles" sheetId="12" state="hidden" r:id="rId2"/>
    <sheet name="CC C1" sheetId="13" state="hidden" r:id="rId3"/>
    <sheet name="CC C2" sheetId="15" state="hidden" r:id="rId4"/>
    <sheet name="CC C3" sheetId="16" state="hidden" r:id="rId5"/>
    <sheet name="CC C4" sheetId="17" state="hidden" r:id="rId6"/>
    <sheet name="CC C5" sheetId="18" state="hidden" r:id="rId7"/>
    <sheet name="CC C6" sheetId="19" state="hidden" r:id="rId8"/>
    <sheet name="CC C7" sheetId="20" state="hidden" r:id="rId9"/>
    <sheet name="CC C8" sheetId="21" state="hidden" r:id="rId10"/>
    <sheet name="Line &amp; frequency" sheetId="2" state="hidden" r:id="rId11"/>
  </sheets>
  <definedNames>
    <definedName name="_xlnm.Print_Area" localSheetId="2">'CC C1'!$B$3:$G$63</definedName>
    <definedName name="_xlnm.Print_Area" localSheetId="3">'CC C2'!$B$3:$G$63</definedName>
    <definedName name="_xlnm.Print_Area" localSheetId="4">'CC C3'!$B$3:$G$32</definedName>
    <definedName name="_xlnm.Print_Area" localSheetId="5">'CC C4'!$B$3:$G$37</definedName>
    <definedName name="_xlnm.Print_Area" localSheetId="6">'CC C5'!$B$3:$G$37</definedName>
    <definedName name="_xlnm.Print_Area" localSheetId="7">'CC C6'!$B$3:$G$37</definedName>
    <definedName name="_xlnm.Print_Area" localSheetId="8">'CC C7'!$B$3:$G$37</definedName>
    <definedName name="_xlnm.Print_Area" localSheetId="9">'CC C8'!$B$3:$G$37</definedName>
    <definedName name="_xlnm.Print_Area" localSheetId="0">Convoyeurs!$B$1:$G$22</definedName>
    <definedName name="_xlnm.Print_Area" localSheetId="1">'Cvyr Btles'!$B$3:$G$63</definedName>
  </definedNames>
  <calcPr calcId="152511"/>
</workbook>
</file>

<file path=xl/calcChain.xml><?xml version="1.0" encoding="utf-8"?>
<calcChain xmlns="http://schemas.openxmlformats.org/spreadsheetml/2006/main">
  <c r="G3" i="2" l="1"/>
  <c r="B9" i="2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G4" i="21"/>
  <c r="D4" i="21"/>
  <c r="B9" i="20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G4" i="20"/>
  <c r="D4" i="20"/>
  <c r="B9" i="19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G4" i="19"/>
  <c r="D4" i="19"/>
  <c r="B9" i="18"/>
  <c r="B10" i="18" s="1"/>
  <c r="B11" i="18" s="1"/>
  <c r="B12" i="18" s="1"/>
  <c r="B13" i="18" s="1"/>
  <c r="B14" i="18" s="1"/>
  <c r="B15" i="18" s="1"/>
  <c r="B16" i="18" s="1"/>
  <c r="B17" i="18" s="1"/>
  <c r="B18" i="18" s="1"/>
  <c r="B19" i="18" s="1"/>
  <c r="B20" i="18" s="1"/>
  <c r="B21" i="18" s="1"/>
  <c r="B22" i="18" s="1"/>
  <c r="B23" i="18" s="1"/>
  <c r="B24" i="18" s="1"/>
  <c r="B25" i="18" s="1"/>
  <c r="B26" i="18" s="1"/>
  <c r="B27" i="18" s="1"/>
  <c r="B28" i="18" s="1"/>
  <c r="B29" i="18" s="1"/>
  <c r="B30" i="18" s="1"/>
  <c r="B31" i="18" s="1"/>
  <c r="B32" i="18" s="1"/>
  <c r="B33" i="18" s="1"/>
  <c r="B34" i="18" s="1"/>
  <c r="B35" i="18" s="1"/>
  <c r="B36" i="18" s="1"/>
  <c r="B37" i="18" s="1"/>
  <c r="G4" i="18"/>
  <c r="D4" i="18"/>
  <c r="B9" i="17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B33" i="17" s="1"/>
  <c r="B34" i="17" s="1"/>
  <c r="B35" i="17" s="1"/>
  <c r="B36" i="17" s="1"/>
  <c r="B37" i="17" s="1"/>
  <c r="G4" i="17"/>
  <c r="D4" i="17"/>
  <c r="B9" i="16"/>
  <c r="B10" i="16" s="1"/>
  <c r="B11" i="16" s="1"/>
  <c r="B12" i="16" s="1"/>
  <c r="B13" i="16" s="1"/>
  <c r="B14" i="16" s="1"/>
  <c r="B15" i="16" s="1"/>
  <c r="B16" i="16" s="1"/>
  <c r="B17" i="16" s="1"/>
  <c r="B18" i="16" s="1"/>
  <c r="B19" i="16" s="1"/>
  <c r="B20" i="16" s="1"/>
  <c r="B21" i="16" s="1"/>
  <c r="B22" i="16" s="1"/>
  <c r="B23" i="16" s="1"/>
  <c r="B24" i="16" s="1"/>
  <c r="B25" i="16" s="1"/>
  <c r="B26" i="16" s="1"/>
  <c r="B27" i="16" s="1"/>
  <c r="B28" i="16" s="1"/>
  <c r="B29" i="16" s="1"/>
  <c r="B30" i="16" s="1"/>
  <c r="B31" i="16" s="1"/>
  <c r="B32" i="16" s="1"/>
  <c r="G4" i="16"/>
  <c r="D4" i="16"/>
  <c r="B9" i="15"/>
  <c r="B10" i="15" s="1"/>
  <c r="B11" i="15" s="1"/>
  <c r="B12" i="15" s="1"/>
  <c r="B13" i="15" s="1"/>
  <c r="B14" i="15" s="1"/>
  <c r="B15" i="15" s="1"/>
  <c r="B16" i="15" s="1"/>
  <c r="B17" i="15" s="1"/>
  <c r="B18" i="15" s="1"/>
  <c r="B19" i="15" s="1"/>
  <c r="B20" i="15" s="1"/>
  <c r="B21" i="15" s="1"/>
  <c r="B22" i="15" s="1"/>
  <c r="B23" i="15" s="1"/>
  <c r="B24" i="15" s="1"/>
  <c r="B25" i="15" s="1"/>
  <c r="B26" i="15" s="1"/>
  <c r="B27" i="15" s="1"/>
  <c r="B28" i="15" s="1"/>
  <c r="B29" i="15" s="1"/>
  <c r="B30" i="15" s="1"/>
  <c r="B31" i="15" s="1"/>
  <c r="B32" i="15" s="1"/>
  <c r="B33" i="15" s="1"/>
  <c r="B34" i="15" s="1"/>
  <c r="B35" i="15" s="1"/>
  <c r="B36" i="15" s="1"/>
  <c r="B37" i="15" s="1"/>
  <c r="B38" i="15" s="1"/>
  <c r="B39" i="15" s="1"/>
  <c r="B40" i="15" s="1"/>
  <c r="B41" i="15" s="1"/>
  <c r="B42" i="15" s="1"/>
  <c r="B43" i="15" s="1"/>
  <c r="B44" i="15" s="1"/>
  <c r="B45" i="15" s="1"/>
  <c r="B46" i="15" s="1"/>
  <c r="B47" i="15" s="1"/>
  <c r="B48" i="15" s="1"/>
  <c r="B49" i="15" s="1"/>
  <c r="B50" i="15" s="1"/>
  <c r="B51" i="15" s="1"/>
  <c r="B52" i="15" s="1"/>
  <c r="B53" i="15" s="1"/>
  <c r="B54" i="15" s="1"/>
  <c r="B55" i="15" s="1"/>
  <c r="B56" i="15" s="1"/>
  <c r="B57" i="15" s="1"/>
  <c r="B58" i="15" s="1"/>
  <c r="B59" i="15" s="1"/>
  <c r="B60" i="15" s="1"/>
  <c r="B61" i="15" s="1"/>
  <c r="B62" i="15" s="1"/>
  <c r="B63" i="15" s="1"/>
  <c r="B64" i="15" s="1"/>
  <c r="B65" i="15" s="1"/>
  <c r="B66" i="15" s="1"/>
  <c r="B67" i="15" s="1"/>
  <c r="B68" i="15" s="1"/>
  <c r="B69" i="15" s="1"/>
  <c r="B70" i="15" s="1"/>
  <c r="B71" i="15" s="1"/>
  <c r="B72" i="15" s="1"/>
  <c r="B73" i="15" s="1"/>
  <c r="B74" i="15" s="1"/>
  <c r="B75" i="15" s="1"/>
  <c r="B76" i="15" s="1"/>
  <c r="B77" i="15" s="1"/>
  <c r="B78" i="15" s="1"/>
  <c r="B79" i="15" s="1"/>
  <c r="B80" i="15" s="1"/>
  <c r="B81" i="15" s="1"/>
  <c r="B82" i="15" s="1"/>
  <c r="B83" i="15" s="1"/>
  <c r="B84" i="15" s="1"/>
  <c r="B85" i="15" s="1"/>
  <c r="B86" i="15" s="1"/>
  <c r="B87" i="15" s="1"/>
  <c r="B88" i="15" s="1"/>
  <c r="B89" i="15" s="1"/>
  <c r="B90" i="15" s="1"/>
  <c r="B91" i="15" s="1"/>
  <c r="B92" i="15" s="1"/>
  <c r="B93" i="15" s="1"/>
  <c r="B94" i="15" s="1"/>
  <c r="B95" i="15" s="1"/>
  <c r="B96" i="15" s="1"/>
  <c r="B97" i="15" s="1"/>
  <c r="B98" i="15" s="1"/>
  <c r="B99" i="15" s="1"/>
  <c r="B100" i="15" s="1"/>
  <c r="B101" i="15" s="1"/>
  <c r="B102" i="15" s="1"/>
  <c r="B103" i="15" s="1"/>
  <c r="B104" i="15" s="1"/>
  <c r="B105" i="15" s="1"/>
  <c r="B106" i="15" s="1"/>
  <c r="B107" i="15" s="1"/>
  <c r="G4" i="15"/>
  <c r="D4" i="15"/>
  <c r="B9" i="13" l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3" i="13" s="1"/>
  <c r="B34" i="13" s="1"/>
  <c r="B35" i="13" s="1"/>
  <c r="B36" i="13" s="1"/>
  <c r="B37" i="13" s="1"/>
  <c r="B38" i="13" s="1"/>
  <c r="B39" i="13" s="1"/>
  <c r="B40" i="13" s="1"/>
  <c r="B41" i="13" s="1"/>
  <c r="B42" i="13" s="1"/>
  <c r="B43" i="13" s="1"/>
  <c r="B44" i="13" s="1"/>
  <c r="B45" i="13" s="1"/>
  <c r="B46" i="13" s="1"/>
  <c r="B47" i="13" s="1"/>
  <c r="B48" i="13" s="1"/>
  <c r="B49" i="13" s="1"/>
  <c r="B50" i="13" s="1"/>
  <c r="B51" i="13" s="1"/>
  <c r="B52" i="13" s="1"/>
  <c r="B53" i="13" s="1"/>
  <c r="B54" i="13" s="1"/>
  <c r="B55" i="13" s="1"/>
  <c r="B56" i="13" s="1"/>
  <c r="B57" i="13" s="1"/>
  <c r="B58" i="13" s="1"/>
  <c r="B59" i="13" s="1"/>
  <c r="B60" i="13" s="1"/>
  <c r="B61" i="13" s="1"/>
  <c r="B62" i="13" s="1"/>
  <c r="B63" i="13" s="1"/>
  <c r="B64" i="13" s="1"/>
  <c r="B65" i="13" s="1"/>
  <c r="B66" i="13" s="1"/>
  <c r="B67" i="13" s="1"/>
  <c r="B68" i="13" s="1"/>
  <c r="B69" i="13" s="1"/>
  <c r="B70" i="13" s="1"/>
  <c r="B71" i="13" s="1"/>
  <c r="B72" i="13" s="1"/>
  <c r="B73" i="13" s="1"/>
  <c r="B74" i="13" s="1"/>
  <c r="B75" i="13" s="1"/>
  <c r="B76" i="13" s="1"/>
  <c r="B77" i="13" s="1"/>
  <c r="B78" i="13" s="1"/>
  <c r="B79" i="13" s="1"/>
  <c r="B80" i="13" s="1"/>
  <c r="B81" i="13" s="1"/>
  <c r="B82" i="13" s="1"/>
  <c r="B83" i="13" s="1"/>
  <c r="B84" i="13" s="1"/>
  <c r="B85" i="13" s="1"/>
  <c r="B86" i="13" s="1"/>
  <c r="B87" i="13" s="1"/>
  <c r="B88" i="13" s="1"/>
  <c r="B89" i="13" s="1"/>
  <c r="B90" i="13" s="1"/>
  <c r="B91" i="13" s="1"/>
  <c r="B92" i="13" s="1"/>
  <c r="B93" i="13" s="1"/>
  <c r="B94" i="13" s="1"/>
  <c r="B95" i="13" s="1"/>
  <c r="B96" i="13" s="1"/>
  <c r="B97" i="13" s="1"/>
  <c r="B98" i="13" s="1"/>
  <c r="B99" i="13" s="1"/>
  <c r="B100" i="13" s="1"/>
  <c r="B101" i="13" s="1"/>
  <c r="B102" i="13" s="1"/>
  <c r="B103" i="13" s="1"/>
  <c r="B104" i="13" s="1"/>
  <c r="B105" i="13" s="1"/>
  <c r="B106" i="13" s="1"/>
  <c r="B107" i="13" s="1"/>
  <c r="B9" i="12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B61" i="12" s="1"/>
  <c r="B62" i="12" s="1"/>
  <c r="B63" i="12" s="1"/>
  <c r="B64" i="12" s="1"/>
  <c r="B65" i="12" s="1"/>
  <c r="B66" i="12" s="1"/>
  <c r="B67" i="12" s="1"/>
  <c r="B68" i="12" s="1"/>
  <c r="B69" i="12" s="1"/>
  <c r="B70" i="12" s="1"/>
  <c r="B71" i="12" s="1"/>
  <c r="B72" i="12" s="1"/>
  <c r="B73" i="12" s="1"/>
  <c r="B74" i="12" s="1"/>
  <c r="B75" i="12" s="1"/>
  <c r="B76" i="12" s="1"/>
  <c r="B77" i="12" s="1"/>
  <c r="B78" i="12" s="1"/>
  <c r="B79" i="12" s="1"/>
  <c r="B80" i="12" s="1"/>
  <c r="B81" i="12" s="1"/>
  <c r="B82" i="12" s="1"/>
  <c r="B83" i="12" s="1"/>
  <c r="B84" i="12" s="1"/>
  <c r="B85" i="12" s="1"/>
  <c r="B86" i="12" s="1"/>
  <c r="B87" i="12" s="1"/>
  <c r="B88" i="12" s="1"/>
  <c r="B89" i="12" s="1"/>
  <c r="B90" i="12" s="1"/>
  <c r="B91" i="12" s="1"/>
  <c r="B92" i="12" s="1"/>
  <c r="B93" i="12" s="1"/>
  <c r="B94" i="12" s="1"/>
  <c r="B95" i="12" s="1"/>
  <c r="B96" i="12" s="1"/>
  <c r="B97" i="12" s="1"/>
  <c r="B98" i="12" s="1"/>
  <c r="B99" i="12" s="1"/>
  <c r="B100" i="12" s="1"/>
  <c r="B101" i="12" s="1"/>
  <c r="B102" i="12" s="1"/>
  <c r="B103" i="12" s="1"/>
  <c r="B104" i="12" s="1"/>
  <c r="B105" i="12" s="1"/>
  <c r="B106" i="12" s="1"/>
  <c r="B107" i="12" s="1"/>
  <c r="G4" i="13" l="1"/>
  <c r="D4" i="13"/>
  <c r="G4" i="12"/>
  <c r="D4" i="12"/>
</calcChain>
</file>

<file path=xl/sharedStrings.xml><?xml version="1.0" encoding="utf-8"?>
<sst xmlns="http://schemas.openxmlformats.org/spreadsheetml/2006/main" count="336" uniqueCount="49">
  <si>
    <t>FAIT?</t>
  </si>
  <si>
    <t>N°</t>
  </si>
  <si>
    <t>DESCRIPTION DES TACHES</t>
  </si>
  <si>
    <t>Durée</t>
  </si>
  <si>
    <t>OUI</t>
  </si>
  <si>
    <t>NON</t>
  </si>
  <si>
    <t>REMARQUES (MATERIEL + PIECES)</t>
  </si>
  <si>
    <t>Nom et Visa Intervenants</t>
  </si>
  <si>
    <t>Nom et Visa Responsables</t>
  </si>
  <si>
    <t xml:space="preserve">Line </t>
  </si>
  <si>
    <t>Frequency</t>
  </si>
  <si>
    <t>CHECKLIST  MECANIQUE</t>
  </si>
  <si>
    <t>Date</t>
  </si>
  <si>
    <t xml:space="preserve">Commentaire </t>
  </si>
  <si>
    <t>CHAINE 4</t>
  </si>
  <si>
    <t>HEBDOMADAIRE</t>
  </si>
  <si>
    <t>PALETTISEUR</t>
  </si>
  <si>
    <t>controler l'arret d'huile et le remplacé au besoin. Aucune fuite d'huile n'est acceptable.</t>
  </si>
  <si>
    <t>CONVOYEURS CASIERS C1</t>
  </si>
  <si>
    <t>controler la fixation du réducteur sur le convoyeur et corriger si necessaire.</t>
  </si>
  <si>
    <t>controler l'usure du pignon et le remplacé au besoin. Aucun glissement n'est acceptable.</t>
  </si>
  <si>
    <t>controler l'alignement et la fixation du pignon de  l'axe moteur et remedier au besoin.</t>
  </si>
  <si>
    <t>controler l'usure de la roue libre et la remplacée au besoin. Aucun glissement n'est acceptable.</t>
  </si>
  <si>
    <t>controler l'alignement et la fixation de la roue libre et remedier au problème.</t>
  </si>
  <si>
    <t>controler l'usure de la clavette et la rainure et reparer au besoin</t>
  </si>
  <si>
    <t>controler l'état des glissières et remplacer les au besoin</t>
  </si>
  <si>
    <t xml:space="preserve">controler l'usure des roulements et paliers de l'axe moteur et remplacer si necessaire. </t>
  </si>
  <si>
    <t>controler l'usure des pignons et les remplacés au besoin. Aucun glissement n'est acceptable.</t>
  </si>
  <si>
    <t>controler l'usure du tapis et remplacer les portions usées ou maillons cassés</t>
  </si>
  <si>
    <t>controler la tenson des tapis et ajuster au besoin</t>
  </si>
  <si>
    <t>vérifier la fixation des couvres chaines et bien les rangés au besoin</t>
  </si>
  <si>
    <t>CONVOYEURS CASIERS C2</t>
  </si>
  <si>
    <t>CONVOYEURS CASIERS C4</t>
  </si>
  <si>
    <t>CONVOYEURS CASIERS C3</t>
  </si>
  <si>
    <t>CONVOYEURS CASIERS C5</t>
  </si>
  <si>
    <t>CONVOYEURS CASIERS C6</t>
  </si>
  <si>
    <t>CONVOYEURS CASIERS C7</t>
  </si>
  <si>
    <t>CONVOYEURS CASIERS C8</t>
  </si>
  <si>
    <t>New PET line</t>
  </si>
  <si>
    <t>CONVOYEURS</t>
  </si>
  <si>
    <t>BIMENSUELLE</t>
  </si>
  <si>
    <t>Contrôler la présence éventuelle de détériorations et de traces d'usure sur les chaînes de convoyage</t>
  </si>
  <si>
    <t>Vérifier la poulie de renvoi</t>
  </si>
  <si>
    <t xml:space="preserve">Contrôler le jeu de l'orifice des poulies de renvoi vis-à-vis de l'arbre. Remplacer la poulie de renvoi si le jeu est supérieur à 1,5 mm. </t>
  </si>
  <si>
    <t>Vérifier la largeur de la courbe magnétique. Remplacer la courbe si la largeur est supérieure à 56 mm</t>
  </si>
  <si>
    <t>Remplacer la chaîne si la largeur est supérieure à 56 mm</t>
  </si>
  <si>
    <t>Vérifier la flèche de chaîne et l'usure des chaînes</t>
  </si>
  <si>
    <t>Vérifier le fonctionnement correct des paliers et articulations</t>
  </si>
  <si>
    <t>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</si>
</sst>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Arial"/>
      <family val="2"/>
    </font>
    <font>
      <b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6"/>
      <color theme="1"/>
      <name val="Arial"/>
      <family val="2"/>
    </font>
    <font>
      <sz val="10"/>
      <color indexed="8"/>
      <name val="Arial"/>
      <family val="2"/>
    </font>
    <font>
      <sz val="20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6" fillId="0" borderId="0"/>
    <xf numFmtId="0" fontId="19" fillId="0" borderId="0"/>
  </cellStyleXfs>
  <cellXfs count="75">
    <xf numFmtId="0" fontId="0" fillId="0" borderId="0" xfId="0"/>
    <xf numFmtId="0" fontId="1" fillId="2" borderId="0" xfId="0" applyFont="1" applyFill="1" applyProtection="1">
      <protection locked="0"/>
    </xf>
    <xf numFmtId="0" fontId="5" fillId="2" borderId="0" xfId="0" applyFont="1" applyFill="1" applyBorder="1" applyAlignment="1" applyProtection="1">
      <alignment horizontal="left"/>
      <protection locked="0"/>
    </xf>
    <xf numFmtId="0" fontId="2" fillId="2" borderId="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Protection="1">
      <protection locked="0"/>
    </xf>
    <xf numFmtId="0" fontId="4" fillId="2" borderId="13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hidden="1"/>
    </xf>
    <xf numFmtId="0" fontId="6" fillId="2" borderId="17" xfId="0" applyFont="1" applyFill="1" applyBorder="1" applyProtection="1"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7" fillId="2" borderId="17" xfId="0" applyFont="1" applyFill="1" applyBorder="1" applyProtection="1">
      <protection locked="0"/>
    </xf>
    <xf numFmtId="0" fontId="6" fillId="2" borderId="25" xfId="0" applyFont="1" applyFill="1" applyBorder="1" applyProtection="1">
      <protection locked="0"/>
    </xf>
    <xf numFmtId="0" fontId="6" fillId="2" borderId="23" xfId="0" applyFont="1" applyFill="1" applyBorder="1" applyAlignment="1" applyProtection="1">
      <alignment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0" fillId="4" borderId="0" xfId="0" applyFill="1"/>
    <xf numFmtId="0" fontId="9" fillId="2" borderId="6" xfId="0" applyFont="1" applyFill="1" applyBorder="1" applyAlignment="1" applyProtection="1">
      <alignment vertical="center"/>
      <protection locked="0"/>
    </xf>
    <xf numFmtId="0" fontId="10" fillId="2" borderId="7" xfId="0" applyFont="1" applyFill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>
      <alignment horizontal="left" vertical="center" wrapText="1"/>
    </xf>
    <xf numFmtId="0" fontId="11" fillId="2" borderId="15" xfId="0" applyFont="1" applyFill="1" applyBorder="1" applyAlignment="1">
      <alignment horizontal="left" vertical="center" wrapText="1"/>
    </xf>
    <xf numFmtId="0" fontId="11" fillId="2" borderId="31" xfId="0" applyFont="1" applyFill="1" applyBorder="1" applyAlignment="1">
      <alignment horizontal="left" vertical="center" wrapText="1"/>
    </xf>
    <xf numFmtId="0" fontId="6" fillId="2" borderId="32" xfId="0" applyFont="1" applyFill="1" applyBorder="1" applyProtection="1">
      <protection locked="0"/>
    </xf>
    <xf numFmtId="0" fontId="6" fillId="2" borderId="30" xfId="0" applyFont="1" applyFill="1" applyBorder="1" applyAlignment="1" applyProtection="1">
      <alignment vertical="center"/>
      <protection locked="0"/>
    </xf>
    <xf numFmtId="0" fontId="7" fillId="2" borderId="28" xfId="0" applyFont="1" applyFill="1" applyBorder="1" applyAlignment="1" applyProtection="1">
      <alignment horizontal="center" vertical="center"/>
      <protection hidden="1"/>
    </xf>
    <xf numFmtId="0" fontId="7" fillId="2" borderId="19" xfId="0" applyFont="1" applyFill="1" applyBorder="1" applyAlignment="1" applyProtection="1">
      <alignment horizontal="center" vertical="center"/>
      <protection hidden="1"/>
    </xf>
    <xf numFmtId="0" fontId="7" fillId="2" borderId="21" xfId="0" applyFont="1" applyFill="1" applyBorder="1" applyAlignment="1" applyProtection="1">
      <alignment horizontal="center" vertical="center"/>
      <protection hidden="1"/>
    </xf>
    <xf numFmtId="0" fontId="12" fillId="3" borderId="12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 applyProtection="1">
      <alignment horizontal="center" vertical="center"/>
      <protection locked="0"/>
    </xf>
    <xf numFmtId="0" fontId="13" fillId="3" borderId="10" xfId="0" applyFont="1" applyFill="1" applyBorder="1" applyAlignment="1" applyProtection="1">
      <alignment horizontal="center" vertical="center"/>
      <protection locked="0"/>
    </xf>
    <xf numFmtId="0" fontId="13" fillId="3" borderId="6" xfId="0" applyFont="1" applyFill="1" applyBorder="1" applyAlignment="1" applyProtection="1">
      <alignment horizontal="center" vertical="center"/>
      <protection locked="0"/>
    </xf>
    <xf numFmtId="0" fontId="13" fillId="3" borderId="7" xfId="0" applyFont="1" applyFill="1" applyBorder="1" applyAlignment="1" applyProtection="1">
      <alignment horizontal="center" vertical="center" wrapText="1"/>
      <protection locked="0"/>
    </xf>
    <xf numFmtId="0" fontId="14" fillId="3" borderId="11" xfId="0" applyFont="1" applyFill="1" applyBorder="1" applyAlignment="1" applyProtection="1">
      <alignment horizontal="center" vertical="center"/>
      <protection locked="0"/>
    </xf>
    <xf numFmtId="0" fontId="14" fillId="3" borderId="12" xfId="0" applyFont="1" applyFill="1" applyBorder="1" applyAlignment="1" applyProtection="1">
      <alignment horizontal="center" vertical="center"/>
      <protection locked="0"/>
    </xf>
    <xf numFmtId="0" fontId="10" fillId="2" borderId="5" xfId="0" applyFont="1" applyFill="1" applyBorder="1" applyAlignment="1" applyProtection="1">
      <alignment horizontal="center" vertical="top"/>
      <protection locked="0"/>
    </xf>
    <xf numFmtId="0" fontId="15" fillId="2" borderId="1" xfId="0" applyFont="1" applyFill="1" applyBorder="1" applyAlignment="1" applyProtection="1">
      <alignment horizontal="center" vertical="center"/>
      <protection locked="0"/>
    </xf>
    <xf numFmtId="0" fontId="7" fillId="2" borderId="33" xfId="0" applyFont="1" applyFill="1" applyBorder="1" applyAlignment="1" applyProtection="1">
      <alignment horizontal="left" vertical="center"/>
      <protection locked="0"/>
    </xf>
    <xf numFmtId="0" fontId="7" fillId="2" borderId="16" xfId="0" applyFont="1" applyFill="1" applyBorder="1" applyAlignment="1" applyProtection="1">
      <alignment horizontal="left" vertical="center"/>
      <protection locked="0"/>
    </xf>
    <xf numFmtId="0" fontId="8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24" xfId="0" applyFont="1" applyFill="1" applyBorder="1" applyAlignment="1" applyProtection="1">
      <alignment horizontal="left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1" fillId="2" borderId="14" xfId="0" applyFont="1" applyFill="1" applyBorder="1" applyAlignment="1">
      <alignment horizontal="left" vertical="center" wrapText="1"/>
    </xf>
    <xf numFmtId="0" fontId="11" fillId="2" borderId="36" xfId="0" applyFont="1" applyFill="1" applyBorder="1" applyAlignment="1">
      <alignment horizontal="left" vertical="center" wrapText="1"/>
    </xf>
    <xf numFmtId="0" fontId="7" fillId="2" borderId="37" xfId="0" applyFont="1" applyFill="1" applyBorder="1" applyAlignment="1" applyProtection="1">
      <alignment horizontal="center" vertical="center"/>
      <protection hidden="1"/>
    </xf>
    <xf numFmtId="0" fontId="6" fillId="2" borderId="38" xfId="0" applyFont="1" applyFill="1" applyBorder="1" applyProtection="1">
      <protection locked="0"/>
    </xf>
    <xf numFmtId="0" fontId="6" fillId="2" borderId="39" xfId="0" applyFont="1" applyFill="1" applyBorder="1" applyAlignment="1" applyProtection="1">
      <alignment vertical="center"/>
      <protection locked="0"/>
    </xf>
    <xf numFmtId="0" fontId="7" fillId="2" borderId="40" xfId="0" applyFont="1" applyFill="1" applyBorder="1" applyAlignment="1" applyProtection="1">
      <alignment horizontal="left" vertical="center"/>
      <protection locked="0"/>
    </xf>
    <xf numFmtId="164" fontId="17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14" fontId="0" fillId="6" borderId="0" xfId="0" applyNumberFormat="1" applyFill="1" applyAlignment="1">
      <alignment horizontal="center" vertical="center"/>
    </xf>
    <xf numFmtId="0" fontId="18" fillId="2" borderId="14" xfId="0" applyFont="1" applyFill="1" applyBorder="1" applyAlignment="1">
      <alignment horizontal="left" vertical="center" wrapText="1"/>
    </xf>
    <xf numFmtId="0" fontId="7" fillId="2" borderId="32" xfId="0" applyFont="1" applyFill="1" applyBorder="1" applyAlignment="1" applyProtection="1">
      <alignment horizontal="center" vertical="center"/>
      <protection hidden="1"/>
    </xf>
    <xf numFmtId="164" fontId="20" fillId="0" borderId="41" xfId="2" applyNumberFormat="1" applyFont="1" applyBorder="1" applyAlignment="1" applyProtection="1">
      <alignment vertical="center" wrapText="1"/>
      <protection locked="0"/>
    </xf>
    <xf numFmtId="164" fontId="20" fillId="0" borderId="38" xfId="2" applyNumberFormat="1" applyFont="1" applyBorder="1" applyAlignment="1" applyProtection="1">
      <alignment vertical="center" wrapText="1"/>
      <protection locked="0"/>
    </xf>
    <xf numFmtId="0" fontId="18" fillId="0" borderId="20" xfId="0" applyFont="1" applyBorder="1" applyAlignment="1">
      <alignment vertical="center" wrapText="1"/>
    </xf>
    <xf numFmtId="0" fontId="18" fillId="2" borderId="20" xfId="0" applyFont="1" applyFill="1" applyBorder="1" applyAlignment="1">
      <alignment horizontal="left" vertical="center" wrapText="1"/>
    </xf>
    <xf numFmtId="164" fontId="20" fillId="0" borderId="36" xfId="2" applyNumberFormat="1" applyFont="1" applyBorder="1" applyAlignment="1" applyProtection="1">
      <alignment horizontal="left" vertical="center" wrapText="1"/>
      <protection locked="0"/>
    </xf>
    <xf numFmtId="0" fontId="1" fillId="2" borderId="28" xfId="0" applyFont="1" applyFill="1" applyBorder="1" applyAlignment="1" applyProtection="1">
      <alignment horizontal="center"/>
      <protection locked="0"/>
    </xf>
    <xf numFmtId="0" fontId="1" fillId="2" borderId="29" xfId="0" applyFont="1" applyFill="1" applyBorder="1" applyAlignment="1" applyProtection="1">
      <alignment horizontal="center"/>
      <protection locked="0"/>
    </xf>
    <xf numFmtId="0" fontId="1" fillId="2" borderId="19" xfId="0" applyFont="1" applyFill="1" applyBorder="1" applyAlignment="1" applyProtection="1">
      <alignment horizontal="center"/>
      <protection locked="0"/>
    </xf>
    <xf numFmtId="0" fontId="1" fillId="2" borderId="20" xfId="0" applyFont="1" applyFill="1" applyBorder="1" applyAlignment="1" applyProtection="1">
      <alignment horizontal="center"/>
      <protection locked="0"/>
    </xf>
    <xf numFmtId="0" fontId="1" fillId="2" borderId="21" xfId="0" applyFont="1" applyFill="1" applyBorder="1" applyAlignment="1" applyProtection="1">
      <alignment horizontal="center"/>
      <protection locked="0"/>
    </xf>
    <xf numFmtId="0" fontId="1" fillId="2" borderId="22" xfId="0" applyFont="1" applyFill="1" applyBorder="1" applyAlignment="1" applyProtection="1">
      <alignment horizontal="center"/>
      <protection locked="0"/>
    </xf>
    <xf numFmtId="0" fontId="1" fillId="2" borderId="30" xfId="0" applyFont="1" applyFill="1" applyBorder="1" applyAlignment="1" applyProtection="1">
      <alignment horizontal="center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23" xfId="0" applyFont="1" applyFill="1" applyBorder="1" applyAlignment="1" applyProtection="1">
      <alignment horizontal="center"/>
      <protection locked="0"/>
    </xf>
    <xf numFmtId="0" fontId="3" fillId="5" borderId="2" xfId="0" applyFont="1" applyFill="1" applyBorder="1" applyAlignment="1" applyProtection="1">
      <alignment horizontal="center" vertical="center"/>
      <protection locked="0"/>
    </xf>
    <xf numFmtId="0" fontId="3" fillId="5" borderId="3" xfId="0" applyFont="1" applyFill="1" applyBorder="1" applyAlignment="1" applyProtection="1">
      <alignment horizontal="center" vertical="center"/>
      <protection locked="0"/>
    </xf>
    <xf numFmtId="0" fontId="3" fillId="5" borderId="4" xfId="0" applyFont="1" applyFill="1" applyBorder="1" applyAlignment="1" applyProtection="1">
      <alignment horizontal="center" vertical="center"/>
      <protection locked="0"/>
    </xf>
    <xf numFmtId="0" fontId="15" fillId="2" borderId="6" xfId="0" applyFont="1" applyFill="1" applyBorder="1" applyAlignment="1" applyProtection="1">
      <alignment horizontal="center" vertical="center"/>
      <protection locked="0"/>
    </xf>
    <xf numFmtId="0" fontId="15" fillId="2" borderId="8" xfId="0" applyFont="1" applyFill="1" applyBorder="1" applyAlignment="1" applyProtection="1">
      <alignment horizontal="center" vertical="center"/>
      <protection locked="0"/>
    </xf>
    <xf numFmtId="0" fontId="12" fillId="2" borderId="6" xfId="0" applyFont="1" applyFill="1" applyBorder="1" applyAlignment="1" applyProtection="1">
      <alignment horizontal="center" vertical="center"/>
      <protection locked="0"/>
    </xf>
    <xf numFmtId="0" fontId="12" fillId="2" borderId="7" xfId="0" applyFont="1" applyFill="1" applyBorder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 wrapText="1"/>
      <protection locked="0"/>
    </xf>
    <xf numFmtId="0" fontId="12" fillId="3" borderId="8" xfId="0" applyFont="1" applyFill="1" applyBorder="1" applyAlignment="1" applyProtection="1">
      <alignment horizontal="center" vertical="center" wrapText="1"/>
      <protection locked="0"/>
    </xf>
    <xf numFmtId="0" fontId="12" fillId="3" borderId="35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 2" xfId="2"/>
    <cellStyle name="Normal 3" xfId="1"/>
  </cellStyles>
  <dxfs count="26"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  <dxf>
      <font>
        <b/>
        <i val="0"/>
      </font>
      <fill>
        <patternFill>
          <bgColor rgb="FFFF0000"/>
        </patternFill>
      </fill>
    </dxf>
    <dxf>
      <font>
        <b/>
        <i val="0"/>
      </font>
      <fill>
        <patternFill>
          <bgColor theme="5"/>
        </patternFill>
      </fill>
    </dxf>
  </dxfs>
  <tableStyles count="0" defaultTableStyle="TableStyleMedium9" defaultPivotStyle="PivotStyleLight16"/>
  <colors>
    <mruColors>
      <color rgb="FF2D2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19807</xdr:rowOff>
    </xdr:from>
    <xdr:to>
      <xdr:col>2</xdr:col>
      <xdr:colOff>539750</xdr:colOff>
      <xdr:row>3</xdr:row>
      <xdr:rowOff>10002</xdr:rowOff>
    </xdr:to>
    <xdr:pic>
      <xdr:nvPicPr>
        <xdr:cNvPr id="2" name="Picture 3">
          <a:extLst>
            <a:ext uri="{FF2B5EF4-FFF2-40B4-BE49-F238E27FC236}">
              <a16:creationId xmlns="" xmlns:a16="http://schemas.microsoft.com/office/drawing/2014/main" id="{00000000-0008-0000-1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7907"/>
          <a:ext cx="939800" cy="7807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I22"/>
  <sheetViews>
    <sheetView tabSelected="1" view="pageBreakPreview" zoomScaleNormal="55" zoomScaleSheetLayoutView="100" zoomScalePageLayoutView="70" workbookViewId="0">
      <selection activeCell="C8" sqref="C8:C14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4.8554687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9" ht="1.5" customHeight="1" x14ac:dyDescent="0.25"/>
    <row r="2" spans="2:9" ht="1.5" customHeight="1" thickBot="1" x14ac:dyDescent="0.3"/>
    <row r="3" spans="2:9" ht="62.25" customHeight="1" thickBot="1" x14ac:dyDescent="0.3">
      <c r="B3" s="63" t="s">
        <v>11</v>
      </c>
      <c r="C3" s="64"/>
      <c r="D3" s="64"/>
      <c r="E3" s="64"/>
      <c r="F3" s="65"/>
      <c r="G3" s="53" t="s">
        <v>48</v>
      </c>
      <c r="H3" s="49"/>
      <c r="I3" s="50"/>
    </row>
    <row r="4" spans="2:9" ht="24" thickBot="1" x14ac:dyDescent="0.3">
      <c r="B4" s="14"/>
      <c r="C4" s="15" t="s">
        <v>39</v>
      </c>
      <c r="D4" s="66" t="s">
        <v>38</v>
      </c>
      <c r="E4" s="67"/>
      <c r="F4" s="67"/>
      <c r="G4" s="32" t="s">
        <v>40</v>
      </c>
    </row>
    <row r="5" spans="2:9" ht="8.25" customHeight="1" thickBot="1" x14ac:dyDescent="0.3">
      <c r="B5" s="2"/>
      <c r="C5" s="2"/>
      <c r="D5" s="3"/>
      <c r="E5" s="3"/>
      <c r="F5" s="3"/>
      <c r="G5" s="3"/>
    </row>
    <row r="6" spans="2:9" ht="20.25" customHeight="1" thickBot="1" x14ac:dyDescent="0.3">
      <c r="E6" s="68" t="s">
        <v>0</v>
      </c>
      <c r="F6" s="69"/>
    </row>
    <row r="7" spans="2:9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9" s="4" customFormat="1" ht="22.5" customHeight="1" thickBot="1" x14ac:dyDescent="0.3">
      <c r="B8" s="5">
        <v>1</v>
      </c>
      <c r="C8" s="51" t="s">
        <v>41</v>
      </c>
      <c r="D8" s="21"/>
      <c r="E8" s="19"/>
      <c r="F8" s="20"/>
      <c r="G8" s="33"/>
    </row>
    <row r="9" spans="2:9" s="4" customFormat="1" ht="19.5" thickBot="1" x14ac:dyDescent="0.3">
      <c r="B9" s="5">
        <v>2</v>
      </c>
      <c r="C9" s="51" t="s">
        <v>42</v>
      </c>
      <c r="D9" s="21"/>
      <c r="E9" s="19"/>
      <c r="F9" s="20"/>
      <c r="G9" s="33"/>
    </row>
    <row r="10" spans="2:9" s="4" customFormat="1" ht="32.25" thickBot="1" x14ac:dyDescent="0.3">
      <c r="B10" s="5">
        <v>3</v>
      </c>
      <c r="C10" s="51" t="s">
        <v>43</v>
      </c>
      <c r="D10" s="48"/>
      <c r="E10" s="19"/>
      <c r="F10" s="20"/>
      <c r="G10" s="33"/>
    </row>
    <row r="11" spans="2:9" s="4" customFormat="1" ht="18.75" customHeight="1" thickBot="1" x14ac:dyDescent="0.3">
      <c r="B11" s="5">
        <v>4</v>
      </c>
      <c r="C11" s="51" t="s">
        <v>44</v>
      </c>
      <c r="D11" s="48"/>
      <c r="E11" s="19"/>
      <c r="F11" s="20"/>
      <c r="G11" s="33"/>
    </row>
    <row r="12" spans="2:9" s="4" customFormat="1" ht="19.5" thickBot="1" x14ac:dyDescent="0.3">
      <c r="B12" s="5">
        <v>5</v>
      </c>
      <c r="C12" s="51" t="s">
        <v>45</v>
      </c>
      <c r="D12" s="48"/>
      <c r="E12" s="19"/>
      <c r="F12" s="20"/>
      <c r="G12" s="33"/>
    </row>
    <row r="13" spans="2:9" s="4" customFormat="1" ht="19.5" thickBot="1" x14ac:dyDescent="0.3">
      <c r="B13" s="5">
        <v>6</v>
      </c>
      <c r="C13" s="52" t="s">
        <v>46</v>
      </c>
      <c r="D13" s="21"/>
      <c r="E13" s="19"/>
      <c r="F13" s="20"/>
      <c r="G13" s="33"/>
    </row>
    <row r="14" spans="2:9" s="4" customFormat="1" ht="19.5" thickBot="1" x14ac:dyDescent="0.3">
      <c r="B14" s="5">
        <v>7</v>
      </c>
      <c r="C14" s="52" t="s">
        <v>47</v>
      </c>
      <c r="D14" s="21"/>
      <c r="E14" s="19"/>
      <c r="F14" s="20"/>
      <c r="G14" s="33"/>
    </row>
    <row r="15" spans="2:9" s="4" customFormat="1" ht="19.5" thickBot="1" x14ac:dyDescent="0.3">
      <c r="B15" s="5">
        <v>8</v>
      </c>
      <c r="C15" s="47"/>
      <c r="D15" s="21"/>
      <c r="E15" s="19"/>
      <c r="F15" s="20"/>
      <c r="G15" s="33"/>
    </row>
    <row r="16" spans="2:9" s="4" customFormat="1" ht="19.5" thickBot="1" x14ac:dyDescent="0.3">
      <c r="B16" s="5">
        <v>9</v>
      </c>
      <c r="C16" s="47"/>
      <c r="D16" s="21"/>
      <c r="E16" s="19"/>
      <c r="F16" s="20"/>
      <c r="G16" s="33"/>
    </row>
    <row r="17" spans="2:7" ht="18.75" thickBot="1" x14ac:dyDescent="0.3">
      <c r="B17" s="70" t="s">
        <v>13</v>
      </c>
      <c r="C17" s="71"/>
      <c r="D17" s="72" t="s">
        <v>7</v>
      </c>
      <c r="E17" s="73"/>
      <c r="F17" s="74"/>
      <c r="G17" s="24" t="s">
        <v>8</v>
      </c>
    </row>
    <row r="18" spans="2:7" x14ac:dyDescent="0.25">
      <c r="B18" s="54"/>
      <c r="C18" s="55"/>
      <c r="D18" s="55"/>
      <c r="E18" s="55"/>
      <c r="F18" s="55"/>
      <c r="G18" s="60"/>
    </row>
    <row r="19" spans="2:7" x14ac:dyDescent="0.25">
      <c r="B19" s="56"/>
      <c r="C19" s="57"/>
      <c r="D19" s="57"/>
      <c r="E19" s="57"/>
      <c r="F19" s="57"/>
      <c r="G19" s="61"/>
    </row>
    <row r="20" spans="2:7" x14ac:dyDescent="0.25">
      <c r="B20" s="56"/>
      <c r="C20" s="57"/>
      <c r="D20" s="57"/>
      <c r="E20" s="57"/>
      <c r="F20" s="57"/>
      <c r="G20" s="61"/>
    </row>
    <row r="21" spans="2:7" x14ac:dyDescent="0.25">
      <c r="B21" s="56"/>
      <c r="C21" s="57"/>
      <c r="D21" s="57"/>
      <c r="E21" s="57"/>
      <c r="F21" s="57"/>
      <c r="G21" s="61"/>
    </row>
    <row r="22" spans="2:7" ht="15.75" thickBot="1" x14ac:dyDescent="0.3">
      <c r="B22" s="58"/>
      <c r="C22" s="59"/>
      <c r="D22" s="59"/>
      <c r="E22" s="59"/>
      <c r="F22" s="59"/>
      <c r="G22" s="62"/>
    </row>
  </sheetData>
  <sheetProtection selectLockedCells="1"/>
  <mergeCells count="8">
    <mergeCell ref="B18:C22"/>
    <mergeCell ref="D18:F22"/>
    <mergeCell ref="G18:G22"/>
    <mergeCell ref="B3:F3"/>
    <mergeCell ref="D4:F4"/>
    <mergeCell ref="E6:F6"/>
    <mergeCell ref="B17:C17"/>
    <mergeCell ref="D17:F17"/>
  </mergeCells>
  <conditionalFormatting sqref="D8:D16">
    <cfRule type="cellIs" dxfId="25" priority="3" operator="equal">
      <formula>3</formula>
    </cfRule>
    <cfRule type="cellIs" dxfId="24" priority="4" operator="equal">
      <formula>4</formula>
    </cfRule>
  </conditionalFormatting>
  <printOptions horizontalCentered="1"/>
  <pageMargins left="0.15748031496062992" right="7.874015748031496E-2" top="0.19685039370078741" bottom="0.15748031496062992" header="0.31496062992125984" footer="0.31496062992125984"/>
  <pageSetup paperSize="9" scale="81" fitToHeight="0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M13" sqref="M13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16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/>
      <c r="D8" s="21"/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/>
      <c r="D9" s="21"/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/>
      <c r="D10" s="21"/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/>
      <c r="D11" s="21"/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/>
      <c r="D12" s="21"/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/>
      <c r="D13" s="21"/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/>
      <c r="D14" s="21"/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/>
      <c r="D15" s="21"/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/>
      <c r="D16" s="21"/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/>
      <c r="D17" s="21"/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/>
      <c r="D18" s="21"/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/>
      <c r="D19" s="21"/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/>
      <c r="D20" s="21"/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/>
      <c r="D21" s="21"/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/>
      <c r="D22" s="21"/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/>
      <c r="D23" s="21"/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/>
      <c r="D24" s="21"/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0" t="s">
        <v>13</v>
      </c>
      <c r="C108" s="71"/>
      <c r="D108" s="72" t="s">
        <v>7</v>
      </c>
      <c r="E108" s="73"/>
      <c r="F108" s="74"/>
      <c r="G108" s="24" t="s">
        <v>8</v>
      </c>
    </row>
    <row r="109" spans="2:7" x14ac:dyDescent="0.25">
      <c r="B109" s="54"/>
      <c r="C109" s="55"/>
      <c r="D109" s="55"/>
      <c r="E109" s="55"/>
      <c r="F109" s="55"/>
      <c r="G109" s="60"/>
    </row>
    <row r="110" spans="2:7" x14ac:dyDescent="0.25">
      <c r="B110" s="56"/>
      <c r="C110" s="57"/>
      <c r="D110" s="57"/>
      <c r="E110" s="57"/>
      <c r="F110" s="57"/>
      <c r="G110" s="61"/>
    </row>
    <row r="111" spans="2:7" x14ac:dyDescent="0.25">
      <c r="B111" s="56"/>
      <c r="C111" s="57"/>
      <c r="D111" s="57"/>
      <c r="E111" s="57"/>
      <c r="F111" s="57"/>
      <c r="G111" s="61"/>
    </row>
    <row r="112" spans="2:7" x14ac:dyDescent="0.25">
      <c r="B112" s="56"/>
      <c r="C112" s="57"/>
      <c r="D112" s="57"/>
      <c r="E112" s="57"/>
      <c r="F112" s="57"/>
      <c r="G112" s="61"/>
    </row>
    <row r="113" spans="2:7" ht="15.75" thickBot="1" x14ac:dyDescent="0.3">
      <c r="B113" s="58"/>
      <c r="C113" s="59"/>
      <c r="D113" s="59"/>
      <c r="E113" s="59"/>
      <c r="F113" s="59"/>
      <c r="G113" s="6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23" priority="3" operator="equal">
      <formula>3</formula>
    </cfRule>
    <cfRule type="cellIs" dxfId="22" priority="4" operator="equal">
      <formula>4</formula>
    </cfRule>
  </conditionalFormatting>
  <conditionalFormatting sqref="D89">
    <cfRule type="cellIs" dxfId="21" priority="1" operator="equal">
      <formula>3</formula>
    </cfRule>
    <cfRule type="cellIs" dxfId="2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topLeftCell="A6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18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 t="s">
        <v>17</v>
      </c>
      <c r="D34" s="21">
        <v>10</v>
      </c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 t="s">
        <v>19</v>
      </c>
      <c r="D35" s="21">
        <v>30</v>
      </c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 t="s">
        <v>26</v>
      </c>
      <c r="D36" s="21">
        <v>30</v>
      </c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 t="s">
        <v>27</v>
      </c>
      <c r="D37" s="21">
        <v>30</v>
      </c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 t="s">
        <v>21</v>
      </c>
      <c r="D38" s="21">
        <v>30</v>
      </c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 t="s">
        <v>24</v>
      </c>
      <c r="D39" s="21">
        <v>30</v>
      </c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 t="s">
        <v>25</v>
      </c>
      <c r="D40" s="21">
        <v>25</v>
      </c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 t="s">
        <v>28</v>
      </c>
      <c r="D41" s="21">
        <v>120</v>
      </c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 t="s">
        <v>29</v>
      </c>
      <c r="D42" s="21">
        <v>60</v>
      </c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 t="s">
        <v>17</v>
      </c>
      <c r="D43" s="21">
        <v>10</v>
      </c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 t="s">
        <v>30</v>
      </c>
      <c r="D44" s="21">
        <v>30</v>
      </c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0" t="s">
        <v>13</v>
      </c>
      <c r="C108" s="71"/>
      <c r="D108" s="72" t="s">
        <v>7</v>
      </c>
      <c r="E108" s="73"/>
      <c r="F108" s="74"/>
      <c r="G108" s="24" t="s">
        <v>8</v>
      </c>
    </row>
    <row r="109" spans="2:7" x14ac:dyDescent="0.25">
      <c r="B109" s="54"/>
      <c r="C109" s="55"/>
      <c r="D109" s="55"/>
      <c r="E109" s="55"/>
      <c r="F109" s="55"/>
      <c r="G109" s="60"/>
    </row>
    <row r="110" spans="2:7" x14ac:dyDescent="0.25">
      <c r="B110" s="56"/>
      <c r="C110" s="57"/>
      <c r="D110" s="57"/>
      <c r="E110" s="57"/>
      <c r="F110" s="57"/>
      <c r="G110" s="61"/>
    </row>
    <row r="111" spans="2:7" x14ac:dyDescent="0.25">
      <c r="B111" s="56"/>
      <c r="C111" s="57"/>
      <c r="D111" s="57"/>
      <c r="E111" s="57"/>
      <c r="F111" s="57"/>
      <c r="G111" s="61"/>
    </row>
    <row r="112" spans="2:7" x14ac:dyDescent="0.25">
      <c r="B112" s="56"/>
      <c r="C112" s="57"/>
      <c r="D112" s="57"/>
      <c r="E112" s="57"/>
      <c r="F112" s="57"/>
      <c r="G112" s="61"/>
    </row>
    <row r="113" spans="2:7" ht="15.75" thickBot="1" x14ac:dyDescent="0.3">
      <c r="B113" s="58"/>
      <c r="C113" s="59"/>
      <c r="D113" s="59"/>
      <c r="E113" s="59"/>
      <c r="F113" s="59"/>
      <c r="G113" s="62"/>
    </row>
  </sheetData>
  <sheetProtection selectLockedCells="1"/>
  <mergeCells count="8">
    <mergeCell ref="B109:C113"/>
    <mergeCell ref="D109:F113"/>
    <mergeCell ref="G109:G113"/>
    <mergeCell ref="B3:F3"/>
    <mergeCell ref="D4:F4"/>
    <mergeCell ref="E6:F6"/>
    <mergeCell ref="B108:C108"/>
    <mergeCell ref="D108:F108"/>
  </mergeCells>
  <conditionalFormatting sqref="D8:D88 D90:D107">
    <cfRule type="cellIs" dxfId="19" priority="3" operator="equal">
      <formula>3</formula>
    </cfRule>
    <cfRule type="cellIs" dxfId="18" priority="4" operator="equal">
      <formula>4</formula>
    </cfRule>
  </conditionalFormatting>
  <conditionalFormatting sqref="D89">
    <cfRule type="cellIs" dxfId="17" priority="1" operator="equal">
      <formula>3</formula>
    </cfRule>
    <cfRule type="cellIs" dxfId="1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11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31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37">
        <f t="shared" ref="B32" si="21">+B31+1</f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6">
        <f t="shared" ref="B33" si="22">B32+1</f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37">
        <f t="shared" ref="B34" si="23">+B33+1</f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ref="B35" si="24">B34+1</f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ref="B36" si="25">+B35+1</f>
        <v>29</v>
      </c>
      <c r="C36" s="38"/>
      <c r="D36" s="21"/>
      <c r="E36" s="19"/>
      <c r="F36" s="20"/>
      <c r="G36" s="33"/>
    </row>
    <row r="37" spans="2:7" s="4" customFormat="1" ht="64.5" customHeight="1" x14ac:dyDescent="0.25">
      <c r="B37" s="6">
        <f t="shared" ref="B37" si="26">B36+1</f>
        <v>30</v>
      </c>
      <c r="C37" s="38"/>
      <c r="D37" s="21"/>
      <c r="E37" s="19"/>
      <c r="F37" s="20"/>
      <c r="G37" s="33"/>
    </row>
    <row r="38" spans="2:7" s="4" customFormat="1" ht="64.5" customHeight="1" x14ac:dyDescent="0.25">
      <c r="B38" s="37">
        <f t="shared" ref="B38" si="27">+B37+1</f>
        <v>31</v>
      </c>
      <c r="C38" s="38"/>
      <c r="D38" s="21"/>
      <c r="E38" s="19"/>
      <c r="F38" s="20"/>
      <c r="G38" s="33"/>
    </row>
    <row r="39" spans="2:7" s="4" customFormat="1" ht="64.5" customHeight="1" x14ac:dyDescent="0.25">
      <c r="B39" s="6">
        <f t="shared" ref="B39" si="28">B38+1</f>
        <v>32</v>
      </c>
      <c r="C39" s="38"/>
      <c r="D39" s="21"/>
      <c r="E39" s="19"/>
      <c r="F39" s="20"/>
      <c r="G39" s="33"/>
    </row>
    <row r="40" spans="2:7" s="4" customFormat="1" ht="64.5" customHeight="1" x14ac:dyDescent="0.25">
      <c r="B40" s="37">
        <f t="shared" ref="B40" si="29">+B39+1</f>
        <v>33</v>
      </c>
      <c r="C40" s="38"/>
      <c r="D40" s="21"/>
      <c r="E40" s="19"/>
      <c r="F40" s="20"/>
      <c r="G40" s="33"/>
    </row>
    <row r="41" spans="2:7" s="4" customFormat="1" ht="64.5" customHeight="1" x14ac:dyDescent="0.25">
      <c r="B41" s="6">
        <f t="shared" ref="B41" si="30">B40+1</f>
        <v>34</v>
      </c>
      <c r="C41" s="38"/>
      <c r="D41" s="21"/>
      <c r="E41" s="19"/>
      <c r="F41" s="20"/>
      <c r="G41" s="33"/>
    </row>
    <row r="42" spans="2:7" s="4" customFormat="1" ht="64.5" customHeight="1" x14ac:dyDescent="0.25">
      <c r="B42" s="37">
        <f t="shared" ref="B42" si="31">+B41+1</f>
        <v>35</v>
      </c>
      <c r="C42" s="38"/>
      <c r="D42" s="21"/>
      <c r="E42" s="19"/>
      <c r="F42" s="20"/>
      <c r="G42" s="33"/>
    </row>
    <row r="43" spans="2:7" s="4" customFormat="1" ht="64.5" customHeight="1" x14ac:dyDescent="0.25">
      <c r="B43" s="6">
        <f t="shared" ref="B43" si="32">B42+1</f>
        <v>36</v>
      </c>
      <c r="C43" s="38"/>
      <c r="D43" s="21"/>
      <c r="E43" s="19"/>
      <c r="F43" s="20"/>
      <c r="G43" s="33"/>
    </row>
    <row r="44" spans="2:7" s="4" customFormat="1" ht="64.5" customHeight="1" x14ac:dyDescent="0.25">
      <c r="B44" s="37">
        <f t="shared" ref="B44" si="33">+B43+1</f>
        <v>37</v>
      </c>
      <c r="C44" s="38"/>
      <c r="D44" s="21"/>
      <c r="E44" s="19"/>
      <c r="F44" s="20"/>
      <c r="G44" s="33"/>
    </row>
    <row r="45" spans="2:7" s="4" customFormat="1" ht="64.5" customHeight="1" x14ac:dyDescent="0.25">
      <c r="B45" s="6">
        <f t="shared" ref="B45" si="34">B44+1</f>
        <v>38</v>
      </c>
      <c r="C45" s="38"/>
      <c r="D45" s="21"/>
      <c r="E45" s="19"/>
      <c r="F45" s="20"/>
      <c r="G45" s="33"/>
    </row>
    <row r="46" spans="2:7" s="4" customFormat="1" ht="64.5" customHeight="1" x14ac:dyDescent="0.25">
      <c r="B46" s="37">
        <f t="shared" ref="B46" si="35">+B45+1</f>
        <v>39</v>
      </c>
      <c r="C46" s="38"/>
      <c r="D46" s="21"/>
      <c r="E46" s="19"/>
      <c r="F46" s="20"/>
      <c r="G46" s="33"/>
    </row>
    <row r="47" spans="2:7" s="4" customFormat="1" ht="64.5" customHeight="1" x14ac:dyDescent="0.25">
      <c r="B47" s="6">
        <f t="shared" ref="B47" si="36">B46+1</f>
        <v>40</v>
      </c>
      <c r="C47" s="38"/>
      <c r="D47" s="21"/>
      <c r="E47" s="19"/>
      <c r="F47" s="20"/>
      <c r="G47" s="33"/>
    </row>
    <row r="48" spans="2:7" s="4" customFormat="1" ht="64.5" customHeight="1" x14ac:dyDescent="0.25">
      <c r="B48" s="37">
        <f t="shared" ref="B48" si="37">+B47+1</f>
        <v>41</v>
      </c>
      <c r="C48" s="38"/>
      <c r="D48" s="21"/>
      <c r="E48" s="19"/>
      <c r="F48" s="20"/>
      <c r="G48" s="33"/>
    </row>
    <row r="49" spans="2:7" s="4" customFormat="1" ht="64.5" customHeight="1" x14ac:dyDescent="0.25">
      <c r="B49" s="6">
        <f t="shared" ref="B49" si="38">B48+1</f>
        <v>42</v>
      </c>
      <c r="C49" s="38"/>
      <c r="D49" s="21"/>
      <c r="E49" s="19"/>
      <c r="F49" s="20"/>
      <c r="G49" s="33"/>
    </row>
    <row r="50" spans="2:7" s="4" customFormat="1" ht="64.5" customHeight="1" x14ac:dyDescent="0.25">
      <c r="B50" s="37">
        <f t="shared" ref="B50" si="39">+B49+1</f>
        <v>43</v>
      </c>
      <c r="C50" s="38"/>
      <c r="D50" s="21"/>
      <c r="E50" s="19"/>
      <c r="F50" s="20"/>
      <c r="G50" s="33"/>
    </row>
    <row r="51" spans="2:7" s="4" customFormat="1" ht="64.5" customHeight="1" x14ac:dyDescent="0.25">
      <c r="B51" s="6">
        <f t="shared" ref="B51" si="40">B50+1</f>
        <v>44</v>
      </c>
      <c r="C51" s="38"/>
      <c r="D51" s="21"/>
      <c r="E51" s="19"/>
      <c r="F51" s="20"/>
      <c r="G51" s="33"/>
    </row>
    <row r="52" spans="2:7" s="4" customFormat="1" ht="64.5" customHeight="1" x14ac:dyDescent="0.25">
      <c r="B52" s="37">
        <f t="shared" ref="B52" si="41">+B51+1</f>
        <v>45</v>
      </c>
      <c r="C52" s="38"/>
      <c r="D52" s="21"/>
      <c r="E52" s="19"/>
      <c r="F52" s="20"/>
      <c r="G52" s="33"/>
    </row>
    <row r="53" spans="2:7" s="4" customFormat="1" ht="64.5" customHeight="1" x14ac:dyDescent="0.25">
      <c r="B53" s="6">
        <f t="shared" ref="B53" si="42">B52+1</f>
        <v>46</v>
      </c>
      <c r="C53" s="38"/>
      <c r="D53" s="21"/>
      <c r="E53" s="19"/>
      <c r="F53" s="20"/>
      <c r="G53" s="33"/>
    </row>
    <row r="54" spans="2:7" s="4" customFormat="1" ht="64.5" customHeight="1" x14ac:dyDescent="0.25">
      <c r="B54" s="37">
        <f t="shared" ref="B54" si="43">+B53+1</f>
        <v>47</v>
      </c>
      <c r="C54" s="38"/>
      <c r="D54" s="21"/>
      <c r="E54" s="19"/>
      <c r="F54" s="20"/>
      <c r="G54" s="33"/>
    </row>
    <row r="55" spans="2:7" s="4" customFormat="1" ht="64.5" customHeight="1" x14ac:dyDescent="0.25">
      <c r="B55" s="6">
        <f t="shared" ref="B55" si="44">B54+1</f>
        <v>48</v>
      </c>
      <c r="C55" s="38"/>
      <c r="D55" s="21"/>
      <c r="E55" s="19"/>
      <c r="F55" s="20"/>
      <c r="G55" s="33"/>
    </row>
    <row r="56" spans="2:7" s="4" customFormat="1" ht="64.5" customHeight="1" x14ac:dyDescent="0.25">
      <c r="B56" s="37">
        <f t="shared" ref="B56" si="45">+B55+1</f>
        <v>49</v>
      </c>
      <c r="C56" s="38"/>
      <c r="D56" s="21"/>
      <c r="E56" s="19"/>
      <c r="F56" s="20"/>
      <c r="G56" s="33"/>
    </row>
    <row r="57" spans="2:7" s="4" customFormat="1" ht="64.5" customHeight="1" x14ac:dyDescent="0.25">
      <c r="B57" s="6">
        <f t="shared" ref="B57" si="46">B56+1</f>
        <v>50</v>
      </c>
      <c r="C57" s="38"/>
      <c r="D57" s="21"/>
      <c r="E57" s="19"/>
      <c r="F57" s="20"/>
      <c r="G57" s="33"/>
    </row>
    <row r="58" spans="2:7" s="12" customFormat="1" ht="43.5" customHeight="1" x14ac:dyDescent="0.25">
      <c r="B58" s="37">
        <f t="shared" ref="B58" si="47">+B57+1</f>
        <v>51</v>
      </c>
      <c r="C58" s="17"/>
      <c r="D58" s="22"/>
      <c r="E58" s="7"/>
      <c r="F58" s="8"/>
      <c r="G58" s="34"/>
    </row>
    <row r="59" spans="2:7" ht="20.25" x14ac:dyDescent="0.25">
      <c r="B59" s="6">
        <f t="shared" ref="B59" si="48">B58+1</f>
        <v>52</v>
      </c>
      <c r="C59" s="17"/>
      <c r="D59" s="22"/>
      <c r="E59" s="7"/>
      <c r="F59" s="8"/>
      <c r="G59" s="34"/>
    </row>
    <row r="60" spans="2:7" ht="20.25" x14ac:dyDescent="0.25">
      <c r="B60" s="37">
        <f t="shared" ref="B60" si="49">+B59+1</f>
        <v>53</v>
      </c>
      <c r="C60" s="17"/>
      <c r="D60" s="22"/>
      <c r="E60" s="7"/>
      <c r="F60" s="8"/>
      <c r="G60" s="34"/>
    </row>
    <row r="61" spans="2:7" ht="20.25" x14ac:dyDescent="0.25">
      <c r="B61" s="6">
        <f t="shared" ref="B61" si="50">B60+1</f>
        <v>54</v>
      </c>
      <c r="C61" s="17"/>
      <c r="D61" s="22"/>
      <c r="E61" s="7"/>
      <c r="F61" s="8"/>
      <c r="G61" s="34"/>
    </row>
    <row r="62" spans="2:7" ht="20.25" x14ac:dyDescent="0.25">
      <c r="B62" s="37">
        <f t="shared" ref="B62" si="51">+B61+1</f>
        <v>55</v>
      </c>
      <c r="C62" s="17"/>
      <c r="D62" s="22"/>
      <c r="E62" s="7"/>
      <c r="F62" s="8"/>
      <c r="G62" s="34"/>
    </row>
    <row r="63" spans="2:7" ht="59.25" customHeight="1" x14ac:dyDescent="0.25">
      <c r="B63" s="6">
        <f t="shared" ref="B63" si="52">B62+1</f>
        <v>56</v>
      </c>
      <c r="C63" s="17"/>
      <c r="D63" s="22"/>
      <c r="E63" s="7"/>
      <c r="F63" s="8"/>
      <c r="G63" s="34"/>
    </row>
    <row r="64" spans="2:7" ht="20.25" x14ac:dyDescent="0.25">
      <c r="B64" s="37">
        <f t="shared" ref="B64" si="53">+B63+1</f>
        <v>57</v>
      </c>
      <c r="C64" s="17"/>
      <c r="D64" s="22"/>
      <c r="E64" s="7"/>
      <c r="F64" s="8"/>
      <c r="G64" s="34"/>
    </row>
    <row r="65" spans="2:7" ht="20.25" x14ac:dyDescent="0.25">
      <c r="B65" s="6">
        <f t="shared" ref="B65" si="54">B64+1</f>
        <v>58</v>
      </c>
      <c r="C65" s="17"/>
      <c r="D65" s="22"/>
      <c r="E65" s="7"/>
      <c r="F65" s="8"/>
      <c r="G65" s="34"/>
    </row>
    <row r="66" spans="2:7" ht="20.25" x14ac:dyDescent="0.25">
      <c r="B66" s="37">
        <f t="shared" ref="B66" si="55">+B65+1</f>
        <v>59</v>
      </c>
      <c r="C66" s="17"/>
      <c r="D66" s="22"/>
      <c r="E66" s="7"/>
      <c r="F66" s="8"/>
      <c r="G66" s="34"/>
    </row>
    <row r="67" spans="2:7" ht="20.25" x14ac:dyDescent="0.25">
      <c r="B67" s="6">
        <f t="shared" ref="B67" si="56">B66+1</f>
        <v>60</v>
      </c>
      <c r="C67" s="17"/>
      <c r="D67" s="22"/>
      <c r="E67" s="7"/>
      <c r="F67" s="8"/>
      <c r="G67" s="34"/>
    </row>
    <row r="68" spans="2:7" ht="20.25" x14ac:dyDescent="0.25">
      <c r="B68" s="37">
        <f t="shared" ref="B68" si="57">+B67+1</f>
        <v>61</v>
      </c>
      <c r="C68" s="17"/>
      <c r="D68" s="22"/>
      <c r="E68" s="7"/>
      <c r="F68" s="8"/>
      <c r="G68" s="34"/>
    </row>
    <row r="69" spans="2:7" ht="20.25" x14ac:dyDescent="0.25">
      <c r="B69" s="6">
        <f t="shared" ref="B69" si="58">B68+1</f>
        <v>62</v>
      </c>
      <c r="C69" s="17"/>
      <c r="D69" s="22"/>
      <c r="E69" s="7"/>
      <c r="F69" s="8"/>
      <c r="G69" s="34"/>
    </row>
    <row r="70" spans="2:7" ht="20.25" x14ac:dyDescent="0.25">
      <c r="B70" s="37">
        <f t="shared" ref="B70" si="59">+B69+1</f>
        <v>63</v>
      </c>
      <c r="C70" s="17"/>
      <c r="D70" s="22"/>
      <c r="E70" s="7"/>
      <c r="F70" s="8"/>
      <c r="G70" s="34"/>
    </row>
    <row r="71" spans="2:7" ht="20.25" x14ac:dyDescent="0.25">
      <c r="B71" s="6">
        <f t="shared" ref="B71" si="60">B70+1</f>
        <v>64</v>
      </c>
      <c r="C71" s="17"/>
      <c r="D71" s="22"/>
      <c r="E71" s="7"/>
      <c r="F71" s="8"/>
      <c r="G71" s="34"/>
    </row>
    <row r="72" spans="2:7" ht="20.25" x14ac:dyDescent="0.25">
      <c r="B72" s="37">
        <f t="shared" ref="B72" si="61">+B71+1</f>
        <v>65</v>
      </c>
      <c r="C72" s="17"/>
      <c r="D72" s="22"/>
      <c r="E72" s="7"/>
      <c r="F72" s="8"/>
      <c r="G72" s="34"/>
    </row>
    <row r="73" spans="2:7" ht="20.25" x14ac:dyDescent="0.25">
      <c r="B73" s="6">
        <f t="shared" ref="B73" si="62">B72+1</f>
        <v>66</v>
      </c>
      <c r="C73" s="17"/>
      <c r="D73" s="22"/>
      <c r="E73" s="7"/>
      <c r="F73" s="8"/>
      <c r="G73" s="34"/>
    </row>
    <row r="74" spans="2:7" ht="20.25" x14ac:dyDescent="0.25">
      <c r="B74" s="37">
        <f t="shared" ref="B74" si="63">+B73+1</f>
        <v>67</v>
      </c>
      <c r="C74" s="17"/>
      <c r="D74" s="22"/>
      <c r="E74" s="7"/>
      <c r="F74" s="8"/>
      <c r="G74" s="34"/>
    </row>
    <row r="75" spans="2:7" ht="20.25" x14ac:dyDescent="0.25">
      <c r="B75" s="6">
        <f t="shared" ref="B75" si="64">B74+1</f>
        <v>68</v>
      </c>
      <c r="C75" s="17"/>
      <c r="D75" s="22"/>
      <c r="E75" s="7"/>
      <c r="F75" s="8"/>
      <c r="G75" s="34"/>
    </row>
    <row r="76" spans="2:7" ht="20.25" x14ac:dyDescent="0.25">
      <c r="B76" s="37">
        <f t="shared" ref="B76" si="65">+B75+1</f>
        <v>69</v>
      </c>
      <c r="C76" s="17"/>
      <c r="D76" s="22"/>
      <c r="E76" s="7"/>
      <c r="F76" s="8"/>
      <c r="G76" s="34"/>
    </row>
    <row r="77" spans="2:7" ht="20.25" x14ac:dyDescent="0.25">
      <c r="B77" s="6">
        <f t="shared" ref="B77" si="66">B76+1</f>
        <v>70</v>
      </c>
      <c r="C77" s="17"/>
      <c r="D77" s="22"/>
      <c r="E77" s="7"/>
      <c r="F77" s="8"/>
      <c r="G77" s="34"/>
    </row>
    <row r="78" spans="2:7" ht="20.25" x14ac:dyDescent="0.25">
      <c r="B78" s="37">
        <f t="shared" ref="B78" si="67">+B77+1</f>
        <v>71</v>
      </c>
      <c r="C78" s="17"/>
      <c r="D78" s="22"/>
      <c r="E78" s="7"/>
      <c r="F78" s="8"/>
      <c r="G78" s="34"/>
    </row>
    <row r="79" spans="2:7" ht="20.25" x14ac:dyDescent="0.25">
      <c r="B79" s="6">
        <f t="shared" ref="B79" si="68">B78+1</f>
        <v>72</v>
      </c>
      <c r="C79" s="17"/>
      <c r="D79" s="22"/>
      <c r="E79" s="7"/>
      <c r="F79" s="8"/>
      <c r="G79" s="34"/>
    </row>
    <row r="80" spans="2:7" ht="20.25" x14ac:dyDescent="0.3">
      <c r="B80" s="37">
        <f t="shared" ref="B80" si="69">+B79+1</f>
        <v>73</v>
      </c>
      <c r="C80" s="17"/>
      <c r="D80" s="22"/>
      <c r="E80" s="9"/>
      <c r="F80" s="8"/>
      <c r="G80" s="34"/>
    </row>
    <row r="81" spans="2:7" ht="20.25" x14ac:dyDescent="0.25">
      <c r="B81" s="6">
        <f t="shared" ref="B81" si="70">B80+1</f>
        <v>74</v>
      </c>
      <c r="C81" s="17"/>
      <c r="D81" s="22"/>
      <c r="E81" s="7"/>
      <c r="F81" s="8"/>
      <c r="G81" s="34"/>
    </row>
    <row r="82" spans="2:7" ht="20.25" x14ac:dyDescent="0.25">
      <c r="B82" s="37">
        <f t="shared" ref="B82" si="71">+B81+1</f>
        <v>75</v>
      </c>
      <c r="C82" s="17"/>
      <c r="D82" s="22"/>
      <c r="E82" s="7"/>
      <c r="F82" s="8"/>
      <c r="G82" s="34"/>
    </row>
    <row r="83" spans="2:7" ht="20.25" x14ac:dyDescent="0.25">
      <c r="B83" s="6">
        <f t="shared" ref="B83" si="72">B82+1</f>
        <v>76</v>
      </c>
      <c r="C83" s="17"/>
      <c r="D83" s="22"/>
      <c r="E83" s="7"/>
      <c r="F83" s="8"/>
      <c r="G83" s="34"/>
    </row>
    <row r="84" spans="2:7" ht="21" x14ac:dyDescent="0.25">
      <c r="B84" s="37">
        <f t="shared" ref="B84" si="73">+B83+1</f>
        <v>77</v>
      </c>
      <c r="C84" s="17"/>
      <c r="D84" s="22"/>
      <c r="E84" s="7"/>
      <c r="F84" s="8"/>
      <c r="G84" s="35"/>
    </row>
    <row r="85" spans="2:7" ht="20.25" x14ac:dyDescent="0.25">
      <c r="B85" s="6">
        <f t="shared" ref="B85" si="74">B84+1</f>
        <v>78</v>
      </c>
      <c r="C85" s="17"/>
      <c r="D85" s="22"/>
      <c r="E85" s="7"/>
      <c r="F85" s="8"/>
      <c r="G85" s="34"/>
    </row>
    <row r="86" spans="2:7" ht="20.25" x14ac:dyDescent="0.25">
      <c r="B86" s="37">
        <f t="shared" ref="B86" si="75">+B85+1</f>
        <v>79</v>
      </c>
      <c r="C86" s="17"/>
      <c r="D86" s="22"/>
      <c r="E86" s="7"/>
      <c r="F86" s="8"/>
      <c r="G86" s="34"/>
    </row>
    <row r="87" spans="2:7" ht="20.25" x14ac:dyDescent="0.25">
      <c r="B87" s="6">
        <f t="shared" ref="B87" si="76">B86+1</f>
        <v>80</v>
      </c>
      <c r="C87" s="17"/>
      <c r="D87" s="22"/>
      <c r="E87" s="7"/>
      <c r="F87" s="8"/>
      <c r="G87" s="34"/>
    </row>
    <row r="88" spans="2:7" ht="20.25" x14ac:dyDescent="0.25">
      <c r="B88" s="37">
        <f t="shared" ref="B88" si="77">+B87+1</f>
        <v>81</v>
      </c>
      <c r="C88" s="17"/>
      <c r="D88" s="22"/>
      <c r="E88" s="7"/>
      <c r="F88" s="8"/>
      <c r="G88" s="34"/>
    </row>
    <row r="89" spans="2:7" ht="20.25" x14ac:dyDescent="0.25">
      <c r="B89" s="6">
        <f t="shared" ref="B89" si="78">B88+1</f>
        <v>82</v>
      </c>
      <c r="C89" s="17"/>
      <c r="D89" s="22"/>
      <c r="E89" s="7"/>
      <c r="F89" s="8"/>
      <c r="G89" s="34"/>
    </row>
    <row r="90" spans="2:7" ht="20.25" x14ac:dyDescent="0.25">
      <c r="B90" s="37">
        <f t="shared" ref="B90" si="79">+B89+1</f>
        <v>83</v>
      </c>
      <c r="C90" s="17"/>
      <c r="D90" s="22"/>
      <c r="E90" s="7"/>
      <c r="F90" s="8"/>
      <c r="G90" s="34"/>
    </row>
    <row r="91" spans="2:7" ht="20.25" x14ac:dyDescent="0.25">
      <c r="B91" s="6">
        <f t="shared" ref="B91" si="80">B90+1</f>
        <v>84</v>
      </c>
      <c r="C91" s="17"/>
      <c r="D91" s="22"/>
      <c r="E91" s="7"/>
      <c r="F91" s="8"/>
      <c r="G91" s="34"/>
    </row>
    <row r="92" spans="2:7" ht="20.25" x14ac:dyDescent="0.25">
      <c r="B92" s="37">
        <f t="shared" ref="B92" si="81">+B91+1</f>
        <v>85</v>
      </c>
      <c r="C92" s="17"/>
      <c r="D92" s="22"/>
      <c r="E92" s="7"/>
      <c r="F92" s="8"/>
      <c r="G92" s="34"/>
    </row>
    <row r="93" spans="2:7" ht="20.25" x14ac:dyDescent="0.25">
      <c r="B93" s="6">
        <f t="shared" ref="B93" si="82">B92+1</f>
        <v>86</v>
      </c>
      <c r="C93" s="17"/>
      <c r="D93" s="22"/>
      <c r="E93" s="7"/>
      <c r="F93" s="8"/>
      <c r="G93" s="34"/>
    </row>
    <row r="94" spans="2:7" ht="20.25" x14ac:dyDescent="0.25">
      <c r="B94" s="37">
        <f t="shared" ref="B94" si="83">+B93+1</f>
        <v>87</v>
      </c>
      <c r="C94" s="17"/>
      <c r="D94" s="22"/>
      <c r="E94" s="7"/>
      <c r="F94" s="8"/>
      <c r="G94" s="34"/>
    </row>
    <row r="95" spans="2:7" ht="20.25" x14ac:dyDescent="0.25">
      <c r="B95" s="6">
        <f t="shared" ref="B95" si="84">B94+1</f>
        <v>88</v>
      </c>
      <c r="C95" s="17"/>
      <c r="D95" s="22"/>
      <c r="E95" s="7"/>
      <c r="F95" s="8"/>
      <c r="G95" s="34"/>
    </row>
    <row r="96" spans="2:7" ht="20.25" x14ac:dyDescent="0.25">
      <c r="B96" s="37">
        <f t="shared" ref="B96" si="85">+B95+1</f>
        <v>89</v>
      </c>
      <c r="C96" s="17"/>
      <c r="D96" s="22"/>
      <c r="E96" s="7"/>
      <c r="F96" s="8"/>
      <c r="G96" s="34"/>
    </row>
    <row r="97" spans="2:7" ht="20.25" x14ac:dyDescent="0.25">
      <c r="B97" s="6">
        <f t="shared" ref="B97" si="86">B96+1</f>
        <v>90</v>
      </c>
      <c r="C97" s="17"/>
      <c r="D97" s="22"/>
      <c r="E97" s="7"/>
      <c r="F97" s="8"/>
      <c r="G97" s="34"/>
    </row>
    <row r="98" spans="2:7" ht="20.25" x14ac:dyDescent="0.25">
      <c r="B98" s="37">
        <f t="shared" ref="B98" si="87">+B97+1</f>
        <v>91</v>
      </c>
      <c r="C98" s="17"/>
      <c r="D98" s="22"/>
      <c r="E98" s="7"/>
      <c r="F98" s="8"/>
      <c r="G98" s="34"/>
    </row>
    <row r="99" spans="2:7" ht="20.25" x14ac:dyDescent="0.25">
      <c r="B99" s="6">
        <f t="shared" ref="B99" si="88">B98+1</f>
        <v>92</v>
      </c>
      <c r="C99" s="17"/>
      <c r="D99" s="22"/>
      <c r="E99" s="7"/>
      <c r="F99" s="8"/>
      <c r="G99" s="34"/>
    </row>
    <row r="100" spans="2:7" ht="20.25" x14ac:dyDescent="0.25">
      <c r="B100" s="37">
        <f t="shared" ref="B100" si="89">+B99+1</f>
        <v>93</v>
      </c>
      <c r="C100" s="17"/>
      <c r="D100" s="22"/>
      <c r="E100" s="7"/>
      <c r="F100" s="8"/>
      <c r="G100" s="34"/>
    </row>
    <row r="101" spans="2:7" ht="20.25" x14ac:dyDescent="0.25">
      <c r="B101" s="6">
        <f t="shared" ref="B101" si="90">B100+1</f>
        <v>94</v>
      </c>
      <c r="C101" s="17"/>
      <c r="D101" s="22"/>
      <c r="E101" s="7"/>
      <c r="F101" s="8"/>
      <c r="G101" s="34"/>
    </row>
    <row r="102" spans="2:7" ht="20.25" x14ac:dyDescent="0.25">
      <c r="B102" s="37">
        <f t="shared" ref="B102" si="91">+B101+1</f>
        <v>95</v>
      </c>
      <c r="C102" s="17"/>
      <c r="D102" s="22"/>
      <c r="E102" s="7"/>
      <c r="F102" s="8"/>
      <c r="G102" s="34"/>
    </row>
    <row r="103" spans="2:7" ht="20.25" x14ac:dyDescent="0.25">
      <c r="B103" s="6">
        <f t="shared" ref="B103" si="92">B102+1</f>
        <v>96</v>
      </c>
      <c r="C103" s="17"/>
      <c r="D103" s="22"/>
      <c r="E103" s="7"/>
      <c r="F103" s="8"/>
      <c r="G103" s="34"/>
    </row>
    <row r="104" spans="2:7" ht="20.25" x14ac:dyDescent="0.25">
      <c r="B104" s="37">
        <f t="shared" ref="B104:B106" si="93">+B103+1</f>
        <v>97</v>
      </c>
      <c r="C104" s="17"/>
      <c r="D104" s="22"/>
      <c r="E104" s="7"/>
      <c r="F104" s="8"/>
      <c r="G104" s="34"/>
    </row>
    <row r="105" spans="2:7" ht="20.25" x14ac:dyDescent="0.25">
      <c r="B105" s="6">
        <f t="shared" ref="B105:B107" si="94">B104+1</f>
        <v>98</v>
      </c>
      <c r="C105" s="17"/>
      <c r="D105" s="22"/>
      <c r="E105" s="7"/>
      <c r="F105" s="8"/>
      <c r="G105" s="34"/>
    </row>
    <row r="106" spans="2:7" ht="20.25" x14ac:dyDescent="0.25">
      <c r="B106" s="37">
        <f t="shared" si="93"/>
        <v>99</v>
      </c>
      <c r="C106" s="39"/>
      <c r="D106" s="40"/>
      <c r="E106" s="41"/>
      <c r="F106" s="42"/>
      <c r="G106" s="43"/>
    </row>
    <row r="107" spans="2:7" ht="21" thickBot="1" x14ac:dyDescent="0.3">
      <c r="B107" s="6">
        <f t="shared" si="94"/>
        <v>100</v>
      </c>
      <c r="C107" s="18"/>
      <c r="D107" s="23"/>
      <c r="E107" s="10"/>
      <c r="F107" s="11"/>
      <c r="G107" s="36"/>
    </row>
    <row r="108" spans="2:7" ht="18.75" thickBot="1" x14ac:dyDescent="0.3">
      <c r="B108" s="70" t="s">
        <v>13</v>
      </c>
      <c r="C108" s="71"/>
      <c r="D108" s="72" t="s">
        <v>7</v>
      </c>
      <c r="E108" s="73"/>
      <c r="F108" s="74"/>
      <c r="G108" s="24" t="s">
        <v>8</v>
      </c>
    </row>
    <row r="109" spans="2:7" x14ac:dyDescent="0.25">
      <c r="B109" s="54"/>
      <c r="C109" s="55"/>
      <c r="D109" s="55"/>
      <c r="E109" s="55"/>
      <c r="F109" s="55"/>
      <c r="G109" s="60"/>
    </row>
    <row r="110" spans="2:7" x14ac:dyDescent="0.25">
      <c r="B110" s="56"/>
      <c r="C110" s="57"/>
      <c r="D110" s="57"/>
      <c r="E110" s="57"/>
      <c r="F110" s="57"/>
      <c r="G110" s="61"/>
    </row>
    <row r="111" spans="2:7" x14ac:dyDescent="0.25">
      <c r="B111" s="56"/>
      <c r="C111" s="57"/>
      <c r="D111" s="57"/>
      <c r="E111" s="57"/>
      <c r="F111" s="57"/>
      <c r="G111" s="61"/>
    </row>
    <row r="112" spans="2:7" x14ac:dyDescent="0.25">
      <c r="B112" s="56"/>
      <c r="C112" s="57"/>
      <c r="D112" s="57"/>
      <c r="E112" s="57"/>
      <c r="F112" s="57"/>
      <c r="G112" s="61"/>
    </row>
    <row r="113" spans="2:7" ht="15.75" thickBot="1" x14ac:dyDescent="0.3">
      <c r="B113" s="58"/>
      <c r="C113" s="59"/>
      <c r="D113" s="59"/>
      <c r="E113" s="59"/>
      <c r="F113" s="59"/>
      <c r="G113" s="62"/>
    </row>
  </sheetData>
  <sheetProtection selectLockedCells="1"/>
  <mergeCells count="8">
    <mergeCell ref="G109:G113"/>
    <mergeCell ref="B3:F3"/>
    <mergeCell ref="D4:F4"/>
    <mergeCell ref="E6:F6"/>
    <mergeCell ref="B108:C108"/>
    <mergeCell ref="D108:F108"/>
    <mergeCell ref="B109:C113"/>
    <mergeCell ref="D109:F113"/>
  </mergeCells>
  <conditionalFormatting sqref="D8:D88 D90:D107">
    <cfRule type="cellIs" dxfId="15" priority="3" operator="equal">
      <formula>3</formula>
    </cfRule>
    <cfRule type="cellIs" dxfId="14" priority="4" operator="equal">
      <formula>4</formula>
    </cfRule>
  </conditionalFormatting>
  <conditionalFormatting sqref="D89">
    <cfRule type="cellIs" dxfId="13" priority="1" operator="equal">
      <formula>3</formula>
    </cfRule>
    <cfRule type="cellIs" dxfId="1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38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33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37">
        <f t="shared" ref="B26" si="15">+B25+1</f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6">
        <f t="shared" ref="B27" si="16">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37">
        <f t="shared" ref="B28" si="17">+B27+1</f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ref="B29" si="18">B28+1</f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ref="B30" si="19">+B29+1</f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ref="B31" si="20">B30+1</f>
        <v>24</v>
      </c>
      <c r="C31" s="38"/>
      <c r="D31" s="21"/>
      <c r="E31" s="19"/>
      <c r="F31" s="20"/>
      <c r="G31" s="33"/>
    </row>
    <row r="32" spans="2:7" s="4" customFormat="1" ht="64.5" customHeight="1" thickBot="1" x14ac:dyDescent="0.3">
      <c r="B32" s="37">
        <f t="shared" ref="B32" si="21">+B31+1</f>
        <v>25</v>
      </c>
      <c r="C32" s="38"/>
      <c r="D32" s="21"/>
      <c r="E32" s="19"/>
      <c r="F32" s="20"/>
      <c r="G32" s="33"/>
    </row>
    <row r="33" spans="2:7" ht="18.75" thickBot="1" x14ac:dyDescent="0.3">
      <c r="B33" s="70" t="s">
        <v>13</v>
      </c>
      <c r="C33" s="71"/>
      <c r="D33" s="72" t="s">
        <v>7</v>
      </c>
      <c r="E33" s="73"/>
      <c r="F33" s="74"/>
      <c r="G33" s="24" t="s">
        <v>8</v>
      </c>
    </row>
    <row r="34" spans="2:7" x14ac:dyDescent="0.25">
      <c r="B34" s="54"/>
      <c r="C34" s="55"/>
      <c r="D34" s="55"/>
      <c r="E34" s="55"/>
      <c r="F34" s="55"/>
      <c r="G34" s="60"/>
    </row>
    <row r="35" spans="2:7" x14ac:dyDescent="0.25">
      <c r="B35" s="56"/>
      <c r="C35" s="57"/>
      <c r="D35" s="57"/>
      <c r="E35" s="57"/>
      <c r="F35" s="57"/>
      <c r="G35" s="61"/>
    </row>
    <row r="36" spans="2:7" x14ac:dyDescent="0.25">
      <c r="B36" s="56"/>
      <c r="C36" s="57"/>
      <c r="D36" s="57"/>
      <c r="E36" s="57"/>
      <c r="F36" s="57"/>
      <c r="G36" s="61"/>
    </row>
    <row r="37" spans="2:7" x14ac:dyDescent="0.25">
      <c r="B37" s="56"/>
      <c r="C37" s="57"/>
      <c r="D37" s="57"/>
      <c r="E37" s="57"/>
      <c r="F37" s="57"/>
      <c r="G37" s="61"/>
    </row>
    <row r="38" spans="2:7" ht="15.75" thickBot="1" x14ac:dyDescent="0.3">
      <c r="B38" s="58"/>
      <c r="C38" s="59"/>
      <c r="D38" s="59"/>
      <c r="E38" s="59"/>
      <c r="F38" s="59"/>
      <c r="G38" s="62"/>
    </row>
  </sheetData>
  <sheetProtection selectLockedCells="1"/>
  <mergeCells count="8">
    <mergeCell ref="G34:G38"/>
    <mergeCell ref="B3:F3"/>
    <mergeCell ref="D4:F4"/>
    <mergeCell ref="E6:F6"/>
    <mergeCell ref="B33:C33"/>
    <mergeCell ref="D33:F33"/>
    <mergeCell ref="B34:C38"/>
    <mergeCell ref="D34:F38"/>
  </mergeCells>
  <conditionalFormatting sqref="D8:D32">
    <cfRule type="cellIs" dxfId="11" priority="3" operator="equal">
      <formula>3</formula>
    </cfRule>
    <cfRule type="cellIs" dxfId="10" priority="4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32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20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26</v>
      </c>
      <c r="D31" s="21">
        <v>30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24</v>
      </c>
      <c r="D32" s="21">
        <v>30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25</v>
      </c>
      <c r="D33" s="21">
        <v>25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0" t="s">
        <v>13</v>
      </c>
      <c r="C38" s="71"/>
      <c r="D38" s="72" t="s">
        <v>7</v>
      </c>
      <c r="E38" s="73"/>
      <c r="F38" s="74"/>
      <c r="G38" s="24" t="s">
        <v>8</v>
      </c>
    </row>
    <row r="39" spans="2:7" x14ac:dyDescent="0.25">
      <c r="B39" s="54"/>
      <c r="C39" s="55"/>
      <c r="D39" s="55"/>
      <c r="E39" s="55"/>
      <c r="F39" s="55"/>
      <c r="G39" s="60"/>
    </row>
    <row r="40" spans="2:7" x14ac:dyDescent="0.25">
      <c r="B40" s="56"/>
      <c r="C40" s="57"/>
      <c r="D40" s="57"/>
      <c r="E40" s="57"/>
      <c r="F40" s="57"/>
      <c r="G40" s="61"/>
    </row>
    <row r="41" spans="2:7" x14ac:dyDescent="0.25">
      <c r="B41" s="56"/>
      <c r="C41" s="57"/>
      <c r="D41" s="57"/>
      <c r="E41" s="57"/>
      <c r="F41" s="57"/>
      <c r="G41" s="61"/>
    </row>
    <row r="42" spans="2:7" x14ac:dyDescent="0.25">
      <c r="B42" s="56"/>
      <c r="C42" s="57"/>
      <c r="D42" s="57"/>
      <c r="E42" s="57"/>
      <c r="F42" s="57"/>
      <c r="G42" s="61"/>
    </row>
    <row r="43" spans="2:7" ht="15.75" thickBot="1" x14ac:dyDescent="0.3">
      <c r="B43" s="58"/>
      <c r="C43" s="59"/>
      <c r="D43" s="59"/>
      <c r="E43" s="59"/>
      <c r="F43" s="59"/>
      <c r="G43" s="6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9" priority="1" operator="equal">
      <formula>3</formula>
    </cfRule>
    <cfRule type="cellIs" dxfId="8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19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34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0" t="s">
        <v>13</v>
      </c>
      <c r="C38" s="71"/>
      <c r="D38" s="72" t="s">
        <v>7</v>
      </c>
      <c r="E38" s="73"/>
      <c r="F38" s="74"/>
      <c r="G38" s="24" t="s">
        <v>8</v>
      </c>
    </row>
    <row r="39" spans="2:7" x14ac:dyDescent="0.25">
      <c r="B39" s="54"/>
      <c r="C39" s="55"/>
      <c r="D39" s="55"/>
      <c r="E39" s="55"/>
      <c r="F39" s="55"/>
      <c r="G39" s="60"/>
    </row>
    <row r="40" spans="2:7" x14ac:dyDescent="0.25">
      <c r="B40" s="56"/>
      <c r="C40" s="57"/>
      <c r="D40" s="57"/>
      <c r="E40" s="57"/>
      <c r="F40" s="57"/>
      <c r="G40" s="61"/>
    </row>
    <row r="41" spans="2:7" x14ac:dyDescent="0.25">
      <c r="B41" s="56"/>
      <c r="C41" s="57"/>
      <c r="D41" s="57"/>
      <c r="E41" s="57"/>
      <c r="F41" s="57"/>
      <c r="G41" s="61"/>
    </row>
    <row r="42" spans="2:7" x14ac:dyDescent="0.25">
      <c r="B42" s="56"/>
      <c r="C42" s="57"/>
      <c r="D42" s="57"/>
      <c r="E42" s="57"/>
      <c r="F42" s="57"/>
      <c r="G42" s="61"/>
    </row>
    <row r="43" spans="2:7" ht="15.75" thickBot="1" x14ac:dyDescent="0.3">
      <c r="B43" s="58"/>
      <c r="C43" s="59"/>
      <c r="D43" s="59"/>
      <c r="E43" s="59"/>
      <c r="F43" s="59"/>
      <c r="G43" s="6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7" priority="1" operator="equal">
      <formula>3</formula>
    </cfRule>
    <cfRule type="cellIs" dxfId="6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8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35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0" t="s">
        <v>13</v>
      </c>
      <c r="C38" s="71"/>
      <c r="D38" s="72" t="s">
        <v>7</v>
      </c>
      <c r="E38" s="73"/>
      <c r="F38" s="74"/>
      <c r="G38" s="24" t="s">
        <v>8</v>
      </c>
    </row>
    <row r="39" spans="2:7" x14ac:dyDescent="0.25">
      <c r="B39" s="54"/>
      <c r="C39" s="55"/>
      <c r="D39" s="55"/>
      <c r="E39" s="55"/>
      <c r="F39" s="55"/>
      <c r="G39" s="60"/>
    </row>
    <row r="40" spans="2:7" x14ac:dyDescent="0.25">
      <c r="B40" s="56"/>
      <c r="C40" s="57"/>
      <c r="D40" s="57"/>
      <c r="E40" s="57"/>
      <c r="F40" s="57"/>
      <c r="G40" s="61"/>
    </row>
    <row r="41" spans="2:7" x14ac:dyDescent="0.25">
      <c r="B41" s="56"/>
      <c r="C41" s="57"/>
      <c r="D41" s="57"/>
      <c r="E41" s="57"/>
      <c r="F41" s="57"/>
      <c r="G41" s="61"/>
    </row>
    <row r="42" spans="2:7" x14ac:dyDescent="0.25">
      <c r="B42" s="56"/>
      <c r="C42" s="57"/>
      <c r="D42" s="57"/>
      <c r="E42" s="57"/>
      <c r="F42" s="57"/>
      <c r="G42" s="61"/>
    </row>
    <row r="43" spans="2:7" ht="15.75" thickBot="1" x14ac:dyDescent="0.3">
      <c r="B43" s="58"/>
      <c r="C43" s="59"/>
      <c r="D43" s="59"/>
      <c r="E43" s="59"/>
      <c r="F43" s="59"/>
      <c r="G43" s="6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5" priority="1" operator="equal">
      <formula>3</formula>
    </cfRule>
    <cfRule type="cellIs" dxfId="4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25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36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26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20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21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24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26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22</v>
      </c>
      <c r="D22" s="21">
        <v>30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23</v>
      </c>
      <c r="D23" s="21">
        <v>30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24</v>
      </c>
      <c r="D24" s="21">
        <v>30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 t="s">
        <v>17</v>
      </c>
      <c r="D25" s="21">
        <v>10</v>
      </c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 t="s">
        <v>19</v>
      </c>
      <c r="D26" s="21">
        <v>30</v>
      </c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 t="s">
        <v>26</v>
      </c>
      <c r="D27" s="21">
        <v>30</v>
      </c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 t="s">
        <v>27</v>
      </c>
      <c r="D28" s="21">
        <v>30</v>
      </c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 t="s">
        <v>21</v>
      </c>
      <c r="D29" s="21">
        <v>30</v>
      </c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 t="s">
        <v>24</v>
      </c>
      <c r="D30" s="21">
        <v>30</v>
      </c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 t="s">
        <v>25</v>
      </c>
      <c r="D31" s="21">
        <v>25</v>
      </c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 t="s">
        <v>28</v>
      </c>
      <c r="D32" s="21">
        <v>120</v>
      </c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 t="s">
        <v>29</v>
      </c>
      <c r="D33" s="21">
        <v>60</v>
      </c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0" t="s">
        <v>13</v>
      </c>
      <c r="C38" s="71"/>
      <c r="D38" s="72" t="s">
        <v>7</v>
      </c>
      <c r="E38" s="73"/>
      <c r="F38" s="74"/>
      <c r="G38" s="24" t="s">
        <v>8</v>
      </c>
    </row>
    <row r="39" spans="2:7" x14ac:dyDescent="0.25">
      <c r="B39" s="54"/>
      <c r="C39" s="55"/>
      <c r="D39" s="55"/>
      <c r="E39" s="55"/>
      <c r="F39" s="55"/>
      <c r="G39" s="60"/>
    </row>
    <row r="40" spans="2:7" x14ac:dyDescent="0.25">
      <c r="B40" s="56"/>
      <c r="C40" s="57"/>
      <c r="D40" s="57"/>
      <c r="E40" s="57"/>
      <c r="F40" s="57"/>
      <c r="G40" s="61"/>
    </row>
    <row r="41" spans="2:7" x14ac:dyDescent="0.25">
      <c r="B41" s="56"/>
      <c r="C41" s="57"/>
      <c r="D41" s="57"/>
      <c r="E41" s="57"/>
      <c r="F41" s="57"/>
      <c r="G41" s="61"/>
    </row>
    <row r="42" spans="2:7" x14ac:dyDescent="0.25">
      <c r="B42" s="56"/>
      <c r="C42" s="57"/>
      <c r="D42" s="57"/>
      <c r="E42" s="57"/>
      <c r="F42" s="57"/>
      <c r="G42" s="61"/>
    </row>
    <row r="43" spans="2:7" ht="15.75" thickBot="1" x14ac:dyDescent="0.3">
      <c r="B43" s="58"/>
      <c r="C43" s="59"/>
      <c r="D43" s="59"/>
      <c r="E43" s="59"/>
      <c r="F43" s="59"/>
      <c r="G43" s="6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3" priority="1" operator="equal">
      <formula>3</formula>
    </cfRule>
    <cfRule type="cellIs" dxfId="2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B1:G43"/>
  <sheetViews>
    <sheetView topLeftCell="A31" zoomScale="55" zoomScaleNormal="55" zoomScalePageLayoutView="70" workbookViewId="0">
      <selection activeCell="I46" sqref="I46"/>
    </sheetView>
  </sheetViews>
  <sheetFormatPr baseColWidth="10" defaultColWidth="11.42578125" defaultRowHeight="15" x14ac:dyDescent="0.25"/>
  <cols>
    <col min="1" max="1" width="0.28515625" style="1" customWidth="1"/>
    <col min="2" max="2" width="5.7109375" style="1" customWidth="1"/>
    <col min="3" max="3" width="88.28515625" style="1" customWidth="1"/>
    <col min="4" max="4" width="9.7109375" style="1" bestFit="1" customWidth="1"/>
    <col min="5" max="5" width="8.42578125" style="1" customWidth="1"/>
    <col min="6" max="6" width="10.5703125" style="1" customWidth="1"/>
    <col min="7" max="7" width="52.28515625" style="1" bestFit="1" customWidth="1"/>
    <col min="8" max="8" width="6.5703125" style="1" customWidth="1"/>
    <col min="9" max="9" width="7.85546875" style="1" customWidth="1"/>
    <col min="10" max="11" width="8.140625" style="1" customWidth="1"/>
    <col min="12" max="13" width="11.42578125" style="1" customWidth="1"/>
    <col min="14" max="14" width="8.85546875" style="1" customWidth="1"/>
    <col min="15" max="17" width="11.42578125" style="1" customWidth="1"/>
    <col min="18" max="18" width="2.140625" style="1" customWidth="1"/>
    <col min="19" max="16384" width="11.42578125" style="1"/>
  </cols>
  <sheetData>
    <row r="1" spans="2:7" ht="1.5" customHeight="1" x14ac:dyDescent="0.25"/>
    <row r="2" spans="2:7" ht="1.5" customHeight="1" thickBot="1" x14ac:dyDescent="0.3"/>
    <row r="3" spans="2:7" ht="62.25" customHeight="1" thickBot="1" x14ac:dyDescent="0.3">
      <c r="B3" s="63" t="s">
        <v>11</v>
      </c>
      <c r="C3" s="64"/>
      <c r="D3" s="64"/>
      <c r="E3" s="64"/>
      <c r="F3" s="65"/>
      <c r="G3" s="31" t="s">
        <v>12</v>
      </c>
    </row>
    <row r="4" spans="2:7" ht="24" thickBot="1" x14ac:dyDescent="0.3">
      <c r="B4" s="14"/>
      <c r="C4" s="15" t="s">
        <v>37</v>
      </c>
      <c r="D4" s="66" t="str">
        <f>+'Line &amp; frequency'!C1</f>
        <v>CHAINE 4</v>
      </c>
      <c r="E4" s="67"/>
      <c r="F4" s="67"/>
      <c r="G4" s="32" t="str">
        <f>+'Line &amp; frequency'!C2</f>
        <v>HEBDOMADAIRE</v>
      </c>
    </row>
    <row r="5" spans="2:7" ht="8.25" customHeight="1" thickBot="1" x14ac:dyDescent="0.3">
      <c r="B5" s="2"/>
      <c r="C5" s="2"/>
      <c r="D5" s="3"/>
      <c r="E5" s="3"/>
      <c r="F5" s="3"/>
      <c r="G5" s="3"/>
    </row>
    <row r="6" spans="2:7" ht="20.25" customHeight="1" thickBot="1" x14ac:dyDescent="0.3">
      <c r="E6" s="68" t="s">
        <v>0</v>
      </c>
      <c r="F6" s="69"/>
    </row>
    <row r="7" spans="2:7" s="4" customFormat="1" ht="24" customHeight="1" thickBot="1" x14ac:dyDescent="0.3">
      <c r="B7" s="25" t="s">
        <v>1</v>
      </c>
      <c r="C7" s="26" t="s">
        <v>2</v>
      </c>
      <c r="D7" s="27" t="s">
        <v>3</v>
      </c>
      <c r="E7" s="29" t="s">
        <v>4</v>
      </c>
      <c r="F7" s="30" t="s">
        <v>5</v>
      </c>
      <c r="G7" s="28" t="s">
        <v>6</v>
      </c>
    </row>
    <row r="8" spans="2:7" s="4" customFormat="1" ht="64.5" customHeight="1" x14ac:dyDescent="0.25">
      <c r="B8" s="5">
        <v>1</v>
      </c>
      <c r="C8" s="16" t="s">
        <v>17</v>
      </c>
      <c r="D8" s="21">
        <v>10</v>
      </c>
      <c r="E8" s="19"/>
      <c r="F8" s="20"/>
      <c r="G8" s="33"/>
    </row>
    <row r="9" spans="2:7" s="4" customFormat="1" ht="64.5" customHeight="1" x14ac:dyDescent="0.25">
      <c r="B9" s="6">
        <f>B8+1</f>
        <v>2</v>
      </c>
      <c r="C9" s="38" t="s">
        <v>19</v>
      </c>
      <c r="D9" s="21">
        <v>30</v>
      </c>
      <c r="E9" s="19"/>
      <c r="F9" s="20"/>
      <c r="G9" s="33"/>
    </row>
    <row r="10" spans="2:7" s="4" customFormat="1" ht="64.5" customHeight="1" x14ac:dyDescent="0.25">
      <c r="B10" s="37">
        <f>+B9+1</f>
        <v>3</v>
      </c>
      <c r="C10" s="38" t="s">
        <v>20</v>
      </c>
      <c r="D10" s="21">
        <v>30</v>
      </c>
      <c r="E10" s="19"/>
      <c r="F10" s="20"/>
      <c r="G10" s="33"/>
    </row>
    <row r="11" spans="2:7" s="4" customFormat="1" ht="64.5" customHeight="1" x14ac:dyDescent="0.25">
      <c r="B11" s="6">
        <f t="shared" ref="B11" si="0">B10+1</f>
        <v>4</v>
      </c>
      <c r="C11" s="38" t="s">
        <v>21</v>
      </c>
      <c r="D11" s="21">
        <v>30</v>
      </c>
      <c r="E11" s="19"/>
      <c r="F11" s="20"/>
      <c r="G11" s="33"/>
    </row>
    <row r="12" spans="2:7" s="4" customFormat="1" ht="64.5" customHeight="1" x14ac:dyDescent="0.25">
      <c r="B12" s="37">
        <f t="shared" ref="B12" si="1">+B11+1</f>
        <v>5</v>
      </c>
      <c r="C12" s="38" t="s">
        <v>22</v>
      </c>
      <c r="D12" s="21">
        <v>30</v>
      </c>
      <c r="E12" s="19"/>
      <c r="F12" s="20"/>
      <c r="G12" s="33"/>
    </row>
    <row r="13" spans="2:7" s="4" customFormat="1" ht="64.5" customHeight="1" x14ac:dyDescent="0.25">
      <c r="B13" s="6">
        <f t="shared" ref="B13" si="2">B12+1</f>
        <v>6</v>
      </c>
      <c r="C13" s="38" t="s">
        <v>23</v>
      </c>
      <c r="D13" s="21">
        <v>30</v>
      </c>
      <c r="E13" s="19"/>
      <c r="F13" s="20"/>
      <c r="G13" s="33"/>
    </row>
    <row r="14" spans="2:7" s="4" customFormat="1" ht="64.5" customHeight="1" x14ac:dyDescent="0.25">
      <c r="B14" s="37">
        <f t="shared" ref="B14" si="3">+B13+1</f>
        <v>7</v>
      </c>
      <c r="C14" s="38" t="s">
        <v>24</v>
      </c>
      <c r="D14" s="21">
        <v>30</v>
      </c>
      <c r="E14" s="19"/>
      <c r="F14" s="20"/>
      <c r="G14" s="33"/>
    </row>
    <row r="15" spans="2:7" s="4" customFormat="1" ht="64.5" customHeight="1" x14ac:dyDescent="0.25">
      <c r="B15" s="6">
        <f t="shared" ref="B15" si="4">B14+1</f>
        <v>8</v>
      </c>
      <c r="C15" s="38" t="s">
        <v>25</v>
      </c>
      <c r="D15" s="21">
        <v>25</v>
      </c>
      <c r="E15" s="19"/>
      <c r="F15" s="20"/>
      <c r="G15" s="33"/>
    </row>
    <row r="16" spans="2:7" s="4" customFormat="1" ht="64.5" customHeight="1" x14ac:dyDescent="0.25">
      <c r="B16" s="37">
        <f t="shared" ref="B16" si="5">+B15+1</f>
        <v>9</v>
      </c>
      <c r="C16" s="38" t="s">
        <v>17</v>
      </c>
      <c r="D16" s="21">
        <v>10</v>
      </c>
      <c r="E16" s="19"/>
      <c r="F16" s="20"/>
      <c r="G16" s="33"/>
    </row>
    <row r="17" spans="2:7" s="4" customFormat="1" ht="64.5" customHeight="1" x14ac:dyDescent="0.25">
      <c r="B17" s="6">
        <f t="shared" ref="B17" si="6">B16+1</f>
        <v>10</v>
      </c>
      <c r="C17" s="38" t="s">
        <v>19</v>
      </c>
      <c r="D17" s="21">
        <v>30</v>
      </c>
      <c r="E17" s="19"/>
      <c r="F17" s="20"/>
      <c r="G17" s="33"/>
    </row>
    <row r="18" spans="2:7" s="4" customFormat="1" ht="64.5" customHeight="1" x14ac:dyDescent="0.25">
      <c r="B18" s="37">
        <f t="shared" ref="B18" si="7">+B17+1</f>
        <v>11</v>
      </c>
      <c r="C18" s="38" t="s">
        <v>26</v>
      </c>
      <c r="D18" s="21">
        <v>30</v>
      </c>
      <c r="E18" s="19"/>
      <c r="F18" s="20"/>
      <c r="G18" s="33"/>
    </row>
    <row r="19" spans="2:7" s="4" customFormat="1" ht="64.5" customHeight="1" x14ac:dyDescent="0.25">
      <c r="B19" s="6">
        <f t="shared" ref="B19" si="8">B18+1</f>
        <v>12</v>
      </c>
      <c r="C19" s="38" t="s">
        <v>27</v>
      </c>
      <c r="D19" s="21">
        <v>30</v>
      </c>
      <c r="E19" s="19"/>
      <c r="F19" s="20"/>
      <c r="G19" s="33"/>
    </row>
    <row r="20" spans="2:7" s="4" customFormat="1" ht="64.5" customHeight="1" x14ac:dyDescent="0.25">
      <c r="B20" s="37">
        <f t="shared" ref="B20" si="9">+B19+1</f>
        <v>13</v>
      </c>
      <c r="C20" s="38" t="s">
        <v>21</v>
      </c>
      <c r="D20" s="21">
        <v>30</v>
      </c>
      <c r="E20" s="19"/>
      <c r="F20" s="20"/>
      <c r="G20" s="33"/>
    </row>
    <row r="21" spans="2:7" s="4" customFormat="1" ht="64.5" customHeight="1" x14ac:dyDescent="0.25">
      <c r="B21" s="6">
        <f t="shared" ref="B21" si="10">B20+1</f>
        <v>14</v>
      </c>
      <c r="C21" s="38" t="s">
        <v>24</v>
      </c>
      <c r="D21" s="21">
        <v>30</v>
      </c>
      <c r="E21" s="19"/>
      <c r="F21" s="20"/>
      <c r="G21" s="33"/>
    </row>
    <row r="22" spans="2:7" s="4" customFormat="1" ht="64.5" customHeight="1" x14ac:dyDescent="0.25">
      <c r="B22" s="37">
        <f t="shared" ref="B22" si="11">+B21+1</f>
        <v>15</v>
      </c>
      <c r="C22" s="38" t="s">
        <v>25</v>
      </c>
      <c r="D22" s="21">
        <v>25</v>
      </c>
      <c r="E22" s="19"/>
      <c r="F22" s="20"/>
      <c r="G22" s="33"/>
    </row>
    <row r="23" spans="2:7" s="4" customFormat="1" ht="64.5" customHeight="1" x14ac:dyDescent="0.25">
      <c r="B23" s="6">
        <f t="shared" ref="B23" si="12">B22+1</f>
        <v>16</v>
      </c>
      <c r="C23" s="38" t="s">
        <v>28</v>
      </c>
      <c r="D23" s="21">
        <v>120</v>
      </c>
      <c r="E23" s="19"/>
      <c r="F23" s="20"/>
      <c r="G23" s="33"/>
    </row>
    <row r="24" spans="2:7" s="4" customFormat="1" ht="64.5" customHeight="1" x14ac:dyDescent="0.25">
      <c r="B24" s="37">
        <f t="shared" ref="B24" si="13">+B23+1</f>
        <v>17</v>
      </c>
      <c r="C24" s="38" t="s">
        <v>29</v>
      </c>
      <c r="D24" s="21">
        <v>60</v>
      </c>
      <c r="E24" s="19"/>
      <c r="F24" s="20"/>
      <c r="G24" s="33"/>
    </row>
    <row r="25" spans="2:7" s="4" customFormat="1" ht="64.5" customHeight="1" x14ac:dyDescent="0.25">
      <c r="B25" s="6">
        <f t="shared" ref="B25:B37" si="14">B24+1</f>
        <v>18</v>
      </c>
      <c r="C25" s="38"/>
      <c r="D25" s="21"/>
      <c r="E25" s="19"/>
      <c r="F25" s="20"/>
      <c r="G25" s="33"/>
    </row>
    <row r="26" spans="2:7" s="4" customFormat="1" ht="64.5" customHeight="1" x14ac:dyDescent="0.25">
      <c r="B26" s="6">
        <f t="shared" si="14"/>
        <v>19</v>
      </c>
      <c r="C26" s="38"/>
      <c r="D26" s="21"/>
      <c r="E26" s="19"/>
      <c r="F26" s="20"/>
      <c r="G26" s="33"/>
    </row>
    <row r="27" spans="2:7" s="4" customFormat="1" ht="64.5" customHeight="1" x14ac:dyDescent="0.25">
      <c r="B27" s="37">
        <f t="shared" ref="B27:B36" si="15">+B26+1</f>
        <v>20</v>
      </c>
      <c r="C27" s="38"/>
      <c r="D27" s="21"/>
      <c r="E27" s="19"/>
      <c r="F27" s="20"/>
      <c r="G27" s="33"/>
    </row>
    <row r="28" spans="2:7" s="4" customFormat="1" ht="64.5" customHeight="1" x14ac:dyDescent="0.25">
      <c r="B28" s="6">
        <f t="shared" si="14"/>
        <v>21</v>
      </c>
      <c r="C28" s="38"/>
      <c r="D28" s="21"/>
      <c r="E28" s="19"/>
      <c r="F28" s="20"/>
      <c r="G28" s="33"/>
    </row>
    <row r="29" spans="2:7" s="4" customFormat="1" ht="64.5" customHeight="1" x14ac:dyDescent="0.25">
      <c r="B29" s="6">
        <f t="shared" si="14"/>
        <v>22</v>
      </c>
      <c r="C29" s="38"/>
      <c r="D29" s="21"/>
      <c r="E29" s="19"/>
      <c r="F29" s="20"/>
      <c r="G29" s="33"/>
    </row>
    <row r="30" spans="2:7" s="4" customFormat="1" ht="64.5" customHeight="1" x14ac:dyDescent="0.25">
      <c r="B30" s="37">
        <f t="shared" si="15"/>
        <v>23</v>
      </c>
      <c r="C30" s="38"/>
      <c r="D30" s="21"/>
      <c r="E30" s="19"/>
      <c r="F30" s="20"/>
      <c r="G30" s="33"/>
    </row>
    <row r="31" spans="2:7" s="4" customFormat="1" ht="64.5" customHeight="1" x14ac:dyDescent="0.25">
      <c r="B31" s="6">
        <f t="shared" si="14"/>
        <v>24</v>
      </c>
      <c r="C31" s="38"/>
      <c r="D31" s="21"/>
      <c r="E31" s="19"/>
      <c r="F31" s="20"/>
      <c r="G31" s="33"/>
    </row>
    <row r="32" spans="2:7" s="4" customFormat="1" ht="64.5" customHeight="1" x14ac:dyDescent="0.25">
      <c r="B32" s="6">
        <f t="shared" si="14"/>
        <v>25</v>
      </c>
      <c r="C32" s="38"/>
      <c r="D32" s="21"/>
      <c r="E32" s="19"/>
      <c r="F32" s="20"/>
      <c r="G32" s="33"/>
    </row>
    <row r="33" spans="2:7" s="4" customFormat="1" ht="64.5" customHeight="1" x14ac:dyDescent="0.25">
      <c r="B33" s="37">
        <f t="shared" si="15"/>
        <v>26</v>
      </c>
      <c r="C33" s="38"/>
      <c r="D33" s="21"/>
      <c r="E33" s="19"/>
      <c r="F33" s="20"/>
      <c r="G33" s="33"/>
    </row>
    <row r="34" spans="2:7" s="4" customFormat="1" ht="64.5" customHeight="1" x14ac:dyDescent="0.25">
      <c r="B34" s="6">
        <f t="shared" si="14"/>
        <v>27</v>
      </c>
      <c r="C34" s="38"/>
      <c r="D34" s="21"/>
      <c r="E34" s="19"/>
      <c r="F34" s="20"/>
      <c r="G34" s="33"/>
    </row>
    <row r="35" spans="2:7" s="4" customFormat="1" ht="64.5" customHeight="1" x14ac:dyDescent="0.25">
      <c r="B35" s="6">
        <f t="shared" si="14"/>
        <v>28</v>
      </c>
      <c r="C35" s="38"/>
      <c r="D35" s="21"/>
      <c r="E35" s="19"/>
      <c r="F35" s="20"/>
      <c r="G35" s="33"/>
    </row>
    <row r="36" spans="2:7" s="4" customFormat="1" ht="64.5" customHeight="1" x14ac:dyDescent="0.25">
      <c r="B36" s="37">
        <f t="shared" si="15"/>
        <v>29</v>
      </c>
      <c r="C36" s="38"/>
      <c r="D36" s="21"/>
      <c r="E36" s="19"/>
      <c r="F36" s="20"/>
      <c r="G36" s="33"/>
    </row>
    <row r="37" spans="2:7" s="4" customFormat="1" ht="64.5" customHeight="1" thickBot="1" x14ac:dyDescent="0.3">
      <c r="B37" s="6">
        <f t="shared" si="14"/>
        <v>30</v>
      </c>
      <c r="C37" s="38"/>
      <c r="D37" s="21"/>
      <c r="E37" s="19"/>
      <c r="F37" s="20"/>
      <c r="G37" s="33"/>
    </row>
    <row r="38" spans="2:7" ht="18.75" thickBot="1" x14ac:dyDescent="0.3">
      <c r="B38" s="70" t="s">
        <v>13</v>
      </c>
      <c r="C38" s="71"/>
      <c r="D38" s="72" t="s">
        <v>7</v>
      </c>
      <c r="E38" s="73"/>
      <c r="F38" s="74"/>
      <c r="G38" s="24" t="s">
        <v>8</v>
      </c>
    </row>
    <row r="39" spans="2:7" x14ac:dyDescent="0.25">
      <c r="B39" s="54"/>
      <c r="C39" s="55"/>
      <c r="D39" s="55"/>
      <c r="E39" s="55"/>
      <c r="F39" s="55"/>
      <c r="G39" s="60"/>
    </row>
    <row r="40" spans="2:7" x14ac:dyDescent="0.25">
      <c r="B40" s="56"/>
      <c r="C40" s="57"/>
      <c r="D40" s="57"/>
      <c r="E40" s="57"/>
      <c r="F40" s="57"/>
      <c r="G40" s="61"/>
    </row>
    <row r="41" spans="2:7" x14ac:dyDescent="0.25">
      <c r="B41" s="56"/>
      <c r="C41" s="57"/>
      <c r="D41" s="57"/>
      <c r="E41" s="57"/>
      <c r="F41" s="57"/>
      <c r="G41" s="61"/>
    </row>
    <row r="42" spans="2:7" x14ac:dyDescent="0.25">
      <c r="B42" s="56"/>
      <c r="C42" s="57"/>
      <c r="D42" s="57"/>
      <c r="E42" s="57"/>
      <c r="F42" s="57"/>
      <c r="G42" s="61"/>
    </row>
    <row r="43" spans="2:7" ht="15.75" thickBot="1" x14ac:dyDescent="0.3">
      <c r="B43" s="58"/>
      <c r="C43" s="59"/>
      <c r="D43" s="59"/>
      <c r="E43" s="59"/>
      <c r="F43" s="59"/>
      <c r="G43" s="62"/>
    </row>
  </sheetData>
  <sheetProtection selectLockedCells="1"/>
  <mergeCells count="8">
    <mergeCell ref="G39:G43"/>
    <mergeCell ref="B3:F3"/>
    <mergeCell ref="D4:F4"/>
    <mergeCell ref="E6:F6"/>
    <mergeCell ref="B38:C38"/>
    <mergeCell ref="D38:F38"/>
    <mergeCell ref="B39:C43"/>
    <mergeCell ref="D39:F43"/>
  </mergeCells>
  <conditionalFormatting sqref="D8:D37">
    <cfRule type="cellIs" dxfId="1" priority="1" operator="equal">
      <formula>3</formula>
    </cfRule>
    <cfRule type="cellIs" dxfId="0" priority="2" operator="equal">
      <formula>4</formula>
    </cfRule>
  </conditionalFormatting>
  <printOptions horizontalCentered="1" verticalCentered="1"/>
  <pageMargins left="0.15748031496062992" right="7.874015748031496E-2" top="0.19685039370078741" bottom="0.15748031496062992" header="0.31496062992125984" footer="0.31496062992125984"/>
  <pageSetup paperSize="9" scale="59" orientation="portrait" horizontalDpi="300" verticalDpi="30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3"/>
  <sheetViews>
    <sheetView workbookViewId="0">
      <selection activeCell="F10" sqref="F10"/>
    </sheetView>
  </sheetViews>
  <sheetFormatPr baseColWidth="10" defaultRowHeight="15" x14ac:dyDescent="0.25"/>
  <cols>
    <col min="3" max="3" width="15.42578125" bestFit="1" customWidth="1"/>
    <col min="7" max="7" width="46.28515625" bestFit="1" customWidth="1"/>
  </cols>
  <sheetData>
    <row r="1" spans="2:7" x14ac:dyDescent="0.25">
      <c r="B1" t="s">
        <v>9</v>
      </c>
      <c r="C1" s="13" t="s">
        <v>14</v>
      </c>
    </row>
    <row r="2" spans="2:7" x14ac:dyDescent="0.25">
      <c r="B2" t="s">
        <v>10</v>
      </c>
      <c r="C2" s="13" t="s">
        <v>15</v>
      </c>
    </row>
    <row r="3" spans="2:7" ht="26.25" x14ac:dyDescent="0.25">
      <c r="B3" s="45" t="s">
        <v>12</v>
      </c>
      <c r="C3" s="46">
        <v>44273</v>
      </c>
      <c r="G3" s="44">
        <f>+'Line &amp; frequency'!C3</f>
        <v>44273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Convoyeurs</vt:lpstr>
      <vt:lpstr>Cvyr Btles</vt:lpstr>
      <vt:lpstr>CC C1</vt:lpstr>
      <vt:lpstr>CC C2</vt:lpstr>
      <vt:lpstr>CC C3</vt:lpstr>
      <vt:lpstr>CC C4</vt:lpstr>
      <vt:lpstr>CC C5</vt:lpstr>
      <vt:lpstr>CC C6</vt:lpstr>
      <vt:lpstr>CC C7</vt:lpstr>
      <vt:lpstr>CC C8</vt:lpstr>
      <vt:lpstr>Line &amp; frequency</vt:lpstr>
      <vt:lpstr>'CC C1'!Zone_d_impression</vt:lpstr>
      <vt:lpstr>'CC C2'!Zone_d_impression</vt:lpstr>
      <vt:lpstr>'CC C3'!Zone_d_impression</vt:lpstr>
      <vt:lpstr>'CC C4'!Zone_d_impression</vt:lpstr>
      <vt:lpstr>'CC C5'!Zone_d_impression</vt:lpstr>
      <vt:lpstr>'CC C6'!Zone_d_impression</vt:lpstr>
      <vt:lpstr>'CC C7'!Zone_d_impression</vt:lpstr>
      <vt:lpstr>'CC C8'!Zone_d_impression</vt:lpstr>
      <vt:lpstr>Convoyeurs!Zone_d_impression</vt:lpstr>
      <vt:lpstr>'Cvyr Btles'!Zone_d_impression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UCB DOUALA</dc:creator>
  <cp:lastModifiedBy>USER</cp:lastModifiedBy>
  <cp:lastPrinted>2022-08-29T09:04:36Z</cp:lastPrinted>
  <dcterms:created xsi:type="dcterms:W3CDTF">2021-01-06T16:50:41Z</dcterms:created>
  <dcterms:modified xsi:type="dcterms:W3CDTF">2023-01-02T12:36:58Z</dcterms:modified>
</cp:coreProperties>
</file>