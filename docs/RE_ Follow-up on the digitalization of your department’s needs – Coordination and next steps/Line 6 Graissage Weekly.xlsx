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735" tabRatio="949" activeTab="15"/>
  </bookViews>
  <sheets>
    <sheet name="Blomax" sheetId="1" r:id="rId1"/>
    <sheet name="Filler" sheetId="31" r:id="rId2"/>
    <sheet name="Cvyr Btles" sheetId="12" state="hidden" r:id="rId3"/>
    <sheet name="CC C1" sheetId="13" state="hidden" r:id="rId4"/>
    <sheet name="CC C2" sheetId="15" state="hidden" r:id="rId5"/>
    <sheet name="CC C3" sheetId="16" state="hidden" r:id="rId6"/>
    <sheet name="CC C4" sheetId="17" state="hidden" r:id="rId7"/>
    <sheet name="CC C5" sheetId="18" state="hidden" r:id="rId8"/>
    <sheet name="CC C6" sheetId="19" state="hidden" r:id="rId9"/>
    <sheet name="CC C7" sheetId="20" state="hidden" r:id="rId10"/>
    <sheet name="CC C8" sheetId="21" state="hidden" r:id="rId11"/>
    <sheet name="Line &amp; frequency" sheetId="2" state="hidden" r:id="rId12"/>
    <sheet name="Convoyeurs" sheetId="32" r:id="rId13"/>
    <sheet name="Labeller" sheetId="33" r:id="rId14"/>
    <sheet name="Kisters" sheetId="34" r:id="rId15"/>
    <sheet name="Handle applicator" sheetId="36" r:id="rId16"/>
    <sheet name="Robopac" sheetId="37" r:id="rId17"/>
  </sheets>
  <definedNames>
    <definedName name="_xlnm.Print_Area" localSheetId="0">Blomax!$B$3:$G$25</definedName>
    <definedName name="_xlnm.Print_Area" localSheetId="3">'CC C1'!$B$3:$G$63</definedName>
    <definedName name="_xlnm.Print_Area" localSheetId="4">'CC C2'!$B$3:$G$63</definedName>
    <definedName name="_xlnm.Print_Area" localSheetId="5">'CC C3'!$B$3:$G$32</definedName>
    <definedName name="_xlnm.Print_Area" localSheetId="6">'CC C4'!$B$3:$G$37</definedName>
    <definedName name="_xlnm.Print_Area" localSheetId="7">'CC C5'!$B$3:$G$37</definedName>
    <definedName name="_xlnm.Print_Area" localSheetId="8">'CC C6'!$B$3:$G$37</definedName>
    <definedName name="_xlnm.Print_Area" localSheetId="9">'CC C7'!$B$3:$G$37</definedName>
    <definedName name="_xlnm.Print_Area" localSheetId="10">'CC C8'!$B$3:$G$37</definedName>
    <definedName name="_xlnm.Print_Area" localSheetId="2">'Cvyr Btles'!$B$3:$G$63</definedName>
    <definedName name="_xlnm.Print_Area" localSheetId="1">Filler!$B$3:$G$34</definedName>
  </definedNames>
  <calcPr calcId="144525" calcMode="manual"/>
</workbook>
</file>

<file path=xl/calcChain.xml><?xml version="1.0" encoding="utf-8"?>
<calcChain xmlns="http://schemas.openxmlformats.org/spreadsheetml/2006/main">
  <c r="B13" i="31" l="1"/>
  <c r="B15" i="31"/>
  <c r="B17" i="31"/>
  <c r="B19" i="31"/>
  <c r="B28" i="31"/>
  <c r="B9" i="37" l="1"/>
  <c r="G4" i="37"/>
  <c r="B9" i="36" l="1"/>
  <c r="G4" i="36"/>
  <c r="G4" i="34"/>
  <c r="B9" i="33"/>
  <c r="B12" i="33" s="1"/>
  <c r="B13" i="33" s="1"/>
  <c r="G4" i="33"/>
  <c r="G4" i="32" l="1"/>
  <c r="B9" i="32"/>
  <c r="B12" i="32" s="1"/>
  <c r="B13" i="32" s="1"/>
  <c r="B9" i="31" l="1"/>
  <c r="G4" i="31"/>
  <c r="G4" i="1" l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G4" i="13" l="1"/>
  <c r="D4" i="13"/>
  <c r="G4" i="12"/>
  <c r="D4" i="12"/>
</calcChain>
</file>

<file path=xl/sharedStrings.xml><?xml version="1.0" encoding="utf-8"?>
<sst xmlns="http://schemas.openxmlformats.org/spreadsheetml/2006/main" count="470" uniqueCount="93">
  <si>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</si>
  <si>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</si>
  <si>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</si>
  <si>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</si>
  <si>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</si>
  <si>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</si>
  <si>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</si>
  <si>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</si>
  <si>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</si>
  <si>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</si>
  <si>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</si>
  <si>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</si>
  <si>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</si>
  <si>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</si>
  <si>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</si>
  <si>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</si>
  <si>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</si>
  <si>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</si>
  <si>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</si>
  <si>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</si>
  <si>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</si>
  <si>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</si>
  <si>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</si>
  <si>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</si>
  <si>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</si>
  <si>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</si>
  <si>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</si>
  <si>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</si>
  <si>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</si>
  <si>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</si>
  <si>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</si>
  <si>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</si>
  <si>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</si>
  <si>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</si>
  <si>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</si>
  <si>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</si>
  <si>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</si>
  <si>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</si>
  <si>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</si>
  <si>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Graisser les Paliers des étoiles de guidage des bouteilles</t>
  </si>
  <si>
    <t>Graisser les Palier de la partie supérieure de la boucheuse</t>
  </si>
  <si>
    <t>Contrôler conteneur de graisse et faire l'appoint si neccessaire</t>
  </si>
  <si>
    <t>Contrôler la pellicule de graisse sur le rotor du moteur linéaire du Module de soufflage</t>
  </si>
  <si>
    <t xml:space="preserve">Contrôler la pellicule de graisse sur le rotor du moteur linéaire du Poste de soufflage </t>
  </si>
  <si>
    <t>Contrôler la pellicule de graisse sur le rotor du moteur linéaire du Dispositif d'étirage</t>
  </si>
  <si>
    <t>Graisser l'anneau de serrage du Module de soufflage</t>
  </si>
  <si>
    <t>CHECKLIST  GRAISSAGE</t>
  </si>
  <si>
    <t>Nb: Utiliser la graisse alimentaire blanche</t>
  </si>
  <si>
    <t xml:space="preserve"> </t>
  </si>
  <si>
    <t>Date:</t>
  </si>
  <si>
    <t>CHECKLIST GRAISSAGE</t>
  </si>
  <si>
    <t>FILLER</t>
  </si>
  <si>
    <t>Graisser tous les huit (8) Postes de soufflage</t>
  </si>
  <si>
    <t>Graisser tous les paliers (11) du peripherique du blomax</t>
  </si>
  <si>
    <t>Verifier la quantité de graisse alimentaire blanche disponible au magasin</t>
  </si>
  <si>
    <t>CONVEYORS</t>
  </si>
  <si>
    <t>Graisser tous les paliers à brides des convoyeurs sortie shrink packer</t>
  </si>
  <si>
    <t>Graisser tous les paliers à brides des convoyeurs sortie handle applicator</t>
  </si>
  <si>
    <t>Graisser tous les paliers à brides des convoyeurs sortie soutireuse</t>
  </si>
  <si>
    <t xml:space="preserve">Graisser tous les paliers à brides des convoyeurs entrée étiquetteuse </t>
  </si>
  <si>
    <t>Graisser les Engrenage à maillons de chaîne entrée étiquetteuse</t>
  </si>
  <si>
    <t>Ouvrir la vanne de soupape de la conduite de lubrification pendant 4h de temps et fermer après</t>
  </si>
  <si>
    <t>Nottoyer les anciennes graisses sur les portes moules et les moules, et graisser avec une nouvelle graisse</t>
  </si>
  <si>
    <t>Nottoyer les anciennes graisses sur les tiges d'étirage et graisser avec une nouvelle huile (huile 68 de preference)</t>
  </si>
  <si>
    <t>Graisser tous les guides linéaires</t>
  </si>
  <si>
    <t>Graisser les Palier du convoyeur d'évacuation</t>
  </si>
  <si>
    <t>BLOMAX</t>
  </si>
  <si>
    <t>Contrôler l'engrenage (graisse) du Module de soufflage (Entraînement - Pignon lubrifiant)</t>
  </si>
  <si>
    <t>Contrôler la voie de cames du Module de soufflage -Poste de soufflage - Élévation du fond</t>
  </si>
  <si>
    <t>Graisser toutes les pieces en mouvement dans le capot</t>
  </si>
  <si>
    <t>Graisser l'étoile du convoyeur d'entrée</t>
  </si>
  <si>
    <t>Controler l'état des ressorts des galets d'entrainement</t>
  </si>
  <si>
    <t>Controler l'usure des galets de tete de piston</t>
  </si>
  <si>
    <t>LABELLER</t>
  </si>
  <si>
    <t>KISTERS</t>
  </si>
  <si>
    <t>Vérifier la quantité du high pressure greasse disponible</t>
  </si>
  <si>
    <t>Graisser tous le paliers</t>
  </si>
  <si>
    <t>Lubrifier les chaines à maillons</t>
  </si>
  <si>
    <t>Vérifier le niveau d'huile dans le reservoir et faire si neccessaire</t>
  </si>
  <si>
    <t>Graisser les chaines motrices des chariots</t>
  </si>
  <si>
    <t>Graisser les chaines motrices des plateaux</t>
  </si>
  <si>
    <t>ROBOPAC</t>
  </si>
  <si>
    <t>HANDLE APPLICATOR</t>
  </si>
  <si>
    <t>Controler le circuit de lubrification automatique (demonter les tuyaux segment par segment et demarrer la pompe manuellement pour s'assurer que la graisse passe bien)</t>
  </si>
  <si>
    <t>Relever la pression sur le manometre lors du fonctionnement manuel de la pompe à graisse</t>
  </si>
  <si>
    <t>Controler le circuit de lubrification automatique (demonter les tuyaux segment par segment et demarrer la pompe manuellement pour s'assurer que l'huile passe bien)</t>
  </si>
  <si>
    <t>Se rassuerer que le raccordement mécanique est correctement effectué</t>
  </si>
  <si>
    <t>Se rassuerer que le branchement électrique est correctement effectué</t>
  </si>
  <si>
    <t>Se rassuerer que le lubrifiant est débité sans bulles d'air</t>
  </si>
  <si>
    <t>Se rassuerer que les zones de frottement à lubrifier sont alimentés avec la quantité de lubrifiant neccessaire</t>
  </si>
  <si>
    <t>Se rassuerer de l'absence de bruits inhabituels, de vibrations, d'accumulations d'humidité, d'odeurs</t>
  </si>
  <si>
    <t>Se rassuerer de l'absenc de fuite de lubrifiant au niveau des raccordements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</si>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</sst>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rgb="FF000000"/>
      <name val="ArialUnicodeMS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20"/>
      <color rgb="FFFFFFFF"/>
      <name val="Arial"/>
      <family val="2"/>
    </font>
    <font>
      <b/>
      <sz val="10"/>
      <color rgb="FF000000"/>
      <name val="Calibri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ArialUnicodeMS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22" fillId="0" borderId="0"/>
  </cellStyleXfs>
  <cellXfs count="140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19" fillId="2" borderId="14" xfId="0" applyFont="1" applyFill="1" applyBorder="1" applyAlignment="1">
      <alignment horizontal="left" vertical="center" wrapText="1"/>
    </xf>
    <xf numFmtId="0" fontId="20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19" fillId="0" borderId="20" xfId="0" applyFont="1" applyBorder="1" applyAlignment="1">
      <alignment vertical="center" wrapText="1"/>
    </xf>
    <xf numFmtId="164" fontId="23" fillId="0" borderId="36" xfId="2" applyNumberFormat="1" applyFont="1" applyBorder="1" applyAlignment="1" applyProtection="1">
      <alignment horizontal="left" vertical="center" wrapText="1"/>
      <protection locked="0"/>
    </xf>
    <xf numFmtId="0" fontId="26" fillId="7" borderId="0" xfId="0" applyFont="1" applyFill="1" applyBorder="1" applyProtection="1">
      <protection locked="0"/>
    </xf>
    <xf numFmtId="0" fontId="28" fillId="7" borderId="6" xfId="0" applyFont="1" applyFill="1" applyBorder="1" applyAlignment="1" applyProtection="1">
      <alignment vertical="center"/>
      <protection locked="0"/>
    </xf>
    <xf numFmtId="0" fontId="29" fillId="7" borderId="7" xfId="0" applyFont="1" applyFill="1" applyBorder="1" applyAlignment="1" applyProtection="1">
      <alignment horizontal="center" vertical="center"/>
      <protection locked="0"/>
    </xf>
    <xf numFmtId="0" fontId="31" fillId="7" borderId="0" xfId="0" applyFont="1" applyFill="1" applyBorder="1" applyAlignment="1" applyProtection="1">
      <alignment horizontal="left"/>
      <protection locked="0"/>
    </xf>
    <xf numFmtId="0" fontId="32" fillId="7" borderId="0" xfId="0" applyFont="1" applyFill="1" applyBorder="1" applyAlignment="1" applyProtection="1">
      <alignment horizontal="center" vertical="center"/>
      <protection locked="0"/>
    </xf>
    <xf numFmtId="0" fontId="34" fillId="9" borderId="9" xfId="0" applyFont="1" applyFill="1" applyBorder="1" applyAlignment="1" applyProtection="1">
      <alignment horizontal="center" vertical="center"/>
      <protection locked="0"/>
    </xf>
    <xf numFmtId="0" fontId="34" fillId="9" borderId="10" xfId="0" applyFont="1" applyFill="1" applyBorder="1" applyAlignment="1" applyProtection="1">
      <alignment horizontal="center" vertical="center"/>
      <protection locked="0"/>
    </xf>
    <xf numFmtId="0" fontId="34" fillId="9" borderId="6" xfId="0" applyFont="1" applyFill="1" applyBorder="1" applyAlignment="1" applyProtection="1">
      <alignment horizontal="center" vertical="center"/>
      <protection locked="0"/>
    </xf>
    <xf numFmtId="0" fontId="35" fillId="9" borderId="11" xfId="0" applyFont="1" applyFill="1" applyBorder="1" applyAlignment="1" applyProtection="1">
      <alignment horizontal="center" vertical="center"/>
      <protection locked="0"/>
    </xf>
    <xf numFmtId="0" fontId="35" fillId="9" borderId="12" xfId="0" applyFont="1" applyFill="1" applyBorder="1" applyAlignment="1" applyProtection="1">
      <alignment horizontal="center" vertical="center"/>
      <protection locked="0"/>
    </xf>
    <xf numFmtId="0" fontId="34" fillId="9" borderId="7" xfId="0" applyFont="1" applyFill="1" applyBorder="1" applyAlignment="1" applyProtection="1">
      <alignment horizontal="center" vertical="center" wrapText="1"/>
      <protection locked="0"/>
    </xf>
    <xf numFmtId="0" fontId="36" fillId="7" borderId="0" xfId="0" applyFont="1" applyFill="1" applyBorder="1" applyProtection="1">
      <protection locked="0"/>
    </xf>
    <xf numFmtId="0" fontId="37" fillId="7" borderId="13" xfId="0" applyFont="1" applyFill="1" applyBorder="1" applyAlignment="1" applyProtection="1">
      <alignment horizontal="center" vertical="center"/>
      <protection locked="0"/>
    </xf>
    <xf numFmtId="0" fontId="24" fillId="0" borderId="20" xfId="0" applyFont="1" applyFill="1" applyBorder="1" applyAlignment="1">
      <alignment vertical="center" wrapText="1"/>
    </xf>
    <xf numFmtId="0" fontId="38" fillId="7" borderId="28" xfId="0" applyFont="1" applyFill="1" applyBorder="1" applyAlignment="1" applyProtection="1">
      <alignment horizontal="center" vertical="center"/>
      <protection hidden="1"/>
    </xf>
    <xf numFmtId="0" fontId="36" fillId="7" borderId="32" xfId="0" applyFont="1" applyFill="1" applyBorder="1" applyProtection="1">
      <protection locked="0"/>
    </xf>
    <xf numFmtId="0" fontId="36" fillId="7" borderId="30" xfId="0" applyFont="1" applyFill="1" applyBorder="1" applyAlignment="1" applyProtection="1">
      <alignment vertical="center"/>
      <protection locked="0"/>
    </xf>
    <xf numFmtId="0" fontId="38" fillId="7" borderId="33" xfId="0" applyFont="1" applyFill="1" applyBorder="1" applyAlignment="1" applyProtection="1">
      <alignment horizontal="left" vertical="center"/>
      <protection locked="0"/>
    </xf>
    <xf numFmtId="0" fontId="37" fillId="7" borderId="14" xfId="0" applyFont="1" applyFill="1" applyBorder="1" applyAlignment="1" applyProtection="1">
      <alignment horizontal="center" vertical="center"/>
      <protection hidden="1"/>
    </xf>
    <xf numFmtId="0" fontId="37" fillId="7" borderId="14" xfId="0" applyFont="1" applyFill="1" applyBorder="1" applyAlignment="1" applyProtection="1">
      <alignment horizontal="center" vertical="center"/>
      <protection locked="0"/>
    </xf>
    <xf numFmtId="0" fontId="25" fillId="0" borderId="20" xfId="0" applyFont="1" applyFill="1" applyBorder="1" applyAlignment="1">
      <alignment vertical="center" wrapText="1"/>
    </xf>
    <xf numFmtId="0" fontId="33" fillId="9" borderId="12" xfId="0" applyFont="1" applyFill="1" applyBorder="1" applyAlignment="1" applyProtection="1">
      <alignment horizontal="center" vertical="center"/>
      <protection locked="0"/>
    </xf>
    <xf numFmtId="0" fontId="15" fillId="2" borderId="41" xfId="0" applyFont="1" applyFill="1" applyBorder="1" applyAlignment="1" applyProtection="1">
      <alignment horizontal="center" vertical="center"/>
      <protection locked="0"/>
    </xf>
    <xf numFmtId="164" fontId="23" fillId="0" borderId="20" xfId="2" applyNumberFormat="1" applyFont="1" applyFill="1" applyBorder="1" applyAlignment="1" applyProtection="1">
      <alignment horizontal="left" vertical="center" wrapText="1"/>
      <protection locked="0"/>
    </xf>
    <xf numFmtId="0" fontId="32" fillId="7" borderId="42" xfId="0" applyFont="1" applyFill="1" applyBorder="1" applyAlignment="1" applyProtection="1">
      <alignment horizontal="center" vertical="center"/>
      <protection locked="0"/>
    </xf>
    <xf numFmtId="0" fontId="26" fillId="7" borderId="43" xfId="0" applyFont="1" applyFill="1" applyBorder="1" applyProtection="1">
      <protection locked="0"/>
    </xf>
    <xf numFmtId="0" fontId="25" fillId="0" borderId="20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19" fillId="2" borderId="20" xfId="0" applyFont="1" applyFill="1" applyBorder="1" applyAlignment="1">
      <alignment horizontal="left" vertical="center" wrapText="1"/>
    </xf>
    <xf numFmtId="0" fontId="12" fillId="3" borderId="46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39" fillId="0" borderId="20" xfId="0" applyFont="1" applyBorder="1" applyAlignment="1">
      <alignment vertical="center" wrapText="1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 applyProtection="1">
      <alignment horizontal="center" vertical="center" wrapText="1"/>
      <protection locked="0"/>
    </xf>
    <xf numFmtId="0" fontId="12" fillId="3" borderId="45" xfId="0" applyFont="1" applyFill="1" applyBorder="1" applyAlignment="1" applyProtection="1">
      <alignment horizontal="center" vertical="center" wrapText="1"/>
      <protection locked="0"/>
    </xf>
    <xf numFmtId="0" fontId="12" fillId="3" borderId="43" xfId="0" applyFont="1" applyFill="1" applyBorder="1" applyAlignment="1" applyProtection="1">
      <alignment horizontal="center" vertical="center" wrapText="1"/>
      <protection locked="0"/>
    </xf>
    <xf numFmtId="0" fontId="26" fillId="7" borderId="30" xfId="0" applyFont="1" applyFill="1" applyBorder="1" applyAlignment="1" applyProtection="1">
      <alignment horizontal="center"/>
      <protection locked="0"/>
    </xf>
    <xf numFmtId="0" fontId="26" fillId="7" borderId="18" xfId="0" applyFont="1" applyFill="1" applyBorder="1" applyAlignment="1" applyProtection="1">
      <alignment horizontal="center"/>
      <protection locked="0"/>
    </xf>
    <xf numFmtId="0" fontId="26" fillId="7" borderId="23" xfId="0" applyFont="1" applyFill="1" applyBorder="1" applyAlignment="1" applyProtection="1">
      <alignment horizontal="center"/>
      <protection locked="0"/>
    </xf>
    <xf numFmtId="0" fontId="27" fillId="8" borderId="2" xfId="0" applyFont="1" applyFill="1" applyBorder="1" applyAlignment="1" applyProtection="1">
      <alignment horizontal="center" vertical="center"/>
      <protection locked="0"/>
    </xf>
    <xf numFmtId="0" fontId="27" fillId="8" borderId="3" xfId="0" applyFont="1" applyFill="1" applyBorder="1" applyAlignment="1" applyProtection="1">
      <alignment horizontal="center" vertical="center"/>
      <protection locked="0"/>
    </xf>
    <xf numFmtId="0" fontId="30" fillId="7" borderId="6" xfId="0" applyFont="1" applyFill="1" applyBorder="1" applyAlignment="1" applyProtection="1">
      <alignment horizontal="center" vertical="center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3" fillId="7" borderId="6" xfId="0" applyFont="1" applyFill="1" applyBorder="1" applyAlignment="1" applyProtection="1">
      <alignment horizontal="center" vertical="center"/>
      <protection locked="0"/>
    </xf>
    <xf numFmtId="0" fontId="33" fillId="7" borderId="7" xfId="0" applyFont="1" applyFill="1" applyBorder="1" applyAlignment="1" applyProtection="1">
      <alignment horizontal="center" vertical="center"/>
      <protection locked="0"/>
    </xf>
    <xf numFmtId="0" fontId="33" fillId="9" borderId="26" xfId="0" applyFont="1" applyFill="1" applyBorder="1" applyAlignment="1" applyProtection="1">
      <alignment horizontal="center" vertical="center"/>
      <protection locked="0"/>
    </xf>
    <xf numFmtId="0" fontId="33" fillId="9" borderId="27" xfId="0" applyFont="1" applyFill="1" applyBorder="1" applyAlignment="1" applyProtection="1">
      <alignment horizontal="center" vertical="center"/>
      <protection locked="0"/>
    </xf>
    <xf numFmtId="0" fontId="33" fillId="9" borderId="34" xfId="0" applyFont="1" applyFill="1" applyBorder="1" applyAlignment="1" applyProtection="1">
      <alignment horizontal="center" vertical="center" wrapText="1"/>
      <protection locked="0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3" fillId="9" borderId="35" xfId="0" applyFont="1" applyFill="1" applyBorder="1" applyAlignment="1" applyProtection="1">
      <alignment horizontal="center" vertical="center" wrapText="1"/>
      <protection locked="0"/>
    </xf>
    <xf numFmtId="0" fontId="26" fillId="7" borderId="28" xfId="0" applyFont="1" applyFill="1" applyBorder="1" applyAlignment="1" applyProtection="1">
      <alignment horizontal="center"/>
      <protection locked="0"/>
    </xf>
    <xf numFmtId="0" fontId="26" fillId="7" borderId="29" xfId="0" applyFont="1" applyFill="1" applyBorder="1" applyAlignment="1" applyProtection="1">
      <alignment horizontal="center"/>
      <protection locked="0"/>
    </xf>
    <xf numFmtId="0" fontId="26" fillId="7" borderId="19" xfId="0" applyFont="1" applyFill="1" applyBorder="1" applyAlignment="1" applyProtection="1">
      <alignment horizontal="center"/>
      <protection locked="0"/>
    </xf>
    <xf numFmtId="0" fontId="26" fillId="7" borderId="20" xfId="0" applyFont="1" applyFill="1" applyBorder="1" applyAlignment="1" applyProtection="1">
      <alignment horizontal="center"/>
      <protection locked="0"/>
    </xf>
    <xf numFmtId="0" fontId="26" fillId="7" borderId="21" xfId="0" applyFont="1" applyFill="1" applyBorder="1" applyAlignment="1" applyProtection="1">
      <alignment horizontal="center"/>
      <protection locked="0"/>
    </xf>
    <xf numFmtId="0" fontId="26" fillId="7" borderId="22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 2" xfId="2"/>
    <cellStyle name="Normal 3" xfId="1"/>
  </cellStyles>
  <dxfs count="3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504D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504D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504D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504D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504D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10282</xdr:rowOff>
    </xdr:from>
    <xdr:to>
      <xdr:col>2</xdr:col>
      <xdr:colOff>257175</xdr:colOff>
      <xdr:row>3</xdr:row>
      <xdr:rowOff>38100</xdr:rowOff>
    </xdr:to>
    <xdr:pic>
      <xdr:nvPicPr>
        <xdr:cNvPr id="6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00807"/>
          <a:ext cx="609600" cy="37071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10282</xdr:rowOff>
    </xdr:from>
    <xdr:to>
      <xdr:col>2</xdr:col>
      <xdr:colOff>257175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00807"/>
          <a:ext cx="609600" cy="37071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10282</xdr:rowOff>
    </xdr:from>
    <xdr:to>
      <xdr:col>2</xdr:col>
      <xdr:colOff>257175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00807"/>
          <a:ext cx="609600" cy="3707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10282</xdr:rowOff>
    </xdr:from>
    <xdr:to>
      <xdr:col>2</xdr:col>
      <xdr:colOff>257175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00807"/>
          <a:ext cx="609600" cy="37071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10282</xdr:rowOff>
    </xdr:from>
    <xdr:to>
      <xdr:col>2</xdr:col>
      <xdr:colOff>257175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00807"/>
          <a:ext cx="609600" cy="370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L25"/>
  <sheetViews>
    <sheetView view="pageBreakPreview" zoomScale="80" zoomScaleNormal="55" zoomScaleSheetLayoutView="80" zoomScalePageLayoutView="70" workbookViewId="0">
      <selection activeCell="C30" sqref="C30"/>
    </sheetView>
  </sheetViews>
  <sheetFormatPr baseColWidth="10"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12" ht="1.5" customHeight="1"/>
    <row r="2" spans="2:12" ht="1.5" customHeight="1" thickBot="1"/>
    <row r="3" spans="2:12" ht="62.25" customHeight="1" thickBot="1">
      <c r="B3" s="105" t="s">
        <v>50</v>
      </c>
      <c r="C3" s="106"/>
      <c r="D3" s="106"/>
      <c r="E3" s="106"/>
      <c r="F3" s="107"/>
      <c r="G3" s="52" t="s">
        <v>49</v>
      </c>
    </row>
    <row r="4" spans="2:12" ht="24" thickBot="1">
      <c r="B4" s="14"/>
      <c r="C4" s="15" t="s">
        <v>66</v>
      </c>
      <c r="D4" s="108" t="s">
        <v>38</v>
      </c>
      <c r="E4" s="109"/>
      <c r="F4" s="109"/>
      <c r="G4" s="32" t="str">
        <f>+'Line &amp; frequency'!C2</f>
        <v>HEBDOMADAIRE</v>
      </c>
    </row>
    <row r="5" spans="2:12" ht="8.25" customHeight="1" thickBot="1">
      <c r="B5" s="2"/>
      <c r="C5" s="2"/>
      <c r="D5" s="3"/>
      <c r="E5" s="3"/>
      <c r="F5" s="3"/>
      <c r="G5" s="3"/>
    </row>
    <row r="6" spans="2:12" ht="20.25" customHeight="1" thickBot="1">
      <c r="C6" s="50" t="s">
        <v>47</v>
      </c>
      <c r="E6" s="103" t="s">
        <v>0</v>
      </c>
      <c r="F6" s="104"/>
    </row>
    <row r="7" spans="2:12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12" s="4" customFormat="1" ht="18.75">
      <c r="B8" s="37">
        <v>1</v>
      </c>
      <c r="C8" s="47" t="s">
        <v>41</v>
      </c>
      <c r="D8" s="21"/>
      <c r="E8" s="19"/>
      <c r="F8" s="20"/>
      <c r="G8" s="33"/>
    </row>
    <row r="9" spans="2:12" s="4" customFormat="1" ht="18.75">
      <c r="B9" s="37">
        <v>2</v>
      </c>
      <c r="C9" s="47" t="s">
        <v>45</v>
      </c>
      <c r="D9" s="21"/>
      <c r="E9" s="19"/>
      <c r="F9" s="20"/>
      <c r="G9" s="33"/>
      <c r="L9" s="4" t="s">
        <v>48</v>
      </c>
    </row>
    <row r="10" spans="2:12" s="4" customFormat="1" ht="18.75">
      <c r="B10" s="37">
        <v>3</v>
      </c>
      <c r="C10" s="47" t="s">
        <v>52</v>
      </c>
      <c r="D10" s="21"/>
      <c r="E10" s="19"/>
      <c r="F10" s="20"/>
      <c r="G10" s="33"/>
    </row>
    <row r="11" spans="2:12" s="4" customFormat="1" ht="18.75">
      <c r="B11" s="37">
        <v>4</v>
      </c>
      <c r="C11" s="47" t="s">
        <v>64</v>
      </c>
      <c r="D11" s="21"/>
      <c r="E11" s="19"/>
      <c r="F11" s="20"/>
      <c r="G11" s="33"/>
    </row>
    <row r="12" spans="2:12" s="4" customFormat="1" ht="18.75">
      <c r="B12" s="37">
        <v>5</v>
      </c>
      <c r="C12" s="47" t="s">
        <v>42</v>
      </c>
      <c r="D12" s="21"/>
      <c r="E12" s="19"/>
      <c r="F12" s="20"/>
      <c r="G12" s="33"/>
    </row>
    <row r="13" spans="2:12" s="4" customFormat="1" ht="18.75">
      <c r="B13" s="37">
        <v>6</v>
      </c>
      <c r="C13" s="47" t="s">
        <v>43</v>
      </c>
      <c r="D13" s="21"/>
      <c r="E13" s="19"/>
      <c r="F13" s="20"/>
      <c r="G13" s="33"/>
    </row>
    <row r="14" spans="2:12" s="4" customFormat="1" ht="18.75">
      <c r="B14" s="37">
        <v>7</v>
      </c>
      <c r="C14" s="47" t="s">
        <v>44</v>
      </c>
      <c r="D14" s="21"/>
      <c r="E14" s="19"/>
      <c r="F14" s="20"/>
      <c r="G14" s="33"/>
    </row>
    <row r="15" spans="2:12" s="4" customFormat="1" ht="18.75">
      <c r="B15" s="37">
        <v>8</v>
      </c>
      <c r="C15" s="47" t="s">
        <v>53</v>
      </c>
      <c r="D15" s="21"/>
      <c r="E15" s="19"/>
      <c r="F15" s="20"/>
      <c r="G15" s="33"/>
    </row>
    <row r="16" spans="2:12" s="4" customFormat="1" ht="18.75">
      <c r="B16" s="37">
        <v>9</v>
      </c>
      <c r="C16" s="47" t="s">
        <v>54</v>
      </c>
      <c r="D16" s="21"/>
      <c r="E16" s="19"/>
      <c r="F16" s="20"/>
      <c r="G16" s="33"/>
    </row>
    <row r="17" spans="2:7" s="4" customFormat="1" ht="28.5">
      <c r="B17" s="37">
        <v>10</v>
      </c>
      <c r="C17" s="47" t="s">
        <v>62</v>
      </c>
      <c r="D17" s="21"/>
      <c r="E17" s="19"/>
      <c r="F17" s="20"/>
      <c r="G17" s="33"/>
    </row>
    <row r="18" spans="2:7" s="4" customFormat="1" ht="28.5">
      <c r="B18" s="37">
        <v>11</v>
      </c>
      <c r="C18" s="47" t="s">
        <v>63</v>
      </c>
      <c r="D18" s="21"/>
      <c r="E18" s="19"/>
      <c r="F18" s="20"/>
      <c r="G18" s="33"/>
    </row>
    <row r="19" spans="2:7" s="4" customFormat="1" ht="30">
      <c r="B19" s="37">
        <v>12</v>
      </c>
      <c r="C19" s="93" t="s">
        <v>67</v>
      </c>
      <c r="D19" s="21"/>
      <c r="E19" s="19"/>
      <c r="F19" s="20"/>
      <c r="G19" s="33"/>
    </row>
    <row r="20" spans="2:7" s="4" customFormat="1" ht="30.75" thickBot="1">
      <c r="B20" s="37">
        <v>13</v>
      </c>
      <c r="C20" s="93" t="s">
        <v>68</v>
      </c>
      <c r="D20" s="21"/>
      <c r="E20" s="19"/>
      <c r="F20" s="20"/>
      <c r="G20" s="33"/>
    </row>
    <row r="21" spans="2:7" s="12" customFormat="1" ht="18.75" thickBot="1">
      <c r="B21" s="110" t="s">
        <v>92</v>
      </c>
      <c r="C21" s="111"/>
      <c r="D21" s="112" t="s">
        <v>7</v>
      </c>
      <c r="E21" s="113"/>
      <c r="F21" s="114"/>
      <c r="G21" s="24" t="s">
        <v>8</v>
      </c>
    </row>
    <row r="22" spans="2:7">
      <c r="B22" s="94"/>
      <c r="C22" s="95"/>
      <c r="D22" s="95"/>
      <c r="E22" s="95"/>
      <c r="F22" s="95"/>
      <c r="G22" s="100"/>
    </row>
    <row r="23" spans="2:7">
      <c r="B23" s="96"/>
      <c r="C23" s="97"/>
      <c r="D23" s="97"/>
      <c r="E23" s="97"/>
      <c r="F23" s="97"/>
      <c r="G23" s="101"/>
    </row>
    <row r="24" spans="2:7">
      <c r="B24" s="96"/>
      <c r="C24" s="97"/>
      <c r="D24" s="97"/>
      <c r="E24" s="97"/>
      <c r="F24" s="97"/>
      <c r="G24" s="101"/>
    </row>
    <row r="25" spans="2:7" ht="15.75" thickBot="1">
      <c r="B25" s="98"/>
      <c r="C25" s="99"/>
      <c r="D25" s="99"/>
      <c r="E25" s="99"/>
      <c r="F25" s="99"/>
      <c r="G25" s="102"/>
    </row>
  </sheetData>
  <sheetProtection selectLockedCells="1"/>
  <mergeCells count="8">
    <mergeCell ref="B22:C25"/>
    <mergeCell ref="D22:F25"/>
    <mergeCell ref="G22:G25"/>
    <mergeCell ref="E6:F6"/>
    <mergeCell ref="B3:F3"/>
    <mergeCell ref="D4:F4"/>
    <mergeCell ref="B21:C21"/>
    <mergeCell ref="D21:F21"/>
  </mergeCells>
  <conditionalFormatting sqref="D8:D20">
    <cfRule type="cellIs" dxfId="37" priority="3" operator="equal">
      <formula>3</formula>
    </cfRule>
    <cfRule type="cellIs" dxfId="3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4"/>
  <sheetViews>
    <sheetView view="pageBreakPreview" zoomScale="80" zoomScaleNormal="55" zoomScaleSheetLayoutView="80" zoomScalePageLayoutView="70" workbookViewId="0">
      <selection activeCell="C24" sqref="C24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46</v>
      </c>
      <c r="C3" s="106"/>
      <c r="D3" s="106"/>
      <c r="E3" s="106"/>
      <c r="F3" s="107"/>
      <c r="G3" s="52" t="s">
        <v>49</v>
      </c>
    </row>
    <row r="4" spans="2:7" ht="24" thickBot="1">
      <c r="B4" s="14"/>
      <c r="C4" s="15" t="s">
        <v>51</v>
      </c>
      <c r="D4" s="108" t="s">
        <v>38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>
      <c r="C6" s="49" t="s">
        <v>47</v>
      </c>
      <c r="E6" s="115" t="s">
        <v>0</v>
      </c>
      <c r="F6" s="116"/>
    </row>
    <row r="7" spans="2:7" s="4" customFormat="1" ht="24" customHeight="1">
      <c r="B7" s="84" t="s">
        <v>1</v>
      </c>
      <c r="C7" s="84" t="s">
        <v>2</v>
      </c>
      <c r="D7" s="84" t="s">
        <v>3</v>
      </c>
      <c r="E7" s="85" t="s">
        <v>4</v>
      </c>
      <c r="F7" s="85" t="s">
        <v>5</v>
      </c>
      <c r="G7" s="86" t="s">
        <v>6</v>
      </c>
    </row>
    <row r="8" spans="2:7" s="4" customFormat="1" ht="18.75">
      <c r="B8" s="87">
        <v>1</v>
      </c>
      <c r="C8" s="51" t="s">
        <v>41</v>
      </c>
      <c r="D8" s="88"/>
      <c r="E8" s="89"/>
      <c r="F8" s="90"/>
      <c r="G8" s="91"/>
    </row>
    <row r="9" spans="2:7" s="4" customFormat="1" ht="18.75">
      <c r="B9" s="92">
        <f>B8+1</f>
        <v>2</v>
      </c>
      <c r="C9" s="51" t="s">
        <v>39</v>
      </c>
      <c r="D9" s="88"/>
      <c r="E9" s="89"/>
      <c r="F9" s="90"/>
      <c r="G9" s="91"/>
    </row>
    <row r="10" spans="2:7" s="4" customFormat="1" ht="18.75">
      <c r="B10" s="87">
        <v>3</v>
      </c>
      <c r="C10" s="51" t="s">
        <v>40</v>
      </c>
      <c r="D10" s="88"/>
      <c r="E10" s="89"/>
      <c r="F10" s="90"/>
      <c r="G10" s="91"/>
    </row>
    <row r="11" spans="2:7" s="4" customFormat="1" ht="18.75">
      <c r="B11" s="92">
        <v>4</v>
      </c>
      <c r="C11" s="80" t="s">
        <v>65</v>
      </c>
      <c r="D11" s="88"/>
      <c r="E11" s="89"/>
      <c r="F11" s="90"/>
      <c r="G11" s="91"/>
    </row>
    <row r="12" spans="2:7" s="4" customFormat="1" ht="18.75" hidden="1">
      <c r="B12" s="87">
        <v>3</v>
      </c>
      <c r="C12" s="80" t="s">
        <v>65</v>
      </c>
      <c r="D12" s="88"/>
      <c r="E12" s="89"/>
      <c r="F12" s="90"/>
      <c r="G12" s="91"/>
    </row>
    <row r="13" spans="2:7" s="4" customFormat="1" ht="18.75" hidden="1">
      <c r="B13" s="92">
        <f t="shared" ref="B13" si="0">B12+1</f>
        <v>4</v>
      </c>
      <c r="C13" s="80" t="s">
        <v>65</v>
      </c>
      <c r="D13" s="88"/>
      <c r="E13" s="89"/>
      <c r="F13" s="90"/>
      <c r="G13" s="91"/>
    </row>
    <row r="14" spans="2:7" s="4" customFormat="1" ht="18.75" hidden="1">
      <c r="B14" s="87">
        <v>4</v>
      </c>
      <c r="C14" s="80" t="s">
        <v>65</v>
      </c>
      <c r="D14" s="88"/>
      <c r="E14" s="89"/>
      <c r="F14" s="90"/>
      <c r="G14" s="91"/>
    </row>
    <row r="15" spans="2:7" s="4" customFormat="1" ht="18.75" hidden="1">
      <c r="B15" s="92">
        <f t="shared" ref="B15" si="1">B14+1</f>
        <v>5</v>
      </c>
      <c r="C15" s="80" t="s">
        <v>65</v>
      </c>
      <c r="D15" s="88"/>
      <c r="E15" s="89"/>
      <c r="F15" s="90"/>
      <c r="G15" s="91"/>
    </row>
    <row r="16" spans="2:7" s="4" customFormat="1" ht="18.75" hidden="1">
      <c r="B16" s="87">
        <v>5</v>
      </c>
      <c r="C16" s="80" t="s">
        <v>65</v>
      </c>
      <c r="D16" s="88"/>
      <c r="E16" s="89"/>
      <c r="F16" s="90"/>
      <c r="G16" s="91"/>
    </row>
    <row r="17" spans="2:7" s="4" customFormat="1" ht="18.75" hidden="1">
      <c r="B17" s="92">
        <f t="shared" ref="B17" si="2">B16+1</f>
        <v>6</v>
      </c>
      <c r="C17" s="80" t="s">
        <v>65</v>
      </c>
      <c r="D17" s="88"/>
      <c r="E17" s="89"/>
      <c r="F17" s="90"/>
      <c r="G17" s="91"/>
    </row>
    <row r="18" spans="2:7" s="4" customFormat="1" ht="18.75" hidden="1">
      <c r="B18" s="87">
        <v>6</v>
      </c>
      <c r="C18" s="80" t="s">
        <v>65</v>
      </c>
      <c r="D18" s="88"/>
      <c r="E18" s="89"/>
      <c r="F18" s="90"/>
      <c r="G18" s="91"/>
    </row>
    <row r="19" spans="2:7" s="4" customFormat="1" ht="18.75" hidden="1">
      <c r="B19" s="92">
        <f t="shared" ref="B19" si="3">B18+1</f>
        <v>7</v>
      </c>
      <c r="C19" s="80" t="s">
        <v>65</v>
      </c>
      <c r="D19" s="88"/>
      <c r="E19" s="89"/>
      <c r="F19" s="90"/>
      <c r="G19" s="91"/>
    </row>
    <row r="20" spans="2:7" s="4" customFormat="1" ht="18.75" hidden="1">
      <c r="B20" s="87">
        <v>7</v>
      </c>
      <c r="C20" s="80" t="s">
        <v>65</v>
      </c>
      <c r="D20" s="88"/>
      <c r="E20" s="89"/>
      <c r="F20" s="90"/>
      <c r="G20" s="91"/>
    </row>
    <row r="21" spans="2:7" s="4" customFormat="1" ht="31.5">
      <c r="B21" s="92">
        <v>5</v>
      </c>
      <c r="C21" s="80" t="s">
        <v>83</v>
      </c>
      <c r="D21" s="88"/>
      <c r="E21" s="89"/>
      <c r="F21" s="90"/>
      <c r="G21" s="91"/>
    </row>
    <row r="22" spans="2:7" s="4" customFormat="1" ht="18.75">
      <c r="B22" s="87">
        <v>6</v>
      </c>
      <c r="C22" s="80" t="s">
        <v>84</v>
      </c>
      <c r="D22" s="88"/>
      <c r="E22" s="89"/>
      <c r="F22" s="90"/>
      <c r="G22" s="91"/>
    </row>
    <row r="23" spans="2:7" s="4" customFormat="1" ht="18.75">
      <c r="B23" s="92">
        <v>7</v>
      </c>
      <c r="C23" s="80" t="s">
        <v>87</v>
      </c>
      <c r="D23" s="88"/>
      <c r="E23" s="89"/>
      <c r="F23" s="90"/>
      <c r="G23" s="91"/>
    </row>
    <row r="24" spans="2:7" s="4" customFormat="1" ht="37.5" customHeight="1">
      <c r="B24" s="92">
        <v>8</v>
      </c>
      <c r="C24" s="80" t="s">
        <v>90</v>
      </c>
      <c r="D24" s="88"/>
      <c r="E24" s="89"/>
      <c r="F24" s="90"/>
      <c r="G24" s="91"/>
    </row>
    <row r="25" spans="2:7" s="4" customFormat="1" ht="18.75">
      <c r="B25" s="87">
        <v>9</v>
      </c>
      <c r="C25" s="80" t="s">
        <v>91</v>
      </c>
      <c r="D25" s="88"/>
      <c r="E25" s="89"/>
      <c r="F25" s="90"/>
      <c r="G25" s="91"/>
    </row>
    <row r="26" spans="2:7" s="4" customFormat="1" ht="18.75">
      <c r="B26" s="92">
        <v>10</v>
      </c>
      <c r="C26" s="80" t="s">
        <v>88</v>
      </c>
      <c r="D26" s="88"/>
      <c r="E26" s="89"/>
      <c r="F26" s="90"/>
      <c r="G26" s="91"/>
    </row>
    <row r="27" spans="2:7" s="4" customFormat="1" ht="32.25" customHeight="1">
      <c r="B27" s="87">
        <v>11</v>
      </c>
      <c r="C27" s="80" t="s">
        <v>89</v>
      </c>
      <c r="D27" s="88"/>
      <c r="E27" s="89"/>
      <c r="F27" s="90"/>
      <c r="G27" s="91"/>
    </row>
    <row r="28" spans="2:7" s="4" customFormat="1" ht="18.75">
      <c r="B28" s="92">
        <f t="shared" ref="B28" si="4">B27+1</f>
        <v>12</v>
      </c>
      <c r="C28" s="80"/>
      <c r="D28" s="88"/>
      <c r="E28" s="89"/>
      <c r="F28" s="90"/>
      <c r="G28" s="91"/>
    </row>
    <row r="29" spans="2:7" ht="18.75" thickBot="1">
      <c r="B29" s="110" t="s">
        <v>13</v>
      </c>
      <c r="C29" s="111"/>
      <c r="D29" s="117" t="s">
        <v>7</v>
      </c>
      <c r="E29" s="118"/>
      <c r="F29" s="119"/>
      <c r="G29" s="83" t="s">
        <v>8</v>
      </c>
    </row>
    <row r="30" spans="2:7">
      <c r="B30" s="94"/>
      <c r="C30" s="95"/>
      <c r="D30" s="95"/>
      <c r="E30" s="95"/>
      <c r="F30" s="95"/>
      <c r="G30" s="100"/>
    </row>
    <row r="31" spans="2:7">
      <c r="B31" s="96"/>
      <c r="C31" s="97"/>
      <c r="D31" s="97"/>
      <c r="E31" s="97"/>
      <c r="F31" s="97"/>
      <c r="G31" s="101"/>
    </row>
    <row r="32" spans="2:7">
      <c r="B32" s="96"/>
      <c r="C32" s="97"/>
      <c r="D32" s="97"/>
      <c r="E32" s="97"/>
      <c r="F32" s="97"/>
      <c r="G32" s="101"/>
    </row>
    <row r="33" spans="2:7">
      <c r="B33" s="96"/>
      <c r="C33" s="97"/>
      <c r="D33" s="97"/>
      <c r="E33" s="97"/>
      <c r="F33" s="97"/>
      <c r="G33" s="101"/>
    </row>
    <row r="34" spans="2:7" ht="15.75" thickBot="1">
      <c r="B34" s="98"/>
      <c r="C34" s="99"/>
      <c r="D34" s="99"/>
      <c r="E34" s="99"/>
      <c r="F34" s="99"/>
      <c r="G34" s="102"/>
    </row>
  </sheetData>
  <sheetProtection selectLockedCells="1"/>
  <mergeCells count="8">
    <mergeCell ref="G30:G34"/>
    <mergeCell ref="B3:F3"/>
    <mergeCell ref="D4:F4"/>
    <mergeCell ref="E6:F6"/>
    <mergeCell ref="B29:C29"/>
    <mergeCell ref="D29:F29"/>
    <mergeCell ref="B30:C34"/>
    <mergeCell ref="D30:F34"/>
  </mergeCells>
  <conditionalFormatting sqref="D8:D28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16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10" t="s">
        <v>13</v>
      </c>
      <c r="C108" s="111"/>
      <c r="D108" s="112" t="s">
        <v>7</v>
      </c>
      <c r="E108" s="113"/>
      <c r="F108" s="114"/>
      <c r="G108" s="24" t="s">
        <v>8</v>
      </c>
    </row>
    <row r="109" spans="2:7">
      <c r="B109" s="94"/>
      <c r="C109" s="95"/>
      <c r="D109" s="95"/>
      <c r="E109" s="95"/>
      <c r="F109" s="95"/>
      <c r="G109" s="100"/>
    </row>
    <row r="110" spans="2:7">
      <c r="B110" s="96"/>
      <c r="C110" s="97"/>
      <c r="D110" s="97"/>
      <c r="E110" s="97"/>
      <c r="F110" s="97"/>
      <c r="G110" s="101"/>
    </row>
    <row r="111" spans="2:7">
      <c r="B111" s="96"/>
      <c r="C111" s="97"/>
      <c r="D111" s="97"/>
      <c r="E111" s="97"/>
      <c r="F111" s="97"/>
      <c r="G111" s="101"/>
    </row>
    <row r="112" spans="2:7">
      <c r="B112" s="96"/>
      <c r="C112" s="97"/>
      <c r="D112" s="97"/>
      <c r="E112" s="97"/>
      <c r="F112" s="97"/>
      <c r="G112" s="101"/>
    </row>
    <row r="113" spans="2:7" ht="15.75" thickBot="1">
      <c r="B113" s="98"/>
      <c r="C113" s="99"/>
      <c r="D113" s="99"/>
      <c r="E113" s="99"/>
      <c r="F113" s="99"/>
      <c r="G113" s="10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33" priority="3" operator="equal">
      <formula>3</formula>
    </cfRule>
    <cfRule type="cellIs" dxfId="32" priority="4" operator="equal">
      <formula>4</formula>
    </cfRule>
  </conditionalFormatting>
  <conditionalFormatting sqref="D89">
    <cfRule type="cellIs" dxfId="31" priority="1" operator="equal">
      <formula>3</formula>
    </cfRule>
    <cfRule type="cellIs" dxfId="3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18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10" t="s">
        <v>13</v>
      </c>
      <c r="C108" s="111"/>
      <c r="D108" s="112" t="s">
        <v>7</v>
      </c>
      <c r="E108" s="113"/>
      <c r="F108" s="114"/>
      <c r="G108" s="24" t="s">
        <v>8</v>
      </c>
    </row>
    <row r="109" spans="2:7">
      <c r="B109" s="94"/>
      <c r="C109" s="95"/>
      <c r="D109" s="95"/>
      <c r="E109" s="95"/>
      <c r="F109" s="95"/>
      <c r="G109" s="100"/>
    </row>
    <row r="110" spans="2:7">
      <c r="B110" s="96"/>
      <c r="C110" s="97"/>
      <c r="D110" s="97"/>
      <c r="E110" s="97"/>
      <c r="F110" s="97"/>
      <c r="G110" s="101"/>
    </row>
    <row r="111" spans="2:7">
      <c r="B111" s="96"/>
      <c r="C111" s="97"/>
      <c r="D111" s="97"/>
      <c r="E111" s="97"/>
      <c r="F111" s="97"/>
      <c r="G111" s="101"/>
    </row>
    <row r="112" spans="2:7">
      <c r="B112" s="96"/>
      <c r="C112" s="97"/>
      <c r="D112" s="97"/>
      <c r="E112" s="97"/>
      <c r="F112" s="97"/>
      <c r="G112" s="101"/>
    </row>
    <row r="113" spans="2:7" ht="15.75" thickBot="1">
      <c r="B113" s="98"/>
      <c r="C113" s="99"/>
      <c r="D113" s="99"/>
      <c r="E113" s="99"/>
      <c r="F113" s="99"/>
      <c r="G113" s="10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9" priority="3" operator="equal">
      <formula>3</formula>
    </cfRule>
    <cfRule type="cellIs" dxfId="28" priority="4" operator="equal">
      <formula>4</formula>
    </cfRule>
  </conditionalFormatting>
  <conditionalFormatting sqref="D89">
    <cfRule type="cellIs" dxfId="27" priority="1" operator="equal">
      <formula>3</formula>
    </cfRule>
    <cfRule type="cellIs" dxfId="2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31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10" t="s">
        <v>13</v>
      </c>
      <c r="C108" s="111"/>
      <c r="D108" s="112" t="s">
        <v>7</v>
      </c>
      <c r="E108" s="113"/>
      <c r="F108" s="114"/>
      <c r="G108" s="24" t="s">
        <v>8</v>
      </c>
    </row>
    <row r="109" spans="2:7">
      <c r="B109" s="94"/>
      <c r="C109" s="95"/>
      <c r="D109" s="95"/>
      <c r="E109" s="95"/>
      <c r="F109" s="95"/>
      <c r="G109" s="100"/>
    </row>
    <row r="110" spans="2:7">
      <c r="B110" s="96"/>
      <c r="C110" s="97"/>
      <c r="D110" s="97"/>
      <c r="E110" s="97"/>
      <c r="F110" s="97"/>
      <c r="G110" s="101"/>
    </row>
    <row r="111" spans="2:7">
      <c r="B111" s="96"/>
      <c r="C111" s="97"/>
      <c r="D111" s="97"/>
      <c r="E111" s="97"/>
      <c r="F111" s="97"/>
      <c r="G111" s="101"/>
    </row>
    <row r="112" spans="2:7">
      <c r="B112" s="96"/>
      <c r="C112" s="97"/>
      <c r="D112" s="97"/>
      <c r="E112" s="97"/>
      <c r="F112" s="97"/>
      <c r="G112" s="101"/>
    </row>
    <row r="113" spans="2:7" ht="15.75" thickBot="1">
      <c r="B113" s="98"/>
      <c r="C113" s="99"/>
      <c r="D113" s="99"/>
      <c r="E113" s="99"/>
      <c r="F113" s="99"/>
      <c r="G113" s="102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25" priority="3" operator="equal">
      <formula>3</formula>
    </cfRule>
    <cfRule type="cellIs" dxfId="24" priority="4" operator="equal">
      <formula>4</formula>
    </cfRule>
  </conditionalFormatting>
  <conditionalFormatting sqref="D89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33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110" t="s">
        <v>13</v>
      </c>
      <c r="C33" s="111"/>
      <c r="D33" s="112" t="s">
        <v>7</v>
      </c>
      <c r="E33" s="113"/>
      <c r="F33" s="114"/>
      <c r="G33" s="24" t="s">
        <v>8</v>
      </c>
    </row>
    <row r="34" spans="2:7">
      <c r="B34" s="94"/>
      <c r="C34" s="95"/>
      <c r="D34" s="95"/>
      <c r="E34" s="95"/>
      <c r="F34" s="95"/>
      <c r="G34" s="100"/>
    </row>
    <row r="35" spans="2:7">
      <c r="B35" s="96"/>
      <c r="C35" s="97"/>
      <c r="D35" s="97"/>
      <c r="E35" s="97"/>
      <c r="F35" s="97"/>
      <c r="G35" s="101"/>
    </row>
    <row r="36" spans="2:7">
      <c r="B36" s="96"/>
      <c r="C36" s="97"/>
      <c r="D36" s="97"/>
      <c r="E36" s="97"/>
      <c r="F36" s="97"/>
      <c r="G36" s="101"/>
    </row>
    <row r="37" spans="2:7">
      <c r="B37" s="96"/>
      <c r="C37" s="97"/>
      <c r="D37" s="97"/>
      <c r="E37" s="97"/>
      <c r="F37" s="97"/>
      <c r="G37" s="101"/>
    </row>
    <row r="38" spans="2:7" ht="15.75" thickBot="1">
      <c r="B38" s="98"/>
      <c r="C38" s="99"/>
      <c r="D38" s="99"/>
      <c r="E38" s="99"/>
      <c r="F38" s="99"/>
      <c r="G38" s="102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21" priority="3" operator="equal">
      <formula>3</formula>
    </cfRule>
    <cfRule type="cellIs" dxfId="2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32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10" t="s">
        <v>13</v>
      </c>
      <c r="C38" s="111"/>
      <c r="D38" s="112" t="s">
        <v>7</v>
      </c>
      <c r="E38" s="113"/>
      <c r="F38" s="114"/>
      <c r="G38" s="24" t="s">
        <v>8</v>
      </c>
    </row>
    <row r="39" spans="2:7">
      <c r="B39" s="94"/>
      <c r="C39" s="95"/>
      <c r="D39" s="95"/>
      <c r="E39" s="95"/>
      <c r="F39" s="95"/>
      <c r="G39" s="100"/>
    </row>
    <row r="40" spans="2:7">
      <c r="B40" s="96"/>
      <c r="C40" s="97"/>
      <c r="D40" s="97"/>
      <c r="E40" s="97"/>
      <c r="F40" s="97"/>
      <c r="G40" s="101"/>
    </row>
    <row r="41" spans="2:7">
      <c r="B41" s="96"/>
      <c r="C41" s="97"/>
      <c r="D41" s="97"/>
      <c r="E41" s="97"/>
      <c r="F41" s="97"/>
      <c r="G41" s="101"/>
    </row>
    <row r="42" spans="2:7">
      <c r="B42" s="96"/>
      <c r="C42" s="97"/>
      <c r="D42" s="97"/>
      <c r="E42" s="97"/>
      <c r="F42" s="97"/>
      <c r="G42" s="101"/>
    </row>
    <row r="43" spans="2:7" ht="15.75" thickBot="1">
      <c r="B43" s="98"/>
      <c r="C43" s="99"/>
      <c r="D43" s="99"/>
      <c r="E43" s="99"/>
      <c r="F43" s="99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34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10" t="s">
        <v>13</v>
      </c>
      <c r="C38" s="111"/>
      <c r="D38" s="112" t="s">
        <v>7</v>
      </c>
      <c r="E38" s="113"/>
      <c r="F38" s="114"/>
      <c r="G38" s="24" t="s">
        <v>8</v>
      </c>
    </row>
    <row r="39" spans="2:7">
      <c r="B39" s="94"/>
      <c r="C39" s="95"/>
      <c r="D39" s="95"/>
      <c r="E39" s="95"/>
      <c r="F39" s="95"/>
      <c r="G39" s="100"/>
    </row>
    <row r="40" spans="2:7">
      <c r="B40" s="96"/>
      <c r="C40" s="97"/>
      <c r="D40" s="97"/>
      <c r="E40" s="97"/>
      <c r="F40" s="97"/>
      <c r="G40" s="101"/>
    </row>
    <row r="41" spans="2:7">
      <c r="B41" s="96"/>
      <c r="C41" s="97"/>
      <c r="D41" s="97"/>
      <c r="E41" s="97"/>
      <c r="F41" s="97"/>
      <c r="G41" s="101"/>
    </row>
    <row r="42" spans="2:7">
      <c r="B42" s="96"/>
      <c r="C42" s="97"/>
      <c r="D42" s="97"/>
      <c r="E42" s="97"/>
      <c r="F42" s="97"/>
      <c r="G42" s="101"/>
    </row>
    <row r="43" spans="2:7" ht="15.75" thickBot="1">
      <c r="B43" s="98"/>
      <c r="C43" s="99"/>
      <c r="D43" s="99"/>
      <c r="E43" s="99"/>
      <c r="F43" s="99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35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10" t="s">
        <v>13</v>
      </c>
      <c r="C38" s="111"/>
      <c r="D38" s="112" t="s">
        <v>7</v>
      </c>
      <c r="E38" s="113"/>
      <c r="F38" s="114"/>
      <c r="G38" s="24" t="s">
        <v>8</v>
      </c>
    </row>
    <row r="39" spans="2:7">
      <c r="B39" s="94"/>
      <c r="C39" s="95"/>
      <c r="D39" s="95"/>
      <c r="E39" s="95"/>
      <c r="F39" s="95"/>
      <c r="G39" s="100"/>
    </row>
    <row r="40" spans="2:7">
      <c r="B40" s="96"/>
      <c r="C40" s="97"/>
      <c r="D40" s="97"/>
      <c r="E40" s="97"/>
      <c r="F40" s="97"/>
      <c r="G40" s="101"/>
    </row>
    <row r="41" spans="2:7">
      <c r="B41" s="96"/>
      <c r="C41" s="97"/>
      <c r="D41" s="97"/>
      <c r="E41" s="97"/>
      <c r="F41" s="97"/>
      <c r="G41" s="101"/>
    </row>
    <row r="42" spans="2:7">
      <c r="B42" s="96"/>
      <c r="C42" s="97"/>
      <c r="D42" s="97"/>
      <c r="E42" s="97"/>
      <c r="F42" s="97"/>
      <c r="G42" s="101"/>
    </row>
    <row r="43" spans="2:7" ht="15.75" thickBot="1">
      <c r="B43" s="98"/>
      <c r="C43" s="99"/>
      <c r="D43" s="99"/>
      <c r="E43" s="99"/>
      <c r="F43" s="99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36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10" t="s">
        <v>13</v>
      </c>
      <c r="C38" s="111"/>
      <c r="D38" s="112" t="s">
        <v>7</v>
      </c>
      <c r="E38" s="113"/>
      <c r="F38" s="114"/>
      <c r="G38" s="24" t="s">
        <v>8</v>
      </c>
    </row>
    <row r="39" spans="2:7">
      <c r="B39" s="94"/>
      <c r="C39" s="95"/>
      <c r="D39" s="95"/>
      <c r="E39" s="95"/>
      <c r="F39" s="95"/>
      <c r="G39" s="100"/>
    </row>
    <row r="40" spans="2:7">
      <c r="B40" s="96"/>
      <c r="C40" s="97"/>
      <c r="D40" s="97"/>
      <c r="E40" s="97"/>
      <c r="F40" s="97"/>
      <c r="G40" s="101"/>
    </row>
    <row r="41" spans="2:7">
      <c r="B41" s="96"/>
      <c r="C41" s="97"/>
      <c r="D41" s="97"/>
      <c r="E41" s="97"/>
      <c r="F41" s="97"/>
      <c r="G41" s="101"/>
    </row>
    <row r="42" spans="2:7">
      <c r="B42" s="96"/>
      <c r="C42" s="97"/>
      <c r="D42" s="97"/>
      <c r="E42" s="97"/>
      <c r="F42" s="97"/>
      <c r="G42" s="101"/>
    </row>
    <row r="43" spans="2:7" ht="15.75" thickBot="1">
      <c r="B43" s="98"/>
      <c r="C43" s="99"/>
      <c r="D43" s="99"/>
      <c r="E43" s="99"/>
      <c r="F43" s="99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105" t="s">
        <v>11</v>
      </c>
      <c r="C3" s="106"/>
      <c r="D3" s="106"/>
      <c r="E3" s="106"/>
      <c r="F3" s="107"/>
      <c r="G3" s="31" t="s">
        <v>12</v>
      </c>
    </row>
    <row r="4" spans="2:7" ht="24" thickBot="1">
      <c r="B4" s="14"/>
      <c r="C4" s="15" t="s">
        <v>37</v>
      </c>
      <c r="D4" s="108" t="str">
        <f>+'Line &amp; frequency'!C1</f>
        <v>CHAINE 4</v>
      </c>
      <c r="E4" s="109"/>
      <c r="F4" s="10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3" t="s">
        <v>0</v>
      </c>
      <c r="F6" s="104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10" t="s">
        <v>13</v>
      </c>
      <c r="C38" s="111"/>
      <c r="D38" s="112" t="s">
        <v>7</v>
      </c>
      <c r="E38" s="113"/>
      <c r="F38" s="114"/>
      <c r="G38" s="24" t="s">
        <v>8</v>
      </c>
    </row>
    <row r="39" spans="2:7">
      <c r="B39" s="94"/>
      <c r="C39" s="95"/>
      <c r="D39" s="95"/>
      <c r="E39" s="95"/>
      <c r="F39" s="95"/>
      <c r="G39" s="100"/>
    </row>
    <row r="40" spans="2:7">
      <c r="B40" s="96"/>
      <c r="C40" s="97"/>
      <c r="D40" s="97"/>
      <c r="E40" s="97"/>
      <c r="F40" s="97"/>
      <c r="G40" s="101"/>
    </row>
    <row r="41" spans="2:7">
      <c r="B41" s="96"/>
      <c r="C41" s="97"/>
      <c r="D41" s="97"/>
      <c r="E41" s="97"/>
      <c r="F41" s="97"/>
      <c r="G41" s="101"/>
    </row>
    <row r="42" spans="2:7">
      <c r="B42" s="96"/>
      <c r="C42" s="97"/>
      <c r="D42" s="97"/>
      <c r="E42" s="97"/>
      <c r="F42" s="97"/>
      <c r="G42" s="101"/>
    </row>
    <row r="43" spans="2:7" ht="15.75" thickBot="1">
      <c r="B43" s="98"/>
      <c r="C43" s="99"/>
      <c r="D43" s="99"/>
      <c r="E43" s="99"/>
      <c r="F43" s="99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9"/>
  <sheetViews>
    <sheetView topLeftCell="B5" zoomScaleNormal="100" workbookViewId="0">
      <selection activeCell="B26" sqref="B26"/>
    </sheetView>
  </sheetViews>
  <sheetFormatPr baseColWidth="10" defaultColWidth="11.42578125" defaultRowHeight="15"/>
  <cols>
    <col min="1" max="1" width="0.28515625" style="53" customWidth="1"/>
    <col min="2" max="2" width="5.7109375" style="53" customWidth="1"/>
    <col min="3" max="3" width="88.28515625" style="53" customWidth="1"/>
    <col min="4" max="4" width="9.7109375" style="53" bestFit="1" customWidth="1"/>
    <col min="5" max="5" width="8.42578125" style="53" customWidth="1"/>
    <col min="6" max="6" width="10.5703125" style="53" customWidth="1"/>
    <col min="7" max="7" width="54.85546875" style="53" bestFit="1" customWidth="1"/>
    <col min="8" max="8" width="6.5703125" style="53" customWidth="1"/>
    <col min="9" max="9" width="7.85546875" style="53" customWidth="1"/>
    <col min="10" max="11" width="8.140625" style="53" customWidth="1"/>
    <col min="12" max="13" width="11.42578125" style="53" customWidth="1"/>
    <col min="14" max="14" width="8.85546875" style="53" customWidth="1"/>
    <col min="15" max="17" width="11.42578125" style="53" customWidth="1"/>
    <col min="18" max="18" width="2.140625" style="53" customWidth="1"/>
    <col min="19" max="16384" width="11.42578125" style="53"/>
  </cols>
  <sheetData>
    <row r="2" spans="2:7" ht="15.75" thickBot="1"/>
    <row r="3" spans="2:7" ht="27" thickBot="1">
      <c r="B3" s="123" t="s">
        <v>46</v>
      </c>
      <c r="C3" s="124"/>
      <c r="D3" s="124"/>
      <c r="E3" s="124"/>
      <c r="F3" s="124"/>
      <c r="G3" s="76" t="s">
        <v>49</v>
      </c>
    </row>
    <row r="4" spans="2:7" ht="24" thickBot="1">
      <c r="B4" s="54"/>
      <c r="C4" s="55" t="s">
        <v>55</v>
      </c>
      <c r="D4" s="125" t="s">
        <v>38</v>
      </c>
      <c r="E4" s="126"/>
      <c r="F4" s="126"/>
      <c r="G4" s="75" t="str">
        <f>+'Line &amp; frequency'!C2</f>
        <v>HEBDOMADAIRE</v>
      </c>
    </row>
    <row r="5" spans="2:7" ht="15.75" thickBot="1">
      <c r="B5" s="56"/>
      <c r="C5" s="56"/>
      <c r="D5" s="57"/>
      <c r="E5" s="57"/>
      <c r="F5" s="57"/>
      <c r="G5" s="77"/>
    </row>
    <row r="6" spans="2:7" ht="18.75" thickBot="1">
      <c r="E6" s="127" t="s">
        <v>0</v>
      </c>
      <c r="F6" s="128"/>
      <c r="G6" s="78"/>
    </row>
    <row r="7" spans="2:7" s="64" customFormat="1" ht="16.5" thickBot="1">
      <c r="B7" s="58" t="s">
        <v>1</v>
      </c>
      <c r="C7" s="59" t="s">
        <v>2</v>
      </c>
      <c r="D7" s="60" t="s">
        <v>3</v>
      </c>
      <c r="E7" s="61" t="s">
        <v>4</v>
      </c>
      <c r="F7" s="62" t="s">
        <v>5</v>
      </c>
      <c r="G7" s="63" t="s">
        <v>6</v>
      </c>
    </row>
    <row r="8" spans="2:7" s="64" customFormat="1" ht="18.75">
      <c r="B8" s="65">
        <v>1</v>
      </c>
      <c r="C8" s="66" t="s">
        <v>56</v>
      </c>
      <c r="D8" s="67"/>
      <c r="E8" s="68"/>
      <c r="F8" s="69"/>
      <c r="G8" s="70"/>
    </row>
    <row r="9" spans="2:7" s="64" customFormat="1" ht="18.75">
      <c r="B9" s="71">
        <f>B8+1</f>
        <v>2</v>
      </c>
      <c r="C9" s="66" t="s">
        <v>57</v>
      </c>
      <c r="D9" s="67"/>
      <c r="E9" s="68"/>
      <c r="F9" s="69"/>
      <c r="G9" s="70"/>
    </row>
    <row r="10" spans="2:7" s="64" customFormat="1" ht="18.75">
      <c r="B10" s="72">
        <v>3</v>
      </c>
      <c r="C10" s="66" t="s">
        <v>58</v>
      </c>
      <c r="D10" s="67"/>
      <c r="E10" s="68"/>
      <c r="F10" s="69"/>
      <c r="G10" s="70"/>
    </row>
    <row r="11" spans="2:7" s="64" customFormat="1" ht="18.75">
      <c r="B11" s="71">
        <v>4</v>
      </c>
      <c r="C11" s="66" t="s">
        <v>59</v>
      </c>
      <c r="D11" s="67"/>
      <c r="E11" s="68"/>
      <c r="F11" s="69"/>
      <c r="G11" s="70"/>
    </row>
    <row r="12" spans="2:7" s="64" customFormat="1" ht="18.75">
      <c r="B12" s="72">
        <f t="shared" ref="B12" si="0">+B11+1</f>
        <v>5</v>
      </c>
      <c r="C12" s="66" t="s">
        <v>60</v>
      </c>
      <c r="D12" s="67"/>
      <c r="E12" s="68"/>
      <c r="F12" s="69"/>
      <c r="G12" s="70"/>
    </row>
    <row r="13" spans="2:7" s="64" customFormat="1" ht="19.5" thickBot="1">
      <c r="B13" s="71">
        <f t="shared" ref="B13" si="1">B12+1</f>
        <v>6</v>
      </c>
      <c r="C13" s="73" t="s">
        <v>61</v>
      </c>
      <c r="D13" s="67"/>
      <c r="E13" s="68"/>
      <c r="F13" s="69"/>
      <c r="G13" s="70"/>
    </row>
    <row r="14" spans="2:7" ht="18.75" thickBot="1">
      <c r="B14" s="129" t="s">
        <v>13</v>
      </c>
      <c r="C14" s="130"/>
      <c r="D14" s="131" t="s">
        <v>7</v>
      </c>
      <c r="E14" s="132"/>
      <c r="F14" s="133"/>
      <c r="G14" s="74" t="s">
        <v>8</v>
      </c>
    </row>
    <row r="15" spans="2:7">
      <c r="B15" s="134"/>
      <c r="C15" s="135"/>
      <c r="D15" s="135"/>
      <c r="E15" s="135"/>
      <c r="F15" s="135"/>
      <c r="G15" s="120"/>
    </row>
    <row r="16" spans="2:7">
      <c r="B16" s="136"/>
      <c r="C16" s="137"/>
      <c r="D16" s="137"/>
      <c r="E16" s="137"/>
      <c r="F16" s="137"/>
      <c r="G16" s="121"/>
    </row>
    <row r="17" spans="2:7">
      <c r="B17" s="136"/>
      <c r="C17" s="137"/>
      <c r="D17" s="137"/>
      <c r="E17" s="137"/>
      <c r="F17" s="137"/>
      <c r="G17" s="121"/>
    </row>
    <row r="18" spans="2:7">
      <c r="B18" s="136"/>
      <c r="C18" s="137"/>
      <c r="D18" s="137"/>
      <c r="E18" s="137"/>
      <c r="F18" s="137"/>
      <c r="G18" s="121"/>
    </row>
    <row r="19" spans="2:7" ht="15.75" thickBot="1">
      <c r="B19" s="138"/>
      <c r="C19" s="139"/>
      <c r="D19" s="139"/>
      <c r="E19" s="139"/>
      <c r="F19" s="139"/>
      <c r="G19" s="122"/>
    </row>
  </sheetData>
  <mergeCells count="8">
    <mergeCell ref="G15:G19"/>
    <mergeCell ref="B3:F3"/>
    <mergeCell ref="D4:F4"/>
    <mergeCell ref="E6:F6"/>
    <mergeCell ref="B14:C14"/>
    <mergeCell ref="D14:F14"/>
    <mergeCell ref="B15:C19"/>
    <mergeCell ref="D15:F19"/>
  </mergeCells>
  <conditionalFormatting sqref="D8:D13">
    <cfRule type="cellIs" dxfId="9" priority="1" operator="equal">
      <formula>3</formula>
    </cfRule>
    <cfRule type="cellIs" dxfId="8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9"/>
  <sheetViews>
    <sheetView topLeftCell="B1" zoomScaleNormal="100" workbookViewId="0">
      <selection activeCell="B27" sqref="B27"/>
    </sheetView>
  </sheetViews>
  <sheetFormatPr baseColWidth="10" defaultColWidth="11.42578125" defaultRowHeight="15"/>
  <cols>
    <col min="1" max="1" width="0.28515625" style="53" customWidth="1"/>
    <col min="2" max="2" width="5.7109375" style="53" customWidth="1"/>
    <col min="3" max="3" width="88.28515625" style="53" customWidth="1"/>
    <col min="4" max="4" width="9.7109375" style="53" bestFit="1" customWidth="1"/>
    <col min="5" max="5" width="8.42578125" style="53" customWidth="1"/>
    <col min="6" max="6" width="10.5703125" style="53" customWidth="1"/>
    <col min="7" max="7" width="54.85546875" style="53" bestFit="1" customWidth="1"/>
    <col min="8" max="8" width="6.5703125" style="53" customWidth="1"/>
    <col min="9" max="9" width="7.85546875" style="53" customWidth="1"/>
    <col min="10" max="11" width="8.140625" style="53" customWidth="1"/>
    <col min="12" max="13" width="11.42578125" style="53" customWidth="1"/>
    <col min="14" max="14" width="8.85546875" style="53" customWidth="1"/>
    <col min="15" max="17" width="11.42578125" style="53" customWidth="1"/>
    <col min="18" max="18" width="2.140625" style="53" customWidth="1"/>
    <col min="19" max="16384" width="11.42578125" style="53"/>
  </cols>
  <sheetData>
    <row r="2" spans="2:7" ht="15.75" thickBot="1"/>
    <row r="3" spans="2:7" ht="27" thickBot="1">
      <c r="B3" s="123" t="s">
        <v>46</v>
      </c>
      <c r="C3" s="124"/>
      <c r="D3" s="124"/>
      <c r="E3" s="124"/>
      <c r="F3" s="124"/>
      <c r="G3" s="76" t="s">
        <v>49</v>
      </c>
    </row>
    <row r="4" spans="2:7" ht="24" thickBot="1">
      <c r="B4" s="54"/>
      <c r="C4" s="55" t="s">
        <v>73</v>
      </c>
      <c r="D4" s="125" t="s">
        <v>38</v>
      </c>
      <c r="E4" s="126"/>
      <c r="F4" s="126"/>
      <c r="G4" s="75" t="str">
        <f>+'Line &amp; frequency'!C2</f>
        <v>HEBDOMADAIRE</v>
      </c>
    </row>
    <row r="5" spans="2:7" ht="15.75" thickBot="1">
      <c r="B5" s="56"/>
      <c r="C5" s="56"/>
      <c r="D5" s="57"/>
      <c r="E5" s="57"/>
      <c r="F5" s="57"/>
      <c r="G5" s="77"/>
    </row>
    <row r="6" spans="2:7" ht="18.75" thickBot="1">
      <c r="E6" s="127" t="s">
        <v>0</v>
      </c>
      <c r="F6" s="128"/>
      <c r="G6" s="78"/>
    </row>
    <row r="7" spans="2:7" s="64" customFormat="1" ht="16.5" thickBot="1">
      <c r="B7" s="58" t="s">
        <v>1</v>
      </c>
      <c r="C7" s="59" t="s">
        <v>2</v>
      </c>
      <c r="D7" s="60" t="s">
        <v>3</v>
      </c>
      <c r="E7" s="61" t="s">
        <v>4</v>
      </c>
      <c r="F7" s="62" t="s">
        <v>5</v>
      </c>
      <c r="G7" s="63" t="s">
        <v>6</v>
      </c>
    </row>
    <row r="8" spans="2:7" s="64" customFormat="1" ht="18.75">
      <c r="B8" s="65">
        <v>1</v>
      </c>
      <c r="C8" s="48" t="s">
        <v>69</v>
      </c>
      <c r="D8" s="67"/>
      <c r="E8" s="68"/>
      <c r="F8" s="69"/>
      <c r="G8" s="70"/>
    </row>
    <row r="9" spans="2:7" s="64" customFormat="1" ht="18.75">
      <c r="B9" s="71">
        <f>B8+1</f>
        <v>2</v>
      </c>
      <c r="C9" s="48" t="s">
        <v>70</v>
      </c>
      <c r="D9" s="67"/>
      <c r="E9" s="68"/>
      <c r="F9" s="69"/>
      <c r="G9" s="70"/>
    </row>
    <row r="10" spans="2:7" s="64" customFormat="1" ht="18.75">
      <c r="B10" s="72">
        <v>3</v>
      </c>
      <c r="C10" s="81" t="s">
        <v>71</v>
      </c>
      <c r="D10" s="67"/>
      <c r="E10" s="68"/>
      <c r="F10" s="69"/>
      <c r="G10" s="70"/>
    </row>
    <row r="11" spans="2:7" s="64" customFormat="1" ht="18.75">
      <c r="B11" s="71">
        <v>4</v>
      </c>
      <c r="C11" s="81" t="s">
        <v>72</v>
      </c>
      <c r="D11" s="67"/>
      <c r="E11" s="68"/>
      <c r="F11" s="69"/>
      <c r="G11" s="70"/>
    </row>
    <row r="12" spans="2:7" s="64" customFormat="1" ht="18.75">
      <c r="B12" s="72">
        <f t="shared" ref="B12" si="0">+B11+1</f>
        <v>5</v>
      </c>
      <c r="C12" s="66"/>
      <c r="D12" s="67"/>
      <c r="E12" s="68"/>
      <c r="F12" s="69"/>
      <c r="G12" s="70"/>
    </row>
    <row r="13" spans="2:7" s="64" customFormat="1" ht="19.5" thickBot="1">
      <c r="B13" s="71">
        <f t="shared" ref="B13" si="1">B12+1</f>
        <v>6</v>
      </c>
      <c r="C13" s="73"/>
      <c r="D13" s="67"/>
      <c r="E13" s="68"/>
      <c r="F13" s="69"/>
      <c r="G13" s="70"/>
    </row>
    <row r="14" spans="2:7" ht="18.75" thickBot="1">
      <c r="B14" s="129" t="s">
        <v>13</v>
      </c>
      <c r="C14" s="130"/>
      <c r="D14" s="131" t="s">
        <v>7</v>
      </c>
      <c r="E14" s="132"/>
      <c r="F14" s="133"/>
      <c r="G14" s="74" t="s">
        <v>8</v>
      </c>
    </row>
    <row r="15" spans="2:7">
      <c r="B15" s="134"/>
      <c r="C15" s="135"/>
      <c r="D15" s="135"/>
      <c r="E15" s="135"/>
      <c r="F15" s="135"/>
      <c r="G15" s="120"/>
    </row>
    <row r="16" spans="2:7">
      <c r="B16" s="136"/>
      <c r="C16" s="137"/>
      <c r="D16" s="137"/>
      <c r="E16" s="137"/>
      <c r="F16" s="137"/>
      <c r="G16" s="121"/>
    </row>
    <row r="17" spans="2:7">
      <c r="B17" s="136"/>
      <c r="C17" s="137"/>
      <c r="D17" s="137"/>
      <c r="E17" s="137"/>
      <c r="F17" s="137"/>
      <c r="G17" s="121"/>
    </row>
    <row r="18" spans="2:7">
      <c r="B18" s="136"/>
      <c r="C18" s="137"/>
      <c r="D18" s="137"/>
      <c r="E18" s="137"/>
      <c r="F18" s="137"/>
      <c r="G18" s="121"/>
    </row>
    <row r="19" spans="2:7" ht="15.75" thickBot="1">
      <c r="B19" s="138"/>
      <c r="C19" s="139"/>
      <c r="D19" s="139"/>
      <c r="E19" s="139"/>
      <c r="F19" s="139"/>
      <c r="G19" s="122"/>
    </row>
  </sheetData>
  <mergeCells count="8">
    <mergeCell ref="G15:G19"/>
    <mergeCell ref="B3:F3"/>
    <mergeCell ref="D4:F4"/>
    <mergeCell ref="E6:F6"/>
    <mergeCell ref="B14:C14"/>
    <mergeCell ref="D14:F14"/>
    <mergeCell ref="B15:C19"/>
    <mergeCell ref="D15:F19"/>
  </mergeCells>
  <conditionalFormatting sqref="D8:D13">
    <cfRule type="cellIs" dxfId="7" priority="1" operator="equal">
      <formula>3</formula>
    </cfRule>
    <cfRule type="cellIs" dxfId="6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2"/>
  <sheetViews>
    <sheetView topLeftCell="B4" zoomScaleNormal="100" workbookViewId="0">
      <selection activeCell="B26" sqref="B26"/>
    </sheetView>
  </sheetViews>
  <sheetFormatPr baseColWidth="10" defaultColWidth="11.42578125" defaultRowHeight="15"/>
  <cols>
    <col min="1" max="1" width="0.28515625" style="53" customWidth="1"/>
    <col min="2" max="2" width="5.7109375" style="53" customWidth="1"/>
    <col min="3" max="3" width="88.28515625" style="53" customWidth="1"/>
    <col min="4" max="4" width="9.7109375" style="53" bestFit="1" customWidth="1"/>
    <col min="5" max="5" width="8.42578125" style="53" customWidth="1"/>
    <col min="6" max="6" width="10.5703125" style="53" customWidth="1"/>
    <col min="7" max="7" width="54.85546875" style="53" bestFit="1" customWidth="1"/>
    <col min="8" max="8" width="6.5703125" style="53" customWidth="1"/>
    <col min="9" max="9" width="7.85546875" style="53" customWidth="1"/>
    <col min="10" max="11" width="8.140625" style="53" customWidth="1"/>
    <col min="12" max="13" width="11.42578125" style="53" customWidth="1"/>
    <col min="14" max="14" width="8.85546875" style="53" customWidth="1"/>
    <col min="15" max="17" width="11.42578125" style="53" customWidth="1"/>
    <col min="18" max="18" width="2.140625" style="53" customWidth="1"/>
    <col min="19" max="16384" width="11.42578125" style="53"/>
  </cols>
  <sheetData>
    <row r="2" spans="2:7" ht="15.75" thickBot="1"/>
    <row r="3" spans="2:7" ht="27" thickBot="1">
      <c r="B3" s="123" t="s">
        <v>46</v>
      </c>
      <c r="C3" s="124"/>
      <c r="D3" s="124"/>
      <c r="E3" s="124"/>
      <c r="F3" s="124"/>
      <c r="G3" s="76" t="s">
        <v>49</v>
      </c>
    </row>
    <row r="4" spans="2:7" ht="24" thickBot="1">
      <c r="B4" s="54"/>
      <c r="C4" s="55" t="s">
        <v>74</v>
      </c>
      <c r="D4" s="125" t="s">
        <v>38</v>
      </c>
      <c r="E4" s="126"/>
      <c r="F4" s="126"/>
      <c r="G4" s="75" t="str">
        <f>+'Line &amp; frequency'!C2</f>
        <v>HEBDOMADAIRE</v>
      </c>
    </row>
    <row r="5" spans="2:7" ht="15.75" thickBot="1">
      <c r="B5" s="56"/>
      <c r="C5" s="56"/>
      <c r="D5" s="57"/>
      <c r="E5" s="57"/>
      <c r="F5" s="57"/>
      <c r="G5" s="77"/>
    </row>
    <row r="6" spans="2:7" ht="18.75" thickBot="1">
      <c r="E6" s="127" t="s">
        <v>0</v>
      </c>
      <c r="F6" s="128"/>
      <c r="G6" s="78"/>
    </row>
    <row r="7" spans="2:7" s="64" customFormat="1" ht="16.5" thickBot="1">
      <c r="B7" s="58" t="s">
        <v>1</v>
      </c>
      <c r="C7" s="59" t="s">
        <v>2</v>
      </c>
      <c r="D7" s="60" t="s">
        <v>3</v>
      </c>
      <c r="E7" s="61" t="s">
        <v>4</v>
      </c>
      <c r="F7" s="62" t="s">
        <v>5</v>
      </c>
      <c r="G7" s="63" t="s">
        <v>6</v>
      </c>
    </row>
    <row r="8" spans="2:7" s="64" customFormat="1" ht="18.75">
      <c r="B8" s="65">
        <v>1</v>
      </c>
      <c r="C8" s="51" t="s">
        <v>76</v>
      </c>
      <c r="D8" s="67"/>
      <c r="E8" s="68"/>
      <c r="F8" s="69"/>
      <c r="G8" s="70"/>
    </row>
    <row r="9" spans="2:7" s="64" customFormat="1" ht="19.5" thickBot="1">
      <c r="B9" s="72">
        <v>2</v>
      </c>
      <c r="C9" s="51" t="s">
        <v>77</v>
      </c>
      <c r="D9" s="67"/>
      <c r="E9" s="68"/>
      <c r="F9" s="69"/>
      <c r="G9" s="70"/>
    </row>
    <row r="10" spans="2:7" s="64" customFormat="1" ht="18.75">
      <c r="B10" s="65">
        <v>3</v>
      </c>
      <c r="C10" s="79" t="s">
        <v>75</v>
      </c>
      <c r="D10" s="67"/>
      <c r="E10" s="68"/>
      <c r="F10" s="69"/>
      <c r="G10" s="70"/>
    </row>
    <row r="11" spans="2:7" s="64" customFormat="1" ht="19.5" thickBot="1">
      <c r="B11" s="72">
        <v>4</v>
      </c>
      <c r="C11" s="79" t="s">
        <v>78</v>
      </c>
      <c r="D11" s="67"/>
      <c r="E11" s="68"/>
      <c r="F11" s="69"/>
      <c r="G11" s="70"/>
    </row>
    <row r="12" spans="2:7" s="64" customFormat="1" ht="30">
      <c r="B12" s="65">
        <v>5</v>
      </c>
      <c r="C12" s="79" t="s">
        <v>85</v>
      </c>
      <c r="D12" s="67"/>
      <c r="E12" s="68"/>
      <c r="F12" s="69"/>
      <c r="G12" s="70"/>
    </row>
    <row r="13" spans="2:7" s="64" customFormat="1" ht="31.5">
      <c r="B13" s="72">
        <v>6</v>
      </c>
      <c r="C13" s="80" t="s">
        <v>89</v>
      </c>
      <c r="D13" s="67"/>
      <c r="E13" s="68"/>
      <c r="F13" s="69"/>
      <c r="G13" s="70"/>
    </row>
    <row r="14" spans="2:7" s="64" customFormat="1" ht="18.75">
      <c r="B14" s="72">
        <v>7</v>
      </c>
      <c r="C14" s="80" t="s">
        <v>87</v>
      </c>
      <c r="D14" s="67"/>
      <c r="E14" s="68"/>
      <c r="F14" s="69"/>
      <c r="G14" s="70"/>
    </row>
    <row r="15" spans="2:7" s="64" customFormat="1" ht="18.75">
      <c r="B15" s="72">
        <v>8</v>
      </c>
      <c r="C15" s="80" t="s">
        <v>86</v>
      </c>
      <c r="D15" s="67"/>
      <c r="E15" s="68"/>
      <c r="F15" s="69"/>
      <c r="G15" s="70"/>
    </row>
    <row r="16" spans="2:7" s="64" customFormat="1" ht="19.5" thickBot="1">
      <c r="B16" s="72">
        <v>9</v>
      </c>
      <c r="C16" s="80" t="s">
        <v>91</v>
      </c>
      <c r="D16" s="67"/>
      <c r="E16" s="68"/>
      <c r="F16" s="69"/>
      <c r="G16" s="70"/>
    </row>
    <row r="17" spans="2:7" ht="18.75" thickBot="1">
      <c r="B17" s="129" t="s">
        <v>13</v>
      </c>
      <c r="C17" s="130"/>
      <c r="D17" s="131" t="s">
        <v>7</v>
      </c>
      <c r="E17" s="132"/>
      <c r="F17" s="133"/>
      <c r="G17" s="74" t="s">
        <v>8</v>
      </c>
    </row>
    <row r="18" spans="2:7">
      <c r="B18" s="134"/>
      <c r="C18" s="135"/>
      <c r="D18" s="135"/>
      <c r="E18" s="135"/>
      <c r="F18" s="135"/>
      <c r="G18" s="120"/>
    </row>
    <row r="19" spans="2:7">
      <c r="B19" s="136"/>
      <c r="C19" s="137"/>
      <c r="D19" s="137"/>
      <c r="E19" s="137"/>
      <c r="F19" s="137"/>
      <c r="G19" s="121"/>
    </row>
    <row r="20" spans="2:7">
      <c r="B20" s="136"/>
      <c r="C20" s="137"/>
      <c r="D20" s="137"/>
      <c r="E20" s="137"/>
      <c r="F20" s="137"/>
      <c r="G20" s="121"/>
    </row>
    <row r="21" spans="2:7">
      <c r="B21" s="136"/>
      <c r="C21" s="137"/>
      <c r="D21" s="137"/>
      <c r="E21" s="137"/>
      <c r="F21" s="137"/>
      <c r="G21" s="121"/>
    </row>
    <row r="22" spans="2:7" ht="15.75" thickBot="1">
      <c r="B22" s="138"/>
      <c r="C22" s="139"/>
      <c r="D22" s="139"/>
      <c r="E22" s="139"/>
      <c r="F22" s="139"/>
      <c r="G22" s="122"/>
    </row>
  </sheetData>
  <mergeCells count="8">
    <mergeCell ref="G18:G22"/>
    <mergeCell ref="B3:F3"/>
    <mergeCell ref="D4:F4"/>
    <mergeCell ref="E6:F6"/>
    <mergeCell ref="B17:C17"/>
    <mergeCell ref="D17:F17"/>
    <mergeCell ref="B18:C22"/>
    <mergeCell ref="D18:F22"/>
  </mergeCells>
  <conditionalFormatting sqref="D8:D16">
    <cfRule type="cellIs" dxfId="5" priority="1" operator="equal">
      <formula>3</formula>
    </cfRule>
    <cfRule type="cellIs" dxfId="4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6"/>
  <sheetViews>
    <sheetView tabSelected="1" topLeftCell="B1" zoomScaleNormal="100" workbookViewId="0">
      <selection activeCell="B12" sqref="B12:C16"/>
    </sheetView>
  </sheetViews>
  <sheetFormatPr baseColWidth="10" defaultColWidth="11.42578125" defaultRowHeight="15"/>
  <cols>
    <col min="1" max="1" width="0.28515625" style="53" customWidth="1"/>
    <col min="2" max="2" width="5.7109375" style="53" customWidth="1"/>
    <col min="3" max="3" width="88.28515625" style="53" customWidth="1"/>
    <col min="4" max="4" width="9.7109375" style="53" bestFit="1" customWidth="1"/>
    <col min="5" max="5" width="8.42578125" style="53" customWidth="1"/>
    <col min="6" max="6" width="10.5703125" style="53" customWidth="1"/>
    <col min="7" max="7" width="54.85546875" style="53" bestFit="1" customWidth="1"/>
    <col min="8" max="8" width="6.5703125" style="53" customWidth="1"/>
    <col min="9" max="9" width="7.85546875" style="53" customWidth="1"/>
    <col min="10" max="11" width="8.140625" style="53" customWidth="1"/>
    <col min="12" max="13" width="11.42578125" style="53" customWidth="1"/>
    <col min="14" max="14" width="8.85546875" style="53" customWidth="1"/>
    <col min="15" max="17" width="11.42578125" style="53" customWidth="1"/>
    <col min="18" max="18" width="2.140625" style="53" customWidth="1"/>
    <col min="19" max="16384" width="11.42578125" style="53"/>
  </cols>
  <sheetData>
    <row r="2" spans="2:7" ht="15.75" thickBot="1"/>
    <row r="3" spans="2:7" ht="27" thickBot="1">
      <c r="B3" s="123" t="s">
        <v>46</v>
      </c>
      <c r="C3" s="124"/>
      <c r="D3" s="124"/>
      <c r="E3" s="124"/>
      <c r="F3" s="124"/>
      <c r="G3" s="76" t="s">
        <v>49</v>
      </c>
    </row>
    <row r="4" spans="2:7" ht="24" thickBot="1">
      <c r="B4" s="54"/>
      <c r="C4" s="55" t="s">
        <v>82</v>
      </c>
      <c r="D4" s="125" t="s">
        <v>38</v>
      </c>
      <c r="E4" s="126"/>
      <c r="F4" s="126"/>
      <c r="G4" s="75" t="str">
        <f>+'Line &amp; frequency'!C2</f>
        <v>HEBDOMADAIRE</v>
      </c>
    </row>
    <row r="5" spans="2:7" ht="15.75" thickBot="1">
      <c r="B5" s="56"/>
      <c r="C5" s="56"/>
      <c r="D5" s="57"/>
      <c r="E5" s="57"/>
      <c r="F5" s="57"/>
      <c r="G5" s="77"/>
    </row>
    <row r="6" spans="2:7" ht="18.75" thickBot="1">
      <c r="E6" s="127" t="s">
        <v>0</v>
      </c>
      <c r="F6" s="128"/>
      <c r="G6" s="78"/>
    </row>
    <row r="7" spans="2:7" s="64" customFormat="1" ht="16.5" thickBot="1">
      <c r="B7" s="58" t="s">
        <v>1</v>
      </c>
      <c r="C7" s="59" t="s">
        <v>2</v>
      </c>
      <c r="D7" s="60" t="s">
        <v>3</v>
      </c>
      <c r="E7" s="61" t="s">
        <v>4</v>
      </c>
      <c r="F7" s="62" t="s">
        <v>5</v>
      </c>
      <c r="G7" s="63" t="s">
        <v>6</v>
      </c>
    </row>
    <row r="8" spans="2:7" s="64" customFormat="1" ht="18.75">
      <c r="B8" s="65">
        <v>1</v>
      </c>
      <c r="C8" s="51" t="s">
        <v>76</v>
      </c>
      <c r="D8" s="67"/>
      <c r="E8" s="68"/>
      <c r="F8" s="69"/>
      <c r="G8" s="70"/>
    </row>
    <row r="9" spans="2:7" s="64" customFormat="1" ht="18.75">
      <c r="B9" s="71">
        <f>B8+1</f>
        <v>2</v>
      </c>
      <c r="C9" s="51"/>
      <c r="D9" s="67"/>
      <c r="E9" s="68"/>
      <c r="F9" s="69"/>
      <c r="G9" s="70"/>
    </row>
    <row r="10" spans="2:7" s="64" customFormat="1" ht="19.5" thickBot="1">
      <c r="B10" s="72">
        <v>3</v>
      </c>
      <c r="C10" s="51"/>
      <c r="D10" s="67"/>
      <c r="E10" s="68"/>
      <c r="F10" s="69"/>
      <c r="G10" s="70"/>
    </row>
    <row r="11" spans="2:7" ht="18.75" thickBot="1">
      <c r="B11" s="129" t="s">
        <v>92</v>
      </c>
      <c r="C11" s="130"/>
      <c r="D11" s="131" t="s">
        <v>7</v>
      </c>
      <c r="E11" s="132"/>
      <c r="F11" s="133"/>
      <c r="G11" s="74" t="s">
        <v>8</v>
      </c>
    </row>
    <row r="12" spans="2:7">
      <c r="B12" s="134"/>
      <c r="C12" s="135"/>
      <c r="D12" s="135"/>
      <c r="E12" s="135"/>
      <c r="F12" s="135"/>
      <c r="G12" s="120"/>
    </row>
    <row r="13" spans="2:7">
      <c r="B13" s="136"/>
      <c r="C13" s="137"/>
      <c r="D13" s="137"/>
      <c r="E13" s="137"/>
      <c r="F13" s="137"/>
      <c r="G13" s="121"/>
    </row>
    <row r="14" spans="2:7">
      <c r="B14" s="136"/>
      <c r="C14" s="137"/>
      <c r="D14" s="137"/>
      <c r="E14" s="137"/>
      <c r="F14" s="137"/>
      <c r="G14" s="121"/>
    </row>
    <row r="15" spans="2:7">
      <c r="B15" s="136"/>
      <c r="C15" s="137"/>
      <c r="D15" s="137"/>
      <c r="E15" s="137"/>
      <c r="F15" s="137"/>
      <c r="G15" s="121"/>
    </row>
    <row r="16" spans="2:7" ht="15.75" thickBot="1">
      <c r="B16" s="138"/>
      <c r="C16" s="139"/>
      <c r="D16" s="139"/>
      <c r="E16" s="139"/>
      <c r="F16" s="139"/>
      <c r="G16" s="122"/>
    </row>
  </sheetData>
  <mergeCells count="8">
    <mergeCell ref="G12:G16"/>
    <mergeCell ref="B3:F3"/>
    <mergeCell ref="D4:F4"/>
    <mergeCell ref="E6:F6"/>
    <mergeCell ref="B11:C11"/>
    <mergeCell ref="D11:F11"/>
    <mergeCell ref="B12:C16"/>
    <mergeCell ref="D12:F16"/>
  </mergeCells>
  <conditionalFormatting sqref="D8:D10">
    <cfRule type="cellIs" dxfId="3" priority="1" operator="equal">
      <formula>3</formula>
    </cfRule>
    <cfRule type="cellIs" dxfId="2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6"/>
  <sheetViews>
    <sheetView topLeftCell="B6" zoomScaleNormal="100" workbookViewId="0">
      <selection activeCell="C24" sqref="C24"/>
    </sheetView>
  </sheetViews>
  <sheetFormatPr baseColWidth="10" defaultColWidth="11.42578125" defaultRowHeight="15"/>
  <cols>
    <col min="1" max="1" width="0.28515625" style="53" customWidth="1"/>
    <col min="2" max="2" width="5.7109375" style="53" customWidth="1"/>
    <col min="3" max="3" width="88.28515625" style="53" customWidth="1"/>
    <col min="4" max="4" width="9.7109375" style="53" bestFit="1" customWidth="1"/>
    <col min="5" max="5" width="8.42578125" style="53" customWidth="1"/>
    <col min="6" max="6" width="10.5703125" style="53" customWidth="1"/>
    <col min="7" max="7" width="54.85546875" style="53" bestFit="1" customWidth="1"/>
    <col min="8" max="8" width="6.5703125" style="53" customWidth="1"/>
    <col min="9" max="9" width="7.85546875" style="53" customWidth="1"/>
    <col min="10" max="11" width="8.140625" style="53" customWidth="1"/>
    <col min="12" max="13" width="11.42578125" style="53" customWidth="1"/>
    <col min="14" max="14" width="8.85546875" style="53" customWidth="1"/>
    <col min="15" max="17" width="11.42578125" style="53" customWidth="1"/>
    <col min="18" max="18" width="2.140625" style="53" customWidth="1"/>
    <col min="19" max="16384" width="11.42578125" style="53"/>
  </cols>
  <sheetData>
    <row r="2" spans="2:7" ht="15.75" thickBot="1"/>
    <row r="3" spans="2:7" ht="27" thickBot="1">
      <c r="B3" s="123" t="s">
        <v>46</v>
      </c>
      <c r="C3" s="124"/>
      <c r="D3" s="124"/>
      <c r="E3" s="124"/>
      <c r="F3" s="124"/>
      <c r="G3" s="76" t="s">
        <v>49</v>
      </c>
    </row>
    <row r="4" spans="2:7" ht="24" thickBot="1">
      <c r="B4" s="54"/>
      <c r="C4" s="55" t="s">
        <v>81</v>
      </c>
      <c r="D4" s="125" t="s">
        <v>38</v>
      </c>
      <c r="E4" s="126"/>
      <c r="F4" s="126"/>
      <c r="G4" s="75" t="str">
        <f>+'Line &amp; frequency'!C2</f>
        <v>HEBDOMADAIRE</v>
      </c>
    </row>
    <row r="5" spans="2:7" ht="15.75" thickBot="1">
      <c r="B5" s="56"/>
      <c r="C5" s="56"/>
      <c r="D5" s="57"/>
      <c r="E5" s="57"/>
      <c r="F5" s="57"/>
      <c r="G5" s="77"/>
    </row>
    <row r="6" spans="2:7" ht="18.75" thickBot="1">
      <c r="E6" s="127" t="s">
        <v>0</v>
      </c>
      <c r="F6" s="128"/>
      <c r="G6" s="78"/>
    </row>
    <row r="7" spans="2:7" s="64" customFormat="1" ht="16.5" thickBot="1">
      <c r="B7" s="58" t="s">
        <v>1</v>
      </c>
      <c r="C7" s="59" t="s">
        <v>2</v>
      </c>
      <c r="D7" s="60" t="s">
        <v>3</v>
      </c>
      <c r="E7" s="61" t="s">
        <v>4</v>
      </c>
      <c r="F7" s="62" t="s">
        <v>5</v>
      </c>
      <c r="G7" s="63" t="s">
        <v>6</v>
      </c>
    </row>
    <row r="8" spans="2:7" s="64" customFormat="1" ht="18.75">
      <c r="B8" s="65">
        <v>1</v>
      </c>
      <c r="C8" s="82" t="s">
        <v>79</v>
      </c>
      <c r="D8" s="67"/>
      <c r="E8" s="68"/>
      <c r="F8" s="69"/>
      <c r="G8" s="70"/>
    </row>
    <row r="9" spans="2:7" s="64" customFormat="1" ht="18.75">
      <c r="B9" s="71">
        <f>B8+1</f>
        <v>2</v>
      </c>
      <c r="C9" s="82" t="s">
        <v>80</v>
      </c>
      <c r="D9" s="67"/>
      <c r="E9" s="68"/>
      <c r="F9" s="69"/>
      <c r="G9" s="70"/>
    </row>
    <row r="10" spans="2:7" s="64" customFormat="1" ht="19.5" thickBot="1">
      <c r="B10" s="72">
        <v>3</v>
      </c>
      <c r="C10" s="51"/>
      <c r="D10" s="67"/>
      <c r="E10" s="68"/>
      <c r="F10" s="69"/>
      <c r="G10" s="70"/>
    </row>
    <row r="11" spans="2:7" ht="18.75" thickBot="1">
      <c r="B11" s="129" t="s">
        <v>92</v>
      </c>
      <c r="C11" s="130"/>
      <c r="D11" s="131" t="s">
        <v>7</v>
      </c>
      <c r="E11" s="132"/>
      <c r="F11" s="133"/>
      <c r="G11" s="74" t="s">
        <v>8</v>
      </c>
    </row>
    <row r="12" spans="2:7">
      <c r="B12" s="134"/>
      <c r="C12" s="135"/>
      <c r="D12" s="135"/>
      <c r="E12" s="135"/>
      <c r="F12" s="135"/>
      <c r="G12" s="120"/>
    </row>
    <row r="13" spans="2:7">
      <c r="B13" s="136"/>
      <c r="C13" s="137"/>
      <c r="D13" s="137"/>
      <c r="E13" s="137"/>
      <c r="F13" s="137"/>
      <c r="G13" s="121"/>
    </row>
    <row r="14" spans="2:7">
      <c r="B14" s="136"/>
      <c r="C14" s="137"/>
      <c r="D14" s="137"/>
      <c r="E14" s="137"/>
      <c r="F14" s="137"/>
      <c r="G14" s="121"/>
    </row>
    <row r="15" spans="2:7">
      <c r="B15" s="136"/>
      <c r="C15" s="137"/>
      <c r="D15" s="137"/>
      <c r="E15" s="137"/>
      <c r="F15" s="137"/>
      <c r="G15" s="121"/>
    </row>
    <row r="16" spans="2:7" ht="15.75" thickBot="1">
      <c r="B16" s="138"/>
      <c r="C16" s="139"/>
      <c r="D16" s="139"/>
      <c r="E16" s="139"/>
      <c r="F16" s="139"/>
      <c r="G16" s="122"/>
    </row>
  </sheetData>
  <mergeCells count="8">
    <mergeCell ref="G12:G16"/>
    <mergeCell ref="B3:F3"/>
    <mergeCell ref="D4:F4"/>
    <mergeCell ref="E6:F6"/>
    <mergeCell ref="B11:C11"/>
    <mergeCell ref="D11:F11"/>
    <mergeCell ref="B12:C16"/>
    <mergeCell ref="D12:F16"/>
  </mergeCells>
  <conditionalFormatting sqref="D8:D10">
    <cfRule type="cellIs" dxfId="1" priority="1" operator="equal">
      <formula>3</formula>
    </cfRule>
    <cfRule type="cellIs" dxfId="0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11</vt:i4>
      </vt:variant>
    </vt:vector>
  </HeadingPairs>
  <TitlesOfParts>
    <vt:vector size="28" baseType="lpstr">
      <vt:lpstr>Blomax</vt:lpstr>
      <vt:lpstr>Filler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Convoyeurs</vt:lpstr>
      <vt:lpstr>Labeller</vt:lpstr>
      <vt:lpstr>Kisters</vt:lpstr>
      <vt:lpstr>Handle applicator</vt:lpstr>
      <vt:lpstr>Robopac</vt:lpstr>
      <vt:lpstr>Blomax!Zone_d_impression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'Cvyr Btles'!Zone_d_impression</vt:lpstr>
      <vt:lpstr>Filler!Zone_d_impression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2024-08-29T13:32:49Z</cp:lastPrinted>
  <dcterms:created xsi:type="dcterms:W3CDTF">2021-01-06T16:50:41Z</dcterms:created>
  <dcterms:modified xsi:type="dcterms:W3CDTF">2024-08-29T15:16:45Z</dcterms:modified>
</cp:coreProperties>
</file>