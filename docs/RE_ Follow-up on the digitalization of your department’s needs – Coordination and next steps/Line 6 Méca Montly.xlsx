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5120" windowHeight="7935" tabRatio="949" activeTab="2"/>
  </bookViews>
  <sheets>
    <sheet name="Compresseur à air" sheetId="33" r:id="rId1"/>
    <sheet name="Blomax" sheetId="1" r:id="rId2"/>
    <sheet name="Soutireuse " sheetId="31" r:id="rId3"/>
    <sheet name="Paramix" sheetId="29" r:id="rId4"/>
    <sheet name="Etiqueteuse" sheetId="8" r:id="rId5"/>
    <sheet name="Kisters" sheetId="32" r:id="rId6"/>
    <sheet name="Handle application" sheetId="10" r:id="rId7"/>
    <sheet name="Convoyeurs" sheetId="11" r:id="rId8"/>
    <sheet name="Cvyr Btles" sheetId="12" state="hidden" r:id="rId9"/>
    <sheet name="CC C1" sheetId="13" state="hidden" r:id="rId10"/>
    <sheet name="CC C2" sheetId="15" state="hidden" r:id="rId11"/>
    <sheet name="CC C3" sheetId="16" state="hidden" r:id="rId12"/>
    <sheet name="CC C4" sheetId="17" state="hidden" r:id="rId13"/>
    <sheet name="CC C5" sheetId="18" state="hidden" r:id="rId14"/>
    <sheet name="CC C6" sheetId="19" state="hidden" r:id="rId15"/>
    <sheet name="CC C7" sheetId="20" state="hidden" r:id="rId16"/>
    <sheet name="CC C8" sheetId="21" state="hidden" r:id="rId17"/>
    <sheet name="Line &amp; frequency" sheetId="2" state="hidden" r:id="rId18"/>
  </sheets>
  <definedNames>
    <definedName name="_xlnm.Print_Area" localSheetId="1">Blomax!$B$3:$G$29</definedName>
    <definedName name="_xlnm.Print_Area" localSheetId="9">'CC C1'!$B$3:$G$63</definedName>
    <definedName name="_xlnm.Print_Area" localSheetId="10">'CC C2'!$B$3:$G$63</definedName>
    <definedName name="_xlnm.Print_Area" localSheetId="11">'CC C3'!$B$3:$G$32</definedName>
    <definedName name="_xlnm.Print_Area" localSheetId="12">'CC C4'!$B$3:$G$37</definedName>
    <definedName name="_xlnm.Print_Area" localSheetId="13">'CC C5'!$B$3:$G$37</definedName>
    <definedName name="_xlnm.Print_Area" localSheetId="14">'CC C6'!$B$3:$G$37</definedName>
    <definedName name="_xlnm.Print_Area" localSheetId="15">'CC C7'!$B$3:$G$37</definedName>
    <definedName name="_xlnm.Print_Area" localSheetId="16">'CC C8'!$B$3:$G$37</definedName>
    <definedName name="_xlnm.Print_Area" localSheetId="0">'Compresseur à air'!$B$3:$G$20</definedName>
    <definedName name="_xlnm.Print_Area" localSheetId="7">Convoyeurs!$B$1:$G$25</definedName>
    <definedName name="_xlnm.Print_Area" localSheetId="8">'Cvyr Btles'!$B$3:$G$63</definedName>
    <definedName name="_xlnm.Print_Area" localSheetId="4">Etiqueteuse!$B$3:$G$19</definedName>
    <definedName name="_xlnm.Print_Area" localSheetId="6">'Handle application'!$B$1:$G$23</definedName>
    <definedName name="_xlnm.Print_Area" localSheetId="5">Kisters!$B$3:$G$32</definedName>
    <definedName name="_xlnm.Print_Area" localSheetId="2">'Soutireuse '!$B$3:$G$25</definedName>
  </definedNames>
  <calcPr calcId="144525"/>
</workbook>
</file>

<file path=xl/calcChain.xml><?xml version="1.0" encoding="utf-8"?>
<calcChain xmlns="http://schemas.openxmlformats.org/spreadsheetml/2006/main">
  <c r="B9" i="32" l="1"/>
  <c r="B26" i="32" s="1"/>
  <c r="B9" i="33" l="1"/>
  <c r="B10" i="33" s="1"/>
  <c r="B11" i="33" s="1"/>
  <c r="B12" i="33" s="1"/>
  <c r="B13" i="33" s="1"/>
  <c r="B14" i="33" s="1"/>
  <c r="B8" i="29" l="1"/>
  <c r="B9" i="29" s="1"/>
  <c r="B10" i="29" s="1"/>
  <c r="B11" i="29" s="1"/>
  <c r="B12" i="29" s="1"/>
  <c r="B13" i="29" s="1"/>
  <c r="B14" i="29" s="1"/>
  <c r="B15" i="29" s="1"/>
  <c r="B16" i="29" s="1"/>
  <c r="G3" i="2" l="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G4" i="21"/>
  <c r="D4" i="21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G4" i="20"/>
  <c r="D4" i="20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G4" i="19"/>
  <c r="D4" i="19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G4" i="18"/>
  <c r="D4" i="18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G4" i="17"/>
  <c r="D4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G4" i="16"/>
  <c r="D4" i="16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G4" i="15"/>
  <c r="D4" i="15"/>
  <c r="B9" i="13" l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9" i="1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9" i="10"/>
  <c r="B10" i="10" s="1"/>
  <c r="B11" i="10" s="1"/>
  <c r="B12" i="10" s="1"/>
  <c r="B13" i="10" s="1"/>
  <c r="B14" i="10" s="1"/>
  <c r="B15" i="10" s="1"/>
  <c r="B16" i="10" s="1"/>
  <c r="B17" i="10" s="1"/>
  <c r="G4" i="13" l="1"/>
  <c r="D4" i="13"/>
  <c r="G4" i="12"/>
  <c r="D4" i="12"/>
</calcChain>
</file>

<file path=xl/sharedStrings.xml><?xml version="1.0" encoding="utf-8"?>
<sst xmlns="http://schemas.openxmlformats.org/spreadsheetml/2006/main" count="512" uniqueCount="123">
  <si>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</si>
  <si>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</si>
  <si>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</si>
  <si>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</si>
  <si>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</si>
  <si>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</si>
  <si>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</si>
  <si>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</si>
  <si>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Nom et Visa Responsables</t>
  </si>
  <si>
    <t xml:space="preserve">Line </t>
  </si>
  <si>
    <t>Frequency</t>
  </si>
  <si>
    <t>CHECKLIST  MECANIQUE</t>
  </si>
  <si>
    <t>Date</t>
  </si>
  <si>
    <t xml:space="preserve">Commentaire </t>
  </si>
  <si>
    <t>CHAINE 4</t>
  </si>
  <si>
    <t>HEBDOMADAIRE</t>
  </si>
  <si>
    <t>SOUTIREUSE</t>
  </si>
  <si>
    <t>ETIQUETEUSE</t>
  </si>
  <si>
    <t>PALETTISEUR</t>
  </si>
  <si>
    <t>controler l'arret d'huile et le remplacé au besoin. Aucune fuite d'huile n'est acceptable.</t>
  </si>
  <si>
    <t>CONVOYEURS CASIERS C1</t>
  </si>
  <si>
    <t>controler la fixation du réducteur sur le convoyeur et corriger si necessaire.</t>
  </si>
  <si>
    <t>controler l'usure du pignon et le remplacé au besoin. Aucun glissement n'est acceptable.</t>
  </si>
  <si>
    <t>controler l'alignement et la fixation du pignon de  l'axe moteur et remedier au besoin.</t>
  </si>
  <si>
    <t>controler l'usure de la roue libre et la remplacée au besoin. Aucun glissement n'est acceptable.</t>
  </si>
  <si>
    <t>controler l'alignement et la fixation de la roue libre et remedier au problème.</t>
  </si>
  <si>
    <t>controler l'usure de la clavette et la rainure et reparer au besoin</t>
  </si>
  <si>
    <t>controler l'état des glissières et remplacer les au besoin</t>
  </si>
  <si>
    <t xml:space="preserve">controler l'usure des roulements et paliers de l'axe moteur et remplacer si necessaire. </t>
  </si>
  <si>
    <t>controler l'usure des pignons et les remplacés au besoin. Aucun glissement n'est acceptable.</t>
  </si>
  <si>
    <t>controler l'usure du tapis et remplacer les portions usées ou maillons cassés</t>
  </si>
  <si>
    <t>controler la tenson des tapis et ajuster au besoin</t>
  </si>
  <si>
    <t>vérifier la fixation des couvres chaines et bien les rangés au besoin</t>
  </si>
  <si>
    <t>CONVOYEURS CASIERS C2</t>
  </si>
  <si>
    <t>CONVOYEURS CASIERS C4</t>
  </si>
  <si>
    <t>CONVOYEURS CASIERS C3</t>
  </si>
  <si>
    <t>CONVOYEURS CASIERS C5</t>
  </si>
  <si>
    <t>CONVOYEURS CASIERS C6</t>
  </si>
  <si>
    <t>CONVOYEURS CASIERS C7</t>
  </si>
  <si>
    <t>CONVOYEURS CASIERS C8</t>
  </si>
  <si>
    <t>New PET line</t>
  </si>
  <si>
    <t>Vider les bacs collecteurs de graisse</t>
  </si>
  <si>
    <t>MENSUELLE</t>
  </si>
  <si>
    <t>Vérifier le plomb de la soupape de sécurité</t>
  </si>
  <si>
    <t>KISTERS</t>
  </si>
  <si>
    <t>Controler l'étanchéité des raccords sur les conduites pneumatiques</t>
  </si>
  <si>
    <t>Contrôler la tension de la Courroie crantée</t>
  </si>
  <si>
    <t>CONVOYEURS</t>
  </si>
  <si>
    <t>Contrôler l'étanchéité du réducteur</t>
  </si>
  <si>
    <t>Rinçage du filtre à eau de la Paroi d'eau</t>
  </si>
  <si>
    <t>Contrôle des radiateurs du  Caisson chauffant</t>
  </si>
  <si>
    <t>Contrôle du joint de tige d'étirage de l'Ensemble de joints</t>
  </si>
  <si>
    <t>Contrôle des galets de roulement des Galets de roulement</t>
  </si>
  <si>
    <t>Contrôle des raccords de flexibles du Système de pression de service</t>
  </si>
  <si>
    <t>Paramix</t>
  </si>
  <si>
    <t>Contrôler la propreté des canaux de refroidissement.</t>
  </si>
  <si>
    <t>Nettoyer l'environnement des canaux de refroidissement et au besoin, les sorties d'air</t>
  </si>
  <si>
    <t>Nettoyer les symboles de sécurité encrassés.</t>
  </si>
  <si>
    <t>Vérifier si le fluide s'échappe de la soupape de sécurité.</t>
  </si>
  <si>
    <t>Vérifier si les dispositifs de protection sont montés ou si les conduites d'alimentation et d'évacuation vers la soupape de sécurité sont bloquées.</t>
  </si>
  <si>
    <t>Vérifier l'état des éléments des tulipes de centrage pour détecter tout endommagement ou usure</t>
  </si>
  <si>
    <t>Vérifier l’état de la courroie crantée de la vis d'admission et la remplacer le cas échéant.</t>
  </si>
  <si>
    <t>Vérifier le point zéro de la station et le régler si nécessaire</t>
  </si>
  <si>
    <t>Controler les raccords et conduites pneumatiques</t>
  </si>
  <si>
    <t>Controler les roues à chaîne et poulies de courroie crantée</t>
  </si>
  <si>
    <t xml:space="preserve">Controler (Vérifier le fonctionnement) les sièges d'arbre revêtus </t>
  </si>
  <si>
    <t>Contrôler la tension de la courroie crantée</t>
  </si>
  <si>
    <t>Vérifier que la tension Fardelage  est correcte</t>
  </si>
  <si>
    <t>Contrôler la mobilité des Mandrins de prise de bobine de film</t>
  </si>
  <si>
    <t>Contrôler le jeu des roulements</t>
  </si>
  <si>
    <t xml:space="preserve"> Contrôler l'efficacité de freinage</t>
  </si>
  <si>
    <t>Contrôler les flexibles d'expansion et les capuchons des mandrins</t>
  </si>
  <si>
    <t>Contrôler l'unité de serrage de la Station de soudage de film automatique</t>
  </si>
  <si>
    <t xml:space="preserve"> Contrôler le caoutchouc cellulaire de la fixation de film</t>
  </si>
  <si>
    <t>Contrôler la tension de la chaîne à barres ou à maillons du Tunnel de rétraction</t>
  </si>
  <si>
    <t>Contrôler le bon fonctionnement de la chaîne à barres ou à maillons du Tunnel de rétraction</t>
  </si>
  <si>
    <t>Éliminer les résidus de film sur les buses d'air du tunnel de rétraction</t>
  </si>
  <si>
    <t>Éliminer les encrassements sur les Moteurs de soufflerie du tunnel de rétraction et Vérifier le fonctionnement</t>
  </si>
  <si>
    <t>Éliminer les encrassements sur Bac collecteur</t>
  </si>
  <si>
    <t>HANDLE APPLICATOR</t>
  </si>
  <si>
    <t>Actionner les interrupteurs d'arrêt d'urgence pour vérifier leur fonctionnement (à vide)</t>
  </si>
  <si>
    <t>controler l'accumulation de liquides dans les conduites pneumatiques</t>
  </si>
  <si>
    <t>Contrôler le tampon caoutchouté et vérifier la bonne fixation de la Tête d'application</t>
  </si>
  <si>
    <t>Contrôler les courroies crantées et les poulies de la Courroie d'entraînement et guidage latéral</t>
  </si>
  <si>
    <t xml:space="preserve">Contrôler la tension correcte des courroies crantées </t>
  </si>
  <si>
    <t>Vérifier que les surfaces peintes des entraînements ne sont pas endommagées</t>
  </si>
  <si>
    <t>Contrôler visuellement la tension de la chaîne</t>
  </si>
  <si>
    <t>Vérifier l'étanchéité du palier à bride et l'absence de fuite de graisse</t>
  </si>
  <si>
    <t>Contrôler les traces d'usure et d'endommagement sur les barres d'usure et les rampes de guidages</t>
  </si>
  <si>
    <t>Vérifier si les vis des raccords vissés sont correctement serrées</t>
  </si>
  <si>
    <t>Vérifier la limite d'usure de la chaîne de transport</t>
  </si>
  <si>
    <t>Vérifier la division des chaînes de convoyage</t>
  </si>
  <si>
    <t>Contrloer le retour des galets de roulement</t>
  </si>
  <si>
    <t>Contrôler les conduites, raccordements et distributeurs pneumatiques</t>
  </si>
  <si>
    <t>Contrôler les conduites, raccordements et les distributeurs de la lubrification centrale</t>
  </si>
  <si>
    <t>Vérifier la fixation correcte des liaisons par vis sur toutes les surfaces sollicitées et mobiles.</t>
  </si>
  <si>
    <t>Contrôler le bon fonctionnement et l'état du support de tulipes.</t>
  </si>
  <si>
    <t>Contrôle visuel des motoréducteurs du convoyeur d'évacuation</t>
  </si>
  <si>
    <t xml:space="preserve">Effectuer la passivation de la salle blanche, y compris du couvercle </t>
  </si>
  <si>
    <t>Contrloer l'usure et la porosité de le Courroie crantée</t>
  </si>
  <si>
    <t>Nettoyer le filtre d'eau de reffroidissement du Air driyer</t>
  </si>
  <si>
    <t>nettoyer les bougies du filtre à gaz ou les passer à l'autoclave externe</t>
  </si>
  <si>
    <t>Contrôle du joint d'étanchéité de la buse  soufflante</t>
  </si>
  <si>
    <t>Contrôle des galets de roulement des bras de transfert</t>
  </si>
  <si>
    <t>Contrôle des garnitures de pinces du poste de transfert</t>
  </si>
  <si>
    <t>Contrôle des paliers lisses des pinces de transfert</t>
  </si>
  <si>
    <t>Vérification des flexibles et des raccords de flexibles de la Paroi pneumatique</t>
  </si>
  <si>
    <t>Controler le serrage de tous les boulons et vis (serrer si neccessaire)</t>
  </si>
  <si>
    <t xml:space="preserve"> Controler le serrage de tous les boulons et vis (serrer si neccessaire)</t>
  </si>
  <si>
    <t>Nettoyer le filtre d'air d'alimentation (soufller)</t>
  </si>
  <si>
    <t>Controler la tension du tapis d'évacuation des preformes (trémie preformes)</t>
  </si>
  <si>
    <t>Changer l'eau d'étanchéité d'étanchéité de la pompe à vide</t>
  </si>
  <si>
    <t>Blomax</t>
  </si>
  <si>
    <t>Date:</t>
  </si>
  <si>
    <t>Controler l'état des chemises</t>
  </si>
  <si>
    <t>Laver les chaines des convoyeurs</t>
  </si>
  <si>
    <t xml:space="preserve">Nettoyager les aillettes du chiller </t>
  </si>
  <si>
    <t>Controller le plexiglass protecteur de la chaine de mandrin et sérrer si neccessaire</t>
  </si>
  <si>
    <t>Controler les bagues des tiges de la roue de tete</t>
  </si>
  <si>
    <t>AF COMPRESSOR</t>
  </si>
  <si>
    <t>Faire l'appoint de graisse dans les cartouches de graissage automatique des tiges d'étirage</t>
  </si>
  <si>
    <t>Controler l'état des cartoches filtrantes de la satation Madiba (signaler tout dommage observé)</t>
  </si>
  <si>
    <t>Ouvrir le capot de la roue libre du moteur du tapis à godets et nettoyer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</si>
</sst>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Arial"/>
      <family val="2"/>
    </font>
    <font>
      <sz val="20"/>
      <color theme="1"/>
      <name val="Calibri"/>
      <family val="2"/>
      <scheme val="minor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4"/>
      <color theme="1"/>
      <name val="Times New Roman"/>
      <family val="1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6" fillId="0" borderId="0"/>
    <xf numFmtId="0" fontId="20" fillId="0" borderId="0"/>
  </cellStyleXfs>
  <cellXfs count="99">
    <xf numFmtId="0" fontId="0" fillId="0" borderId="0" xfId="0"/>
    <xf numFmtId="0" fontId="1" fillId="2" borderId="0" xfId="0" applyFont="1" applyFill="1" applyProtection="1">
      <protection locked="0"/>
    </xf>
    <xf numFmtId="0" fontId="5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Protection="1">
      <protection locked="0"/>
    </xf>
    <xf numFmtId="0" fontId="6" fillId="2" borderId="25" xfId="0" applyFont="1" applyFill="1" applyBorder="1" applyProtection="1"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9" fillId="2" borderId="6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Protection="1">
      <protection locked="0"/>
    </xf>
    <xf numFmtId="0" fontId="6" fillId="2" borderId="30" xfId="0" applyFont="1" applyFill="1" applyBorder="1" applyAlignment="1" applyProtection="1">
      <alignment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19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1" fillId="2" borderId="1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6" fillId="2" borderId="38" xfId="0" applyFont="1" applyFill="1" applyBorder="1" applyProtection="1">
      <protection locked="0"/>
    </xf>
    <xf numFmtId="0" fontId="6" fillId="2" borderId="39" xfId="0" applyFont="1" applyFill="1" applyBorder="1" applyAlignment="1" applyProtection="1">
      <alignment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164" fontId="17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18" fillId="2" borderId="14" xfId="0" applyFont="1" applyFill="1" applyBorder="1" applyAlignment="1">
      <alignment horizontal="left" vertical="center" wrapText="1"/>
    </xf>
    <xf numFmtId="164" fontId="21" fillId="0" borderId="36" xfId="2" applyNumberFormat="1" applyFont="1" applyBorder="1" applyAlignment="1" applyProtection="1">
      <alignment horizontal="center" vertical="center" wrapText="1"/>
      <protection locked="0"/>
    </xf>
    <xf numFmtId="0" fontId="19" fillId="2" borderId="20" xfId="0" applyFont="1" applyFill="1" applyBorder="1" applyAlignment="1">
      <alignment horizontal="left" vertical="center" wrapText="1"/>
    </xf>
    <xf numFmtId="0" fontId="19" fillId="0" borderId="20" xfId="0" applyFont="1" applyBorder="1" applyAlignment="1">
      <alignment vertical="center" wrapText="1"/>
    </xf>
    <xf numFmtId="0" fontId="19" fillId="2" borderId="20" xfId="0" applyFont="1" applyFill="1" applyBorder="1" applyAlignment="1">
      <alignment vertical="center" wrapText="1"/>
    </xf>
    <xf numFmtId="0" fontId="13" fillId="3" borderId="41" xfId="0" applyFont="1" applyFill="1" applyBorder="1" applyAlignment="1" applyProtection="1">
      <alignment horizontal="center" vertical="center"/>
      <protection locked="0"/>
    </xf>
    <xf numFmtId="0" fontId="13" fillId="3" borderId="42" xfId="0" applyFont="1" applyFill="1" applyBorder="1" applyAlignment="1" applyProtection="1">
      <alignment horizontal="center" vertical="center"/>
      <protection locked="0"/>
    </xf>
    <xf numFmtId="0" fontId="13" fillId="3" borderId="43" xfId="0" applyFont="1" applyFill="1" applyBorder="1" applyAlignment="1" applyProtection="1">
      <alignment horizontal="center" vertical="center"/>
      <protection locked="0"/>
    </xf>
    <xf numFmtId="0" fontId="14" fillId="3" borderId="26" xfId="0" applyFont="1" applyFill="1" applyBorder="1" applyAlignment="1" applyProtection="1">
      <alignment horizontal="center" vertical="center"/>
      <protection locked="0"/>
    </xf>
    <xf numFmtId="0" fontId="14" fillId="3" borderId="44" xfId="0" applyFont="1" applyFill="1" applyBorder="1" applyAlignment="1" applyProtection="1">
      <alignment horizontal="center" vertical="center"/>
      <protection locked="0"/>
    </xf>
    <xf numFmtId="0" fontId="13" fillId="3" borderId="45" xfId="0" applyFont="1" applyFill="1" applyBorder="1" applyAlignment="1" applyProtection="1">
      <alignment horizontal="center" vertical="center" wrapText="1"/>
      <protection locked="0"/>
    </xf>
    <xf numFmtId="0" fontId="9" fillId="2" borderId="20" xfId="0" applyFont="1" applyFill="1" applyBorder="1" applyAlignment="1" applyProtection="1">
      <alignment vertical="center"/>
      <protection locked="0"/>
    </xf>
    <xf numFmtId="0" fontId="10" fillId="2" borderId="20" xfId="0" applyFont="1" applyFill="1" applyBorder="1" applyAlignment="1" applyProtection="1">
      <alignment horizontal="center" vertical="center"/>
      <protection locked="0"/>
    </xf>
    <xf numFmtId="0" fontId="15" fillId="2" borderId="20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Protection="1">
      <protection locked="0"/>
    </xf>
    <xf numFmtId="164" fontId="21" fillId="0" borderId="36" xfId="2" applyNumberFormat="1" applyFont="1" applyBorder="1" applyAlignment="1" applyProtection="1">
      <alignment horizontal="left" vertical="center" wrapText="1"/>
      <protection locked="0"/>
    </xf>
    <xf numFmtId="0" fontId="19" fillId="2" borderId="14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3" fillId="5" borderId="20" xfId="0" applyFont="1" applyFill="1" applyBorder="1" applyAlignment="1" applyProtection="1">
      <alignment horizontal="center" vertical="center"/>
      <protection locked="0"/>
    </xf>
    <xf numFmtId="0" fontId="15" fillId="2" borderId="20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9" fillId="2" borderId="46" xfId="0" applyFont="1" applyFill="1" applyBorder="1" applyAlignment="1">
      <alignment horizontal="left" vertical="center" wrapText="1"/>
    </xf>
    <xf numFmtId="0" fontId="19" fillId="0" borderId="17" xfId="0" applyFont="1" applyBorder="1" applyAlignment="1">
      <alignment vertical="center" wrapText="1"/>
    </xf>
    <xf numFmtId="0" fontId="19" fillId="2" borderId="17" xfId="0" applyFont="1" applyFill="1" applyBorder="1" applyAlignment="1">
      <alignment horizontal="left" vertical="center" wrapText="1"/>
    </xf>
    <xf numFmtId="0" fontId="22" fillId="2" borderId="46" xfId="0" applyFont="1" applyFill="1" applyBorder="1" applyAlignment="1">
      <alignment horizontal="left" vertical="center" wrapText="1"/>
    </xf>
    <xf numFmtId="0" fontId="18" fillId="2" borderId="4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47" xfId="0" applyFont="1" applyFill="1" applyBorder="1" applyAlignment="1" applyProtection="1">
      <alignment horizontal="center" vertical="center"/>
      <protection hidden="1"/>
    </xf>
    <xf numFmtId="0" fontId="4" fillId="2" borderId="48" xfId="0" applyFont="1" applyFill="1" applyBorder="1" applyAlignment="1" applyProtection="1">
      <alignment horizontal="center" vertical="center"/>
      <protection hidden="1"/>
    </xf>
    <xf numFmtId="0" fontId="4" fillId="2" borderId="48" xfId="0" applyFont="1" applyFill="1" applyBorder="1" applyAlignment="1" applyProtection="1">
      <alignment horizontal="center" vertical="center"/>
      <protection locked="0"/>
    </xf>
    <xf numFmtId="0" fontId="4" fillId="2" borderId="49" xfId="0" applyFont="1" applyFill="1" applyBorder="1" applyAlignment="1" applyProtection="1">
      <alignment horizontal="center" vertical="center"/>
      <protection hidden="1"/>
    </xf>
  </cellXfs>
  <cellStyles count="3">
    <cellStyle name="Normal" xfId="0" builtinId="0"/>
    <cellStyle name="Normal 2 2" xfId="2"/>
    <cellStyle name="Normal 3" xfId="1"/>
  </cellStyles>
  <dxfs count="40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D2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44129" cy="780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557"/>
          <a:ext cx="936625" cy="783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21166</xdr:colOff>
      <xdr:row>3</xdr:row>
      <xdr:rowOff>0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1390"/>
          <a:ext cx="423333" cy="3188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0"/>
  <sheetViews>
    <sheetView view="pageBreakPreview" zoomScale="60" zoomScaleNormal="55" zoomScalePageLayoutView="70" workbookViewId="0">
      <selection activeCell="K11" sqref="K11"/>
    </sheetView>
  </sheetViews>
  <sheetFormatPr baseColWidth="10" defaultColWidth="11.42578125" defaultRowHeight="15" x14ac:dyDescent="0.25"/>
  <cols>
    <col min="1" max="1" width="0.28515625" style="1" customWidth="1"/>
    <col min="2" max="2" width="7.855468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5.425781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48"/>
    </row>
    <row r="4" spans="2:7" ht="24" thickBot="1" x14ac:dyDescent="0.3">
      <c r="B4" s="14"/>
      <c r="C4" s="15" t="s">
        <v>119</v>
      </c>
      <c r="D4" s="71" t="s">
        <v>40</v>
      </c>
      <c r="E4" s="72"/>
      <c r="F4" s="72"/>
      <c r="G4" s="32" t="s">
        <v>42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20.25" x14ac:dyDescent="0.25">
      <c r="B8" s="5">
        <v>1</v>
      </c>
      <c r="C8" s="47" t="s">
        <v>100</v>
      </c>
      <c r="D8" s="21"/>
      <c r="E8" s="19"/>
      <c r="F8" s="20"/>
      <c r="G8" s="33"/>
    </row>
    <row r="9" spans="2:7" s="4" customFormat="1" ht="20.25" x14ac:dyDescent="0.25">
      <c r="B9" s="6">
        <f>B8+1</f>
        <v>2</v>
      </c>
      <c r="C9" s="47" t="s">
        <v>109</v>
      </c>
      <c r="D9" s="21"/>
      <c r="E9" s="19"/>
      <c r="F9" s="20"/>
      <c r="G9" s="33"/>
    </row>
    <row r="10" spans="2:7" s="4" customFormat="1" ht="20.25" x14ac:dyDescent="0.25">
      <c r="B10" s="37">
        <f>+B9+1</f>
        <v>3</v>
      </c>
      <c r="C10" s="38"/>
      <c r="D10" s="21"/>
      <c r="E10" s="19"/>
      <c r="F10" s="20"/>
      <c r="G10" s="33"/>
    </row>
    <row r="11" spans="2:7" s="4" customFormat="1" ht="20.25" x14ac:dyDescent="0.25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20.25" x14ac:dyDescent="0.25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20.25" x14ac:dyDescent="0.25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21" thickBot="1" x14ac:dyDescent="0.3">
      <c r="B14" s="37">
        <f t="shared" ref="B14" si="3">+B13+1</f>
        <v>7</v>
      </c>
      <c r="C14" s="38"/>
      <c r="D14" s="21"/>
      <c r="E14" s="19"/>
      <c r="F14" s="20"/>
      <c r="G14" s="33"/>
    </row>
    <row r="15" spans="2:7" s="12" customFormat="1" ht="18.75" thickBot="1" x14ac:dyDescent="0.3">
      <c r="B15" s="75" t="s">
        <v>13</v>
      </c>
      <c r="C15" s="76"/>
      <c r="D15" s="77" t="s">
        <v>7</v>
      </c>
      <c r="E15" s="78"/>
      <c r="F15" s="79"/>
      <c r="G15" s="24" t="s">
        <v>8</v>
      </c>
    </row>
    <row r="16" spans="2:7" x14ac:dyDescent="0.25">
      <c r="B16" s="80"/>
      <c r="C16" s="81"/>
      <c r="D16" s="81"/>
      <c r="E16" s="81"/>
      <c r="F16" s="81"/>
      <c r="G16" s="65"/>
    </row>
    <row r="17" spans="2:7" x14ac:dyDescent="0.25">
      <c r="B17" s="82"/>
      <c r="C17" s="83"/>
      <c r="D17" s="83"/>
      <c r="E17" s="83"/>
      <c r="F17" s="83"/>
      <c r="G17" s="66"/>
    </row>
    <row r="18" spans="2:7" x14ac:dyDescent="0.25">
      <c r="B18" s="82"/>
      <c r="C18" s="83"/>
      <c r="D18" s="83"/>
      <c r="E18" s="83"/>
      <c r="F18" s="83"/>
      <c r="G18" s="66"/>
    </row>
    <row r="19" spans="2:7" x14ac:dyDescent="0.25">
      <c r="B19" s="82"/>
      <c r="C19" s="83"/>
      <c r="D19" s="83"/>
      <c r="E19" s="83"/>
      <c r="F19" s="83"/>
      <c r="G19" s="66"/>
    </row>
    <row r="20" spans="2:7" ht="15.75" thickBot="1" x14ac:dyDescent="0.3">
      <c r="B20" s="84"/>
      <c r="C20" s="85"/>
      <c r="D20" s="85"/>
      <c r="E20" s="85"/>
      <c r="F20" s="85"/>
      <c r="G20" s="67"/>
    </row>
  </sheetData>
  <sheetProtection selectLockedCells="1"/>
  <mergeCells count="8">
    <mergeCell ref="G16:G20"/>
    <mergeCell ref="B3:F3"/>
    <mergeCell ref="D4:F4"/>
    <mergeCell ref="E6:F6"/>
    <mergeCell ref="B15:C15"/>
    <mergeCell ref="D15:F15"/>
    <mergeCell ref="B16:C20"/>
    <mergeCell ref="D16:F20"/>
  </mergeCells>
  <conditionalFormatting sqref="D8:D14">
    <cfRule type="cellIs" dxfId="39" priority="1" operator="equal">
      <formula>3</formula>
    </cfRule>
    <cfRule type="cellIs" dxfId="3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9"/>
  <sheetViews>
    <sheetView view="pageBreakPreview" topLeftCell="A7" zoomScale="85" zoomScaleNormal="55" zoomScaleSheetLayoutView="85" zoomScalePageLayoutView="70" workbookViewId="0">
      <selection activeCell="G17" sqref="G17"/>
    </sheetView>
  </sheetViews>
  <sheetFormatPr baseColWidth="10" defaultColWidth="11.42578125" defaultRowHeight="15" x14ac:dyDescent="0.25"/>
  <cols>
    <col min="1" max="1" width="0.28515625" style="1" customWidth="1"/>
    <col min="2" max="2" width="7.855468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5.425781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62" t="s">
        <v>113</v>
      </c>
    </row>
    <row r="4" spans="2:7" ht="24" thickBot="1" x14ac:dyDescent="0.3">
      <c r="B4" s="14"/>
      <c r="C4" s="15" t="s">
        <v>112</v>
      </c>
      <c r="D4" s="71" t="s">
        <v>40</v>
      </c>
      <c r="E4" s="72"/>
      <c r="F4" s="72"/>
      <c r="G4" s="32" t="s">
        <v>42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 x14ac:dyDescent="0.25">
      <c r="B8" s="37">
        <v>1</v>
      </c>
      <c r="C8" s="50" t="s">
        <v>102</v>
      </c>
      <c r="D8" s="21"/>
      <c r="E8" s="19"/>
      <c r="F8" s="20"/>
      <c r="G8" s="33"/>
    </row>
    <row r="9" spans="2:7" s="4" customFormat="1" ht="18.75" x14ac:dyDescent="0.25">
      <c r="B9" s="37">
        <v>2</v>
      </c>
      <c r="C9" s="50" t="s">
        <v>51</v>
      </c>
      <c r="D9" s="21"/>
      <c r="E9" s="19"/>
      <c r="F9" s="20"/>
      <c r="G9" s="33"/>
    </row>
    <row r="10" spans="2:7" s="4" customFormat="1" ht="18.75" x14ac:dyDescent="0.25">
      <c r="B10" s="37">
        <v>3</v>
      </c>
      <c r="C10" s="50" t="s">
        <v>52</v>
      </c>
      <c r="D10" s="21"/>
      <c r="E10" s="19"/>
      <c r="F10" s="20"/>
      <c r="G10" s="33"/>
    </row>
    <row r="11" spans="2:7" s="4" customFormat="1" ht="18.75" x14ac:dyDescent="0.25">
      <c r="B11" s="37">
        <v>4</v>
      </c>
      <c r="C11" s="50" t="s">
        <v>53</v>
      </c>
      <c r="D11" s="21"/>
      <c r="E11" s="19"/>
      <c r="F11" s="20"/>
      <c r="G11" s="33"/>
    </row>
    <row r="12" spans="2:7" s="4" customFormat="1" ht="18.75" x14ac:dyDescent="0.25">
      <c r="B12" s="37">
        <v>5</v>
      </c>
      <c r="C12" s="50" t="s">
        <v>49</v>
      </c>
      <c r="D12" s="21"/>
      <c r="E12" s="19"/>
      <c r="F12" s="20"/>
      <c r="G12" s="33"/>
    </row>
    <row r="13" spans="2:7" s="4" customFormat="1" ht="18.75" x14ac:dyDescent="0.25">
      <c r="B13" s="37">
        <v>6</v>
      </c>
      <c r="C13" s="50" t="s">
        <v>50</v>
      </c>
      <c r="D13" s="21"/>
      <c r="E13" s="19"/>
      <c r="F13" s="20"/>
      <c r="G13" s="33"/>
    </row>
    <row r="14" spans="2:7" s="4" customFormat="1" ht="18.75" x14ac:dyDescent="0.25">
      <c r="B14" s="37">
        <v>7</v>
      </c>
      <c r="C14" s="50" t="s">
        <v>103</v>
      </c>
      <c r="D14" s="21"/>
      <c r="E14" s="19"/>
      <c r="F14" s="20"/>
      <c r="G14" s="33"/>
    </row>
    <row r="15" spans="2:7" s="4" customFormat="1" ht="18.75" x14ac:dyDescent="0.25">
      <c r="B15" s="37">
        <v>8</v>
      </c>
      <c r="C15" s="50" t="s">
        <v>104</v>
      </c>
      <c r="D15" s="21"/>
      <c r="E15" s="19"/>
      <c r="F15" s="20"/>
      <c r="G15" s="50"/>
    </row>
    <row r="16" spans="2:7" s="4" customFormat="1" ht="18.75" x14ac:dyDescent="0.25">
      <c r="B16" s="37">
        <v>9</v>
      </c>
      <c r="C16" s="50" t="s">
        <v>118</v>
      </c>
      <c r="D16" s="21"/>
      <c r="E16" s="19"/>
      <c r="F16" s="20"/>
      <c r="G16" s="33"/>
    </row>
    <row r="17" spans="2:7" s="4" customFormat="1" ht="18.75" x14ac:dyDescent="0.25">
      <c r="B17" s="37">
        <v>10</v>
      </c>
      <c r="C17" s="50" t="s">
        <v>105</v>
      </c>
      <c r="D17" s="21"/>
      <c r="E17" s="19"/>
      <c r="F17" s="20"/>
      <c r="G17" s="33"/>
    </row>
    <row r="18" spans="2:7" s="4" customFormat="1" ht="18.75" x14ac:dyDescent="0.25">
      <c r="B18" s="37">
        <v>11</v>
      </c>
      <c r="C18" s="50" t="s">
        <v>106</v>
      </c>
      <c r="D18" s="21"/>
      <c r="E18" s="19"/>
      <c r="F18" s="20"/>
      <c r="G18" s="33"/>
    </row>
    <row r="19" spans="2:7" s="4" customFormat="1" ht="18.75" x14ac:dyDescent="0.25">
      <c r="B19" s="37">
        <v>12</v>
      </c>
      <c r="C19" s="50" t="s">
        <v>110</v>
      </c>
      <c r="D19" s="21"/>
      <c r="E19" s="19"/>
      <c r="F19" s="20"/>
      <c r="G19" s="33"/>
    </row>
    <row r="20" spans="2:7" s="4" customFormat="1" ht="18.75" x14ac:dyDescent="0.25">
      <c r="B20" s="37">
        <v>13</v>
      </c>
      <c r="C20" s="49" t="s">
        <v>107</v>
      </c>
      <c r="D20" s="21"/>
      <c r="E20" s="19"/>
      <c r="F20" s="20"/>
      <c r="G20" s="33"/>
    </row>
    <row r="21" spans="2:7" s="4" customFormat="1" ht="18.75" x14ac:dyDescent="0.25">
      <c r="B21" s="37">
        <v>14</v>
      </c>
      <c r="C21" s="63" t="s">
        <v>116</v>
      </c>
      <c r="D21" s="21"/>
      <c r="E21" s="19"/>
      <c r="F21" s="20"/>
      <c r="G21" s="33"/>
    </row>
    <row r="22" spans="2:7" s="4" customFormat="1" ht="18.75" x14ac:dyDescent="0.25">
      <c r="B22" s="37">
        <v>15</v>
      </c>
      <c r="C22" s="64" t="s">
        <v>117</v>
      </c>
      <c r="D22" s="21"/>
      <c r="E22" s="19"/>
      <c r="F22" s="20"/>
      <c r="G22" s="33"/>
    </row>
    <row r="23" spans="2:7" s="4" customFormat="1" ht="30.75" thickBot="1" x14ac:dyDescent="0.3">
      <c r="B23" s="37">
        <v>16</v>
      </c>
      <c r="C23" s="64" t="s">
        <v>120</v>
      </c>
      <c r="D23" s="21"/>
      <c r="E23" s="19"/>
      <c r="F23" s="20"/>
      <c r="G23" s="33"/>
    </row>
    <row r="24" spans="2:7" s="12" customFormat="1" ht="18.75" thickBot="1" x14ac:dyDescent="0.3">
      <c r="B24" s="75" t="s">
        <v>13</v>
      </c>
      <c r="C24" s="76"/>
      <c r="D24" s="77" t="s">
        <v>7</v>
      </c>
      <c r="E24" s="78"/>
      <c r="F24" s="79"/>
      <c r="G24" s="24" t="s">
        <v>8</v>
      </c>
    </row>
    <row r="25" spans="2:7" x14ac:dyDescent="0.25">
      <c r="B25" s="80"/>
      <c r="C25" s="81"/>
      <c r="D25" s="81"/>
      <c r="E25" s="81"/>
      <c r="F25" s="81"/>
      <c r="G25" s="65"/>
    </row>
    <row r="26" spans="2:7" x14ac:dyDescent="0.25">
      <c r="B26" s="82"/>
      <c r="C26" s="83"/>
      <c r="D26" s="83"/>
      <c r="E26" s="83"/>
      <c r="F26" s="83"/>
      <c r="G26" s="66"/>
    </row>
    <row r="27" spans="2:7" x14ac:dyDescent="0.25">
      <c r="B27" s="82"/>
      <c r="C27" s="83"/>
      <c r="D27" s="83"/>
      <c r="E27" s="83"/>
      <c r="F27" s="83"/>
      <c r="G27" s="66"/>
    </row>
    <row r="28" spans="2:7" x14ac:dyDescent="0.25">
      <c r="B28" s="82"/>
      <c r="C28" s="83"/>
      <c r="D28" s="83"/>
      <c r="E28" s="83"/>
      <c r="F28" s="83"/>
      <c r="G28" s="66"/>
    </row>
    <row r="29" spans="2:7" ht="15.75" thickBot="1" x14ac:dyDescent="0.3">
      <c r="B29" s="84"/>
      <c r="C29" s="85"/>
      <c r="D29" s="85"/>
      <c r="E29" s="85"/>
      <c r="F29" s="85"/>
      <c r="G29" s="67"/>
    </row>
  </sheetData>
  <sheetProtection selectLockedCells="1"/>
  <mergeCells count="8">
    <mergeCell ref="B25:C29"/>
    <mergeCell ref="D25:F29"/>
    <mergeCell ref="G25:G29"/>
    <mergeCell ref="E6:F6"/>
    <mergeCell ref="B3:F3"/>
    <mergeCell ref="D4:F4"/>
    <mergeCell ref="B24:C24"/>
    <mergeCell ref="D24:F24"/>
  </mergeCells>
  <conditionalFormatting sqref="D8:D23">
    <cfRule type="cellIs" dxfId="37" priority="3" operator="equal">
      <formula>3</formula>
    </cfRule>
    <cfRule type="cellIs" dxfId="36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5"/>
  <sheetViews>
    <sheetView tabSelected="1" view="pageBreakPreview" topLeftCell="A7" zoomScale="90" zoomScaleNormal="55" zoomScaleSheetLayoutView="90" zoomScalePageLayoutView="70" workbookViewId="0">
      <selection activeCell="C10" sqref="C1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62" t="s">
        <v>113</v>
      </c>
    </row>
    <row r="4" spans="2:7" ht="24" thickBot="1" x14ac:dyDescent="0.3">
      <c r="B4" s="14"/>
      <c r="C4" s="15" t="s">
        <v>16</v>
      </c>
      <c r="D4" s="71" t="s">
        <v>40</v>
      </c>
      <c r="E4" s="72"/>
      <c r="F4" s="72"/>
      <c r="G4" s="32" t="s">
        <v>42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 x14ac:dyDescent="0.25">
      <c r="B8" s="94">
        <v>1</v>
      </c>
      <c r="C8" s="90" t="s">
        <v>93</v>
      </c>
      <c r="D8" s="21"/>
      <c r="E8" s="19"/>
      <c r="F8" s="20"/>
      <c r="G8" s="33"/>
    </row>
    <row r="9" spans="2:7" s="4" customFormat="1" ht="19.5" thickBot="1" x14ac:dyDescent="0.3">
      <c r="B9" s="95">
        <v>2</v>
      </c>
      <c r="C9" s="90" t="s">
        <v>94</v>
      </c>
      <c r="D9" s="21"/>
      <c r="E9" s="19"/>
      <c r="F9" s="20"/>
      <c r="G9" s="33"/>
    </row>
    <row r="10" spans="2:7" s="4" customFormat="1" ht="18.75" x14ac:dyDescent="0.25">
      <c r="B10" s="94">
        <v>3</v>
      </c>
      <c r="C10" s="90" t="s">
        <v>95</v>
      </c>
      <c r="D10" s="21"/>
      <c r="E10" s="19"/>
      <c r="F10" s="20"/>
      <c r="G10" s="33"/>
    </row>
    <row r="11" spans="2:7" s="4" customFormat="1" ht="19.5" thickBot="1" x14ac:dyDescent="0.3">
      <c r="B11" s="95">
        <v>4</v>
      </c>
      <c r="C11" s="90" t="s">
        <v>96</v>
      </c>
      <c r="D11" s="21"/>
      <c r="E11" s="19"/>
      <c r="F11" s="20"/>
      <c r="G11" s="33"/>
    </row>
    <row r="12" spans="2:7" s="4" customFormat="1" ht="18.75" x14ac:dyDescent="0.25">
      <c r="B12" s="94">
        <v>5</v>
      </c>
      <c r="C12" s="90" t="s">
        <v>41</v>
      </c>
      <c r="D12" s="21"/>
      <c r="E12" s="19"/>
      <c r="F12" s="20"/>
      <c r="G12" s="33"/>
    </row>
    <row r="13" spans="2:7" s="4" customFormat="1" ht="18.75" x14ac:dyDescent="0.25">
      <c r="B13" s="96">
        <v>6</v>
      </c>
      <c r="C13" s="90" t="s">
        <v>97</v>
      </c>
      <c r="D13" s="21"/>
      <c r="E13" s="19"/>
      <c r="F13" s="20"/>
      <c r="G13" s="33"/>
    </row>
    <row r="14" spans="2:7" s="4" customFormat="1" ht="18.75" x14ac:dyDescent="0.25">
      <c r="B14" s="97">
        <v>7</v>
      </c>
      <c r="C14" s="90" t="s">
        <v>98</v>
      </c>
      <c r="D14" s="21"/>
      <c r="E14" s="19"/>
      <c r="F14" s="20"/>
      <c r="G14" s="33"/>
    </row>
    <row r="15" spans="2:7" s="4" customFormat="1" ht="18.75" x14ac:dyDescent="0.25">
      <c r="B15" s="96">
        <v>8</v>
      </c>
      <c r="C15" s="91" t="s">
        <v>107</v>
      </c>
      <c r="D15" s="21"/>
      <c r="E15" s="19"/>
      <c r="F15" s="20"/>
      <c r="G15" s="33"/>
    </row>
    <row r="16" spans="2:7" s="4" customFormat="1" ht="18.75" x14ac:dyDescent="0.25">
      <c r="B16" s="97">
        <v>9</v>
      </c>
      <c r="C16" s="89" t="s">
        <v>122</v>
      </c>
      <c r="D16" s="21"/>
      <c r="E16" s="19"/>
      <c r="F16" s="20"/>
      <c r="G16" s="33"/>
    </row>
    <row r="17" spans="2:7" s="4" customFormat="1" ht="19.5" thickBot="1" x14ac:dyDescent="0.3">
      <c r="B17" s="95">
        <v>10</v>
      </c>
      <c r="C17" s="89" t="s">
        <v>114</v>
      </c>
      <c r="D17" s="21"/>
      <c r="E17" s="19"/>
      <c r="F17" s="20"/>
      <c r="G17" s="33"/>
    </row>
    <row r="18" spans="2:7" s="4" customFormat="1" ht="37.5" x14ac:dyDescent="0.25">
      <c r="B18" s="94">
        <v>11</v>
      </c>
      <c r="C18" s="92" t="s">
        <v>121</v>
      </c>
      <c r="D18" s="21"/>
      <c r="E18" s="19"/>
      <c r="F18" s="20"/>
      <c r="G18" s="33"/>
    </row>
    <row r="19" spans="2:7" s="4" customFormat="1" ht="21" thickBot="1" x14ac:dyDescent="0.3">
      <c r="B19" s="98">
        <v>12</v>
      </c>
      <c r="C19" s="93"/>
      <c r="D19" s="21"/>
      <c r="E19" s="19"/>
      <c r="F19" s="20"/>
      <c r="G19" s="33"/>
    </row>
    <row r="20" spans="2:7" ht="18.75" thickBot="1" x14ac:dyDescent="0.3">
      <c r="B20" s="75" t="s">
        <v>13</v>
      </c>
      <c r="C20" s="76"/>
      <c r="D20" s="77" t="s">
        <v>7</v>
      </c>
      <c r="E20" s="78"/>
      <c r="F20" s="79"/>
      <c r="G20" s="24" t="s">
        <v>8</v>
      </c>
    </row>
    <row r="21" spans="2:7" x14ac:dyDescent="0.25">
      <c r="B21" s="80"/>
      <c r="C21" s="81"/>
      <c r="D21" s="81"/>
      <c r="E21" s="81"/>
      <c r="F21" s="81"/>
      <c r="G21" s="65"/>
    </row>
    <row r="22" spans="2:7" x14ac:dyDescent="0.25">
      <c r="B22" s="82"/>
      <c r="C22" s="83"/>
      <c r="D22" s="83"/>
      <c r="E22" s="83"/>
      <c r="F22" s="83"/>
      <c r="G22" s="66"/>
    </row>
    <row r="23" spans="2:7" x14ac:dyDescent="0.25">
      <c r="B23" s="82"/>
      <c r="C23" s="83"/>
      <c r="D23" s="83"/>
      <c r="E23" s="83"/>
      <c r="F23" s="83"/>
      <c r="G23" s="66"/>
    </row>
    <row r="24" spans="2:7" x14ac:dyDescent="0.25">
      <c r="B24" s="82"/>
      <c r="C24" s="83"/>
      <c r="D24" s="83"/>
      <c r="E24" s="83"/>
      <c r="F24" s="83"/>
      <c r="G24" s="66"/>
    </row>
    <row r="25" spans="2:7" ht="15.75" thickBot="1" x14ac:dyDescent="0.3">
      <c r="B25" s="84"/>
      <c r="C25" s="85"/>
      <c r="D25" s="85"/>
      <c r="E25" s="85"/>
      <c r="F25" s="85"/>
      <c r="G25" s="67"/>
    </row>
  </sheetData>
  <sheetProtection selectLockedCells="1"/>
  <mergeCells count="8">
    <mergeCell ref="G21:G25"/>
    <mergeCell ref="B3:F3"/>
    <mergeCell ref="D4:F4"/>
    <mergeCell ref="E6:F6"/>
    <mergeCell ref="B20:C20"/>
    <mergeCell ref="D20:F20"/>
    <mergeCell ref="B21:C25"/>
    <mergeCell ref="D21:F25"/>
  </mergeCells>
  <conditionalFormatting sqref="D8:D19">
    <cfRule type="cellIs" dxfId="35" priority="1" operator="equal">
      <formula>3</formula>
    </cfRule>
    <cfRule type="cellIs" dxfId="34" priority="2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3:G22"/>
  <sheetViews>
    <sheetView view="pageBreakPreview" topLeftCell="B1" zoomScale="80" zoomScaleNormal="90" zoomScaleSheetLayoutView="80" workbookViewId="0">
      <selection activeCell="C8" sqref="C8:C18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3" spans="2:7" ht="26.25" x14ac:dyDescent="0.25">
      <c r="B3" s="86" t="s">
        <v>11</v>
      </c>
      <c r="C3" s="86"/>
      <c r="D3" s="86"/>
      <c r="E3" s="86"/>
      <c r="F3" s="86"/>
      <c r="G3" s="62" t="s">
        <v>113</v>
      </c>
    </row>
    <row r="4" spans="2:7" ht="23.25" x14ac:dyDescent="0.25">
      <c r="B4" s="58"/>
      <c r="C4" s="59" t="s">
        <v>54</v>
      </c>
      <c r="D4" s="87" t="s">
        <v>40</v>
      </c>
      <c r="E4" s="87"/>
      <c r="F4" s="87"/>
      <c r="G4" s="60" t="s">
        <v>42</v>
      </c>
    </row>
    <row r="5" spans="2:7" ht="18" x14ac:dyDescent="0.25">
      <c r="B5" s="61"/>
      <c r="C5" s="61"/>
      <c r="D5" s="61"/>
      <c r="E5" s="88" t="s">
        <v>0</v>
      </c>
      <c r="F5" s="88"/>
      <c r="G5" s="61"/>
    </row>
    <row r="6" spans="2:7" s="4" customFormat="1" ht="16.5" thickBot="1" x14ac:dyDescent="0.3">
      <c r="B6" s="52" t="s">
        <v>1</v>
      </c>
      <c r="C6" s="53" t="s">
        <v>2</v>
      </c>
      <c r="D6" s="54" t="s">
        <v>3</v>
      </c>
      <c r="E6" s="55" t="s">
        <v>4</v>
      </c>
      <c r="F6" s="56" t="s">
        <v>5</v>
      </c>
      <c r="G6" s="57" t="s">
        <v>6</v>
      </c>
    </row>
    <row r="7" spans="2:7" s="4" customFormat="1" ht="18.75" x14ac:dyDescent="0.25">
      <c r="B7" s="5">
        <v>1</v>
      </c>
      <c r="C7" s="50" t="s">
        <v>55</v>
      </c>
      <c r="D7" s="21"/>
      <c r="E7" s="19"/>
      <c r="F7" s="20"/>
      <c r="G7" s="33"/>
    </row>
    <row r="8" spans="2:7" s="4" customFormat="1" ht="18.75" x14ac:dyDescent="0.25">
      <c r="B8" s="6">
        <f>B7+1</f>
        <v>2</v>
      </c>
      <c r="C8" s="50" t="s">
        <v>56</v>
      </c>
      <c r="D8" s="21"/>
      <c r="E8" s="19"/>
      <c r="F8" s="20"/>
      <c r="G8" s="33"/>
    </row>
    <row r="9" spans="2:7" s="4" customFormat="1" ht="18.75" x14ac:dyDescent="0.25">
      <c r="B9" s="37">
        <f>+B8+1</f>
        <v>3</v>
      </c>
      <c r="C9" s="50" t="s">
        <v>57</v>
      </c>
      <c r="D9" s="21"/>
      <c r="E9" s="19"/>
      <c r="F9" s="20"/>
      <c r="G9" s="33"/>
    </row>
    <row r="10" spans="2:7" s="4" customFormat="1" ht="18.75" x14ac:dyDescent="0.25">
      <c r="B10" s="6">
        <f t="shared" ref="B10" si="0">B9+1</f>
        <v>4</v>
      </c>
      <c r="C10" s="50" t="s">
        <v>43</v>
      </c>
      <c r="D10" s="21"/>
      <c r="E10" s="19"/>
      <c r="F10" s="20"/>
      <c r="G10" s="33"/>
    </row>
    <row r="11" spans="2:7" s="4" customFormat="1" ht="18.75" x14ac:dyDescent="0.25">
      <c r="B11" s="37">
        <f t="shared" ref="B11" si="1">+B10+1</f>
        <v>5</v>
      </c>
      <c r="C11" s="50" t="s">
        <v>58</v>
      </c>
      <c r="D11" s="21"/>
      <c r="E11" s="19"/>
      <c r="F11" s="20"/>
      <c r="G11" s="33"/>
    </row>
    <row r="12" spans="2:7" s="4" customFormat="1" ht="31.5" x14ac:dyDescent="0.25">
      <c r="B12" s="6">
        <f t="shared" ref="B12:B16" si="2">B11+1</f>
        <v>6</v>
      </c>
      <c r="C12" s="50" t="s">
        <v>59</v>
      </c>
      <c r="D12" s="21"/>
      <c r="E12" s="19"/>
      <c r="F12" s="20"/>
      <c r="G12" s="33"/>
    </row>
    <row r="13" spans="2:7" s="4" customFormat="1" ht="18.75" x14ac:dyDescent="0.25">
      <c r="B13" s="6">
        <f t="shared" si="2"/>
        <v>7</v>
      </c>
      <c r="C13" s="50" t="s">
        <v>101</v>
      </c>
      <c r="D13" s="21"/>
      <c r="E13" s="19"/>
      <c r="F13" s="20"/>
      <c r="G13" s="33"/>
    </row>
    <row r="14" spans="2:7" s="4" customFormat="1" ht="18.75" x14ac:dyDescent="0.25">
      <c r="B14" s="37">
        <f t="shared" ref="B14" si="3">+B13+1</f>
        <v>8</v>
      </c>
      <c r="C14" s="50" t="s">
        <v>107</v>
      </c>
      <c r="D14" s="21"/>
      <c r="E14" s="19"/>
      <c r="F14" s="20"/>
      <c r="G14" s="33"/>
    </row>
    <row r="15" spans="2:7" s="4" customFormat="1" ht="18.75" x14ac:dyDescent="0.25">
      <c r="B15" s="6">
        <f t="shared" si="2"/>
        <v>9</v>
      </c>
      <c r="C15" s="51" t="s">
        <v>111</v>
      </c>
      <c r="D15" s="21"/>
      <c r="E15" s="19"/>
      <c r="F15" s="20"/>
      <c r="G15" s="33"/>
    </row>
    <row r="16" spans="2:7" s="4" customFormat="1" ht="19.5" thickBot="1" x14ac:dyDescent="0.3">
      <c r="B16" s="6">
        <f t="shared" si="2"/>
        <v>10</v>
      </c>
      <c r="C16" s="51"/>
      <c r="D16" s="21"/>
      <c r="E16" s="19"/>
      <c r="F16" s="20"/>
      <c r="G16" s="33"/>
    </row>
    <row r="17" spans="2:7" ht="18.75" thickBot="1" x14ac:dyDescent="0.3">
      <c r="B17" s="75" t="s">
        <v>13</v>
      </c>
      <c r="C17" s="76"/>
      <c r="D17" s="77" t="s">
        <v>7</v>
      </c>
      <c r="E17" s="78"/>
      <c r="F17" s="79"/>
      <c r="G17" s="24" t="s">
        <v>8</v>
      </c>
    </row>
    <row r="18" spans="2:7" x14ac:dyDescent="0.25">
      <c r="B18" s="80"/>
      <c r="C18" s="81"/>
      <c r="D18" s="81"/>
      <c r="E18" s="81"/>
      <c r="F18" s="81"/>
      <c r="G18" s="65"/>
    </row>
    <row r="19" spans="2:7" x14ac:dyDescent="0.25">
      <c r="B19" s="82"/>
      <c r="C19" s="83"/>
      <c r="D19" s="83"/>
      <c r="E19" s="83"/>
      <c r="F19" s="83"/>
      <c r="G19" s="66"/>
    </row>
    <row r="20" spans="2:7" x14ac:dyDescent="0.25">
      <c r="B20" s="82"/>
      <c r="C20" s="83"/>
      <c r="D20" s="83"/>
      <c r="E20" s="83"/>
      <c r="F20" s="83"/>
      <c r="G20" s="66"/>
    </row>
    <row r="21" spans="2:7" x14ac:dyDescent="0.25">
      <c r="B21" s="82"/>
      <c r="C21" s="83"/>
      <c r="D21" s="83"/>
      <c r="E21" s="83"/>
      <c r="F21" s="83"/>
      <c r="G21" s="66"/>
    </row>
    <row r="22" spans="2:7" ht="15.75" thickBot="1" x14ac:dyDescent="0.3">
      <c r="B22" s="84"/>
      <c r="C22" s="85"/>
      <c r="D22" s="85"/>
      <c r="E22" s="85"/>
      <c r="F22" s="85"/>
      <c r="G22" s="67"/>
    </row>
  </sheetData>
  <mergeCells count="8">
    <mergeCell ref="G18:G22"/>
    <mergeCell ref="B3:F3"/>
    <mergeCell ref="D4:F4"/>
    <mergeCell ref="E5:F5"/>
    <mergeCell ref="B17:C17"/>
    <mergeCell ref="D17:F17"/>
    <mergeCell ref="B18:C22"/>
    <mergeCell ref="D18:F22"/>
  </mergeCells>
  <conditionalFormatting sqref="D7:D16">
    <cfRule type="cellIs" dxfId="33" priority="1" operator="equal">
      <formula>3</formula>
    </cfRule>
    <cfRule type="cellIs" dxfId="32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9"/>
  <sheetViews>
    <sheetView view="pageBreakPreview" topLeftCell="B1" zoomScaleNormal="55" zoomScaleSheetLayoutView="100" zoomScalePageLayoutView="70" workbookViewId="0">
      <selection activeCell="C8" sqref="C8:C18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62" t="s">
        <v>113</v>
      </c>
    </row>
    <row r="4" spans="2:7" ht="24" thickBot="1" x14ac:dyDescent="0.3">
      <c r="B4" s="14"/>
      <c r="C4" s="15" t="s">
        <v>17</v>
      </c>
      <c r="D4" s="71" t="s">
        <v>40</v>
      </c>
      <c r="E4" s="72"/>
      <c r="F4" s="72"/>
      <c r="G4" s="32" t="s">
        <v>42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24" customHeight="1" x14ac:dyDescent="0.25">
      <c r="B8" s="5">
        <v>1</v>
      </c>
      <c r="C8" s="50" t="s">
        <v>60</v>
      </c>
      <c r="D8" s="21"/>
      <c r="E8" s="19"/>
      <c r="F8" s="20"/>
      <c r="G8" s="33"/>
    </row>
    <row r="9" spans="2:7" s="4" customFormat="1" ht="19.5" thickBot="1" x14ac:dyDescent="0.3">
      <c r="B9" s="6">
        <v>2</v>
      </c>
      <c r="C9" s="50" t="s">
        <v>61</v>
      </c>
      <c r="D9" s="21"/>
      <c r="E9" s="19"/>
      <c r="F9" s="20"/>
      <c r="G9" s="33"/>
    </row>
    <row r="10" spans="2:7" s="4" customFormat="1" ht="18.75" x14ac:dyDescent="0.25">
      <c r="B10" s="5">
        <v>3</v>
      </c>
      <c r="C10" s="50" t="s">
        <v>62</v>
      </c>
      <c r="D10" s="21"/>
      <c r="E10" s="19"/>
      <c r="F10" s="20"/>
      <c r="G10" s="33"/>
    </row>
    <row r="11" spans="2:7" s="4" customFormat="1" ht="19.5" thickBot="1" x14ac:dyDescent="0.3">
      <c r="B11" s="6">
        <v>4</v>
      </c>
      <c r="C11" s="49" t="s">
        <v>107</v>
      </c>
      <c r="D11" s="21"/>
      <c r="E11" s="19"/>
      <c r="F11" s="20"/>
      <c r="G11" s="33"/>
    </row>
    <row r="12" spans="2:7" s="4" customFormat="1" ht="20.25" x14ac:dyDescent="0.25">
      <c r="B12" s="5">
        <v>5</v>
      </c>
      <c r="C12" s="47"/>
      <c r="D12" s="21"/>
      <c r="E12" s="19"/>
      <c r="F12" s="20"/>
      <c r="G12" s="33"/>
    </row>
    <row r="13" spans="2:7" s="4" customFormat="1" ht="21" thickBot="1" x14ac:dyDescent="0.3">
      <c r="B13" s="6">
        <v>6</v>
      </c>
      <c r="C13" s="47"/>
      <c r="D13" s="21"/>
      <c r="E13" s="19"/>
      <c r="F13" s="20"/>
      <c r="G13" s="33"/>
    </row>
    <row r="14" spans="2:7" ht="18.75" thickBot="1" x14ac:dyDescent="0.3">
      <c r="B14" s="75" t="s">
        <v>13</v>
      </c>
      <c r="C14" s="76"/>
      <c r="D14" s="77" t="s">
        <v>7</v>
      </c>
      <c r="E14" s="78"/>
      <c r="F14" s="79"/>
      <c r="G14" s="24" t="s">
        <v>8</v>
      </c>
    </row>
    <row r="15" spans="2:7" x14ac:dyDescent="0.25">
      <c r="B15" s="80"/>
      <c r="C15" s="81"/>
      <c r="D15" s="81"/>
      <c r="E15" s="81"/>
      <c r="F15" s="81"/>
      <c r="G15" s="65"/>
    </row>
    <row r="16" spans="2:7" x14ac:dyDescent="0.25">
      <c r="B16" s="82"/>
      <c r="C16" s="83"/>
      <c r="D16" s="83"/>
      <c r="E16" s="83"/>
      <c r="F16" s="83"/>
      <c r="G16" s="66"/>
    </row>
    <row r="17" spans="2:7" x14ac:dyDescent="0.25">
      <c r="B17" s="82"/>
      <c r="C17" s="83"/>
      <c r="D17" s="83"/>
      <c r="E17" s="83"/>
      <c r="F17" s="83"/>
      <c r="G17" s="66"/>
    </row>
    <row r="18" spans="2:7" x14ac:dyDescent="0.25">
      <c r="B18" s="82"/>
      <c r="C18" s="83"/>
      <c r="D18" s="83"/>
      <c r="E18" s="83"/>
      <c r="F18" s="83"/>
      <c r="G18" s="66"/>
    </row>
    <row r="19" spans="2:7" ht="15.75" thickBot="1" x14ac:dyDescent="0.3">
      <c r="B19" s="84"/>
      <c r="C19" s="85"/>
      <c r="D19" s="85"/>
      <c r="E19" s="85"/>
      <c r="F19" s="85"/>
      <c r="G19" s="67"/>
    </row>
  </sheetData>
  <sheetProtection selectLockedCells="1"/>
  <mergeCells count="8">
    <mergeCell ref="B15:C19"/>
    <mergeCell ref="D15:F19"/>
    <mergeCell ref="G15:G19"/>
    <mergeCell ref="B3:F3"/>
    <mergeCell ref="D4:F4"/>
    <mergeCell ref="E6:F6"/>
    <mergeCell ref="B14:C14"/>
    <mergeCell ref="D14:F14"/>
  </mergeCells>
  <conditionalFormatting sqref="D8:D13">
    <cfRule type="cellIs" dxfId="31" priority="3" operator="equal">
      <formula>3</formula>
    </cfRule>
    <cfRule type="cellIs" dxfId="30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2"/>
  <sheetViews>
    <sheetView view="pageBreakPreview" zoomScale="80" zoomScaleNormal="55" zoomScaleSheetLayoutView="80" zoomScalePageLayoutView="70" workbookViewId="0">
      <selection activeCell="C8" sqref="C8:C18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62" t="s">
        <v>113</v>
      </c>
    </row>
    <row r="4" spans="2:7" ht="24" thickBot="1" x14ac:dyDescent="0.3">
      <c r="B4" s="14"/>
      <c r="C4" s="15" t="s">
        <v>44</v>
      </c>
      <c r="D4" s="71" t="s">
        <v>40</v>
      </c>
      <c r="E4" s="72"/>
      <c r="F4" s="72"/>
      <c r="G4" s="32" t="s">
        <v>42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 x14ac:dyDescent="0.25">
      <c r="B8" s="6">
        <v>1</v>
      </c>
      <c r="C8" s="50" t="s">
        <v>63</v>
      </c>
      <c r="D8" s="21"/>
      <c r="E8" s="19"/>
      <c r="F8" s="20"/>
      <c r="G8" s="33"/>
    </row>
    <row r="9" spans="2:7" s="4" customFormat="1" ht="18.75" x14ac:dyDescent="0.25">
      <c r="B9" s="37">
        <f>+B8+1</f>
        <v>2</v>
      </c>
      <c r="C9" s="50" t="s">
        <v>64</v>
      </c>
      <c r="D9" s="21"/>
      <c r="E9" s="19"/>
      <c r="F9" s="20"/>
      <c r="G9" s="33"/>
    </row>
    <row r="10" spans="2:7" s="4" customFormat="1" ht="18.75" x14ac:dyDescent="0.25">
      <c r="B10" s="37">
        <v>3</v>
      </c>
      <c r="C10" s="50" t="s">
        <v>65</v>
      </c>
      <c r="D10" s="21"/>
      <c r="E10" s="19"/>
      <c r="F10" s="20"/>
      <c r="G10" s="33"/>
    </row>
    <row r="11" spans="2:7" s="4" customFormat="1" ht="18.75" x14ac:dyDescent="0.25">
      <c r="B11" s="6">
        <v>4</v>
      </c>
      <c r="C11" s="50" t="s">
        <v>66</v>
      </c>
      <c r="D11" s="21"/>
      <c r="E11" s="19"/>
      <c r="F11" s="20"/>
      <c r="G11" s="33"/>
    </row>
    <row r="12" spans="2:7" s="4" customFormat="1" ht="18.75" x14ac:dyDescent="0.25">
      <c r="B12" s="6">
        <v>5</v>
      </c>
      <c r="C12" s="50" t="s">
        <v>67</v>
      </c>
      <c r="D12" s="21"/>
      <c r="E12" s="19"/>
      <c r="F12" s="20"/>
      <c r="G12" s="33"/>
    </row>
    <row r="13" spans="2:7" s="4" customFormat="1" ht="18.75" x14ac:dyDescent="0.25">
      <c r="B13" s="6">
        <v>6</v>
      </c>
      <c r="C13" s="50" t="s">
        <v>68</v>
      </c>
      <c r="D13" s="21"/>
      <c r="E13" s="19"/>
      <c r="F13" s="20"/>
      <c r="G13" s="33"/>
    </row>
    <row r="14" spans="2:7" s="4" customFormat="1" ht="18.75" x14ac:dyDescent="0.25">
      <c r="B14" s="6">
        <v>7</v>
      </c>
      <c r="C14" s="50" t="s">
        <v>69</v>
      </c>
      <c r="D14" s="21"/>
      <c r="E14" s="19"/>
      <c r="F14" s="20"/>
      <c r="G14" s="33"/>
    </row>
    <row r="15" spans="2:7" s="4" customFormat="1" ht="18.75" x14ac:dyDescent="0.25">
      <c r="B15" s="6">
        <v>8</v>
      </c>
      <c r="C15" s="50" t="s">
        <v>70</v>
      </c>
      <c r="D15" s="21"/>
      <c r="E15" s="19"/>
      <c r="F15" s="20"/>
      <c r="G15" s="33"/>
    </row>
    <row r="16" spans="2:7" s="4" customFormat="1" ht="18.75" x14ac:dyDescent="0.25">
      <c r="B16" s="6">
        <v>9</v>
      </c>
      <c r="C16" s="50" t="s">
        <v>71</v>
      </c>
      <c r="D16" s="21"/>
      <c r="E16" s="19"/>
      <c r="F16" s="20"/>
      <c r="G16" s="33"/>
    </row>
    <row r="17" spans="2:7" s="4" customFormat="1" ht="18.75" x14ac:dyDescent="0.25">
      <c r="B17" s="6">
        <v>10</v>
      </c>
      <c r="C17" s="50" t="s">
        <v>72</v>
      </c>
      <c r="D17" s="21"/>
      <c r="E17" s="19"/>
      <c r="F17" s="20"/>
      <c r="G17" s="33"/>
    </row>
    <row r="18" spans="2:7" s="4" customFormat="1" ht="18.75" x14ac:dyDescent="0.25">
      <c r="B18" s="6">
        <v>11</v>
      </c>
      <c r="C18" s="50" t="s">
        <v>73</v>
      </c>
      <c r="D18" s="21"/>
      <c r="E18" s="19"/>
      <c r="F18" s="20"/>
      <c r="G18" s="33"/>
    </row>
    <row r="19" spans="2:7" s="4" customFormat="1" ht="18.75" x14ac:dyDescent="0.25">
      <c r="B19" s="6">
        <v>12</v>
      </c>
      <c r="C19" s="50" t="s">
        <v>74</v>
      </c>
      <c r="D19" s="21"/>
      <c r="E19" s="19"/>
      <c r="F19" s="20"/>
      <c r="G19" s="33"/>
    </row>
    <row r="20" spans="2:7" s="4" customFormat="1" ht="18.75" x14ac:dyDescent="0.25">
      <c r="B20" s="6">
        <v>13</v>
      </c>
      <c r="C20" s="50" t="s">
        <v>75</v>
      </c>
      <c r="D20" s="21"/>
      <c r="E20" s="19"/>
      <c r="F20" s="20"/>
      <c r="G20" s="33"/>
    </row>
    <row r="21" spans="2:7" s="4" customFormat="1" ht="18.75" x14ac:dyDescent="0.25">
      <c r="B21" s="6">
        <v>14</v>
      </c>
      <c r="C21" s="50" t="s">
        <v>76</v>
      </c>
      <c r="D21" s="21"/>
      <c r="E21" s="19"/>
      <c r="F21" s="20"/>
      <c r="G21" s="33"/>
    </row>
    <row r="22" spans="2:7" s="4" customFormat="1" ht="31.5" x14ac:dyDescent="0.25">
      <c r="B22" s="6">
        <v>15</v>
      </c>
      <c r="C22" s="50" t="s">
        <v>77</v>
      </c>
      <c r="D22" s="21"/>
      <c r="E22" s="19"/>
      <c r="F22" s="20"/>
      <c r="G22" s="33"/>
    </row>
    <row r="23" spans="2:7" s="4" customFormat="1" ht="18.75" x14ac:dyDescent="0.25">
      <c r="B23" s="6">
        <v>16</v>
      </c>
      <c r="C23" s="49" t="s">
        <v>78</v>
      </c>
      <c r="D23" s="21"/>
      <c r="E23" s="19"/>
      <c r="F23" s="20"/>
      <c r="G23" s="33"/>
    </row>
    <row r="24" spans="2:7" s="4" customFormat="1" ht="18.75" x14ac:dyDescent="0.25">
      <c r="B24" s="6">
        <v>17</v>
      </c>
      <c r="C24" s="49" t="s">
        <v>108</v>
      </c>
      <c r="D24" s="21"/>
      <c r="E24" s="19"/>
      <c r="F24" s="20"/>
      <c r="G24" s="33"/>
    </row>
    <row r="25" spans="2:7" s="4" customFormat="1" ht="20.25" x14ac:dyDescent="0.25">
      <c r="B25" s="6">
        <v>18</v>
      </c>
      <c r="C25" s="47"/>
      <c r="D25" s="21"/>
      <c r="E25" s="19"/>
      <c r="F25" s="20"/>
      <c r="G25" s="33"/>
    </row>
    <row r="26" spans="2:7" s="4" customFormat="1" ht="21" thickBot="1" x14ac:dyDescent="0.3">
      <c r="B26" s="37">
        <f t="shared" ref="B26" si="0">+B25+1</f>
        <v>19</v>
      </c>
      <c r="C26" s="47"/>
      <c r="D26" s="21"/>
      <c r="E26" s="19"/>
      <c r="F26" s="20"/>
      <c r="G26" s="33"/>
    </row>
    <row r="27" spans="2:7" ht="18.75" thickBot="1" x14ac:dyDescent="0.3">
      <c r="B27" s="75" t="s">
        <v>13</v>
      </c>
      <c r="C27" s="76"/>
      <c r="D27" s="77" t="s">
        <v>7</v>
      </c>
      <c r="E27" s="78"/>
      <c r="F27" s="79"/>
      <c r="G27" s="24" t="s">
        <v>8</v>
      </c>
    </row>
    <row r="28" spans="2:7" x14ac:dyDescent="0.25">
      <c r="B28" s="80"/>
      <c r="C28" s="81"/>
      <c r="D28" s="81"/>
      <c r="E28" s="81"/>
      <c r="F28" s="81"/>
      <c r="G28" s="65"/>
    </row>
    <row r="29" spans="2:7" x14ac:dyDescent="0.25">
      <c r="B29" s="82"/>
      <c r="C29" s="83"/>
      <c r="D29" s="83"/>
      <c r="E29" s="83"/>
      <c r="F29" s="83"/>
      <c r="G29" s="66"/>
    </row>
    <row r="30" spans="2:7" x14ac:dyDescent="0.25">
      <c r="B30" s="82"/>
      <c r="C30" s="83"/>
      <c r="D30" s="83"/>
      <c r="E30" s="83"/>
      <c r="F30" s="83"/>
      <c r="G30" s="66"/>
    </row>
    <row r="31" spans="2:7" x14ac:dyDescent="0.25">
      <c r="B31" s="82"/>
      <c r="C31" s="83"/>
      <c r="D31" s="83"/>
      <c r="E31" s="83"/>
      <c r="F31" s="83"/>
      <c r="G31" s="66"/>
    </row>
    <row r="32" spans="2:7" ht="15.75" thickBot="1" x14ac:dyDescent="0.3">
      <c r="B32" s="84"/>
      <c r="C32" s="85"/>
      <c r="D32" s="85"/>
      <c r="E32" s="85"/>
      <c r="F32" s="85"/>
      <c r="G32" s="67"/>
    </row>
  </sheetData>
  <sheetProtection selectLockedCells="1"/>
  <mergeCells count="8">
    <mergeCell ref="G28:G32"/>
    <mergeCell ref="B3:F3"/>
    <mergeCell ref="D4:F4"/>
    <mergeCell ref="E6:F6"/>
    <mergeCell ref="B27:C27"/>
    <mergeCell ref="D27:F27"/>
    <mergeCell ref="B28:C32"/>
    <mergeCell ref="D28:F32"/>
  </mergeCells>
  <conditionalFormatting sqref="D8:D26">
    <cfRule type="cellIs" dxfId="29" priority="1" operator="equal">
      <formula>3</formula>
    </cfRule>
    <cfRule type="cellIs" dxfId="2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3"/>
  <sheetViews>
    <sheetView view="pageBreakPreview" zoomScaleNormal="55" zoomScaleSheetLayoutView="100" zoomScalePageLayoutView="70" workbookViewId="0">
      <selection activeCell="C8" sqref="C8:C18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62" t="s">
        <v>113</v>
      </c>
    </row>
    <row r="4" spans="2:7" ht="24" thickBot="1" x14ac:dyDescent="0.3">
      <c r="B4" s="14"/>
      <c r="C4" s="15" t="s">
        <v>79</v>
      </c>
      <c r="D4" s="71" t="s">
        <v>40</v>
      </c>
      <c r="E4" s="72"/>
      <c r="F4" s="72"/>
      <c r="G4" s="32" t="s">
        <v>42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 x14ac:dyDescent="0.25">
      <c r="B8" s="5">
        <v>1</v>
      </c>
      <c r="C8" s="50" t="s">
        <v>80</v>
      </c>
      <c r="D8" s="21"/>
      <c r="E8" s="19"/>
      <c r="F8" s="20"/>
      <c r="G8" s="33"/>
    </row>
    <row r="9" spans="2:7" s="4" customFormat="1" ht="18.75" x14ac:dyDescent="0.25">
      <c r="B9" s="6">
        <f>B8+1</f>
        <v>2</v>
      </c>
      <c r="C9" s="50" t="s">
        <v>81</v>
      </c>
      <c r="D9" s="21"/>
      <c r="E9" s="19"/>
      <c r="F9" s="20"/>
      <c r="G9" s="33"/>
    </row>
    <row r="10" spans="2:7" s="4" customFormat="1" ht="18.75" x14ac:dyDescent="0.25">
      <c r="B10" s="37">
        <f>+B9+1</f>
        <v>3</v>
      </c>
      <c r="C10" s="50" t="s">
        <v>45</v>
      </c>
      <c r="D10" s="21"/>
      <c r="E10" s="19"/>
      <c r="F10" s="20"/>
      <c r="G10" s="33"/>
    </row>
    <row r="11" spans="2:7" s="4" customFormat="1" ht="18.75" x14ac:dyDescent="0.25">
      <c r="B11" s="6">
        <f t="shared" ref="B11" si="0">B10+1</f>
        <v>4</v>
      </c>
      <c r="C11" s="50" t="s">
        <v>46</v>
      </c>
      <c r="D11" s="21"/>
      <c r="E11" s="19"/>
      <c r="F11" s="20"/>
      <c r="G11" s="33"/>
    </row>
    <row r="12" spans="2:7" s="4" customFormat="1" ht="18.75" x14ac:dyDescent="0.25">
      <c r="B12" s="37">
        <f t="shared" ref="B12" si="1">+B11+1</f>
        <v>5</v>
      </c>
      <c r="C12" s="50" t="s">
        <v>99</v>
      </c>
      <c r="D12" s="21"/>
      <c r="E12" s="19"/>
      <c r="F12" s="20"/>
      <c r="G12" s="33"/>
    </row>
    <row r="13" spans="2:7" s="4" customFormat="1" ht="18.75" x14ac:dyDescent="0.25">
      <c r="B13" s="6">
        <f t="shared" ref="B13" si="2">B12+1</f>
        <v>6</v>
      </c>
      <c r="C13" s="50" t="s">
        <v>82</v>
      </c>
      <c r="D13" s="21"/>
      <c r="E13" s="19"/>
      <c r="F13" s="20"/>
      <c r="G13" s="33"/>
    </row>
    <row r="14" spans="2:7" s="4" customFormat="1" ht="18.75" x14ac:dyDescent="0.25">
      <c r="B14" s="37">
        <f t="shared" ref="B14" si="3">+B13+1</f>
        <v>7</v>
      </c>
      <c r="C14" s="50" t="s">
        <v>83</v>
      </c>
      <c r="D14" s="21"/>
      <c r="E14" s="19"/>
      <c r="F14" s="20"/>
      <c r="G14" s="33"/>
    </row>
    <row r="15" spans="2:7" s="4" customFormat="1" ht="18.75" x14ac:dyDescent="0.25">
      <c r="B15" s="6">
        <f t="shared" ref="B15" si="4">B14+1</f>
        <v>8</v>
      </c>
      <c r="C15" s="50" t="s">
        <v>84</v>
      </c>
      <c r="D15" s="21"/>
      <c r="E15" s="19"/>
      <c r="F15" s="20"/>
      <c r="G15" s="33"/>
    </row>
    <row r="16" spans="2:7" s="4" customFormat="1" ht="18.75" x14ac:dyDescent="0.25">
      <c r="B16" s="37">
        <f t="shared" ref="B16" si="5">+B15+1</f>
        <v>9</v>
      </c>
      <c r="C16" s="49" t="s">
        <v>107</v>
      </c>
      <c r="D16" s="21"/>
      <c r="E16" s="19"/>
      <c r="F16" s="20"/>
      <c r="G16" s="33"/>
    </row>
    <row r="17" spans="2:7" s="4" customFormat="1" ht="21" thickBot="1" x14ac:dyDescent="0.3">
      <c r="B17" s="6">
        <f t="shared" ref="B17" si="6">B16+1</f>
        <v>10</v>
      </c>
      <c r="C17" s="47"/>
      <c r="D17" s="21"/>
      <c r="E17" s="19"/>
      <c r="F17" s="20"/>
      <c r="G17" s="33"/>
    </row>
    <row r="18" spans="2:7" ht="18.75" thickBot="1" x14ac:dyDescent="0.3">
      <c r="B18" s="75" t="s">
        <v>13</v>
      </c>
      <c r="C18" s="76"/>
      <c r="D18" s="77" t="s">
        <v>7</v>
      </c>
      <c r="E18" s="78"/>
      <c r="F18" s="79"/>
      <c r="G18" s="24" t="s">
        <v>8</v>
      </c>
    </row>
    <row r="19" spans="2:7" x14ac:dyDescent="0.25">
      <c r="B19" s="80"/>
      <c r="C19" s="81"/>
      <c r="D19" s="81"/>
      <c r="E19" s="81"/>
      <c r="F19" s="81"/>
      <c r="G19" s="65"/>
    </row>
    <row r="20" spans="2:7" x14ac:dyDescent="0.25">
      <c r="B20" s="82"/>
      <c r="C20" s="83"/>
      <c r="D20" s="83"/>
      <c r="E20" s="83"/>
      <c r="F20" s="83"/>
      <c r="G20" s="66"/>
    </row>
    <row r="21" spans="2:7" x14ac:dyDescent="0.25">
      <c r="B21" s="82"/>
      <c r="C21" s="83"/>
      <c r="D21" s="83"/>
      <c r="E21" s="83"/>
      <c r="F21" s="83"/>
      <c r="G21" s="66"/>
    </row>
    <row r="22" spans="2:7" x14ac:dyDescent="0.25">
      <c r="B22" s="82"/>
      <c r="C22" s="83"/>
      <c r="D22" s="83"/>
      <c r="E22" s="83"/>
      <c r="F22" s="83"/>
      <c r="G22" s="66"/>
    </row>
    <row r="23" spans="2:7" ht="15.75" thickBot="1" x14ac:dyDescent="0.3">
      <c r="B23" s="84"/>
      <c r="C23" s="85"/>
      <c r="D23" s="85"/>
      <c r="E23" s="85"/>
      <c r="F23" s="85"/>
      <c r="G23" s="67"/>
    </row>
  </sheetData>
  <sheetProtection selectLockedCells="1"/>
  <mergeCells count="8">
    <mergeCell ref="B19:C23"/>
    <mergeCell ref="D19:F23"/>
    <mergeCell ref="G19:G23"/>
    <mergeCell ref="B3:F3"/>
    <mergeCell ref="D4:F4"/>
    <mergeCell ref="E6:F6"/>
    <mergeCell ref="B18:C18"/>
    <mergeCell ref="D18:F18"/>
  </mergeCells>
  <conditionalFormatting sqref="D8:D17">
    <cfRule type="cellIs" dxfId="27" priority="3" operator="equal">
      <formula>3</formula>
    </cfRule>
    <cfRule type="cellIs" dxfId="26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1" fitToHeight="2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5"/>
  <sheetViews>
    <sheetView view="pageBreakPreview" zoomScale="90" zoomScaleNormal="55" zoomScaleSheetLayoutView="90" zoomScalePageLayoutView="70" workbookViewId="0">
      <selection activeCell="C8" sqref="C8:C18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62" t="s">
        <v>113</v>
      </c>
    </row>
    <row r="4" spans="2:7" ht="24" thickBot="1" x14ac:dyDescent="0.3">
      <c r="B4" s="14"/>
      <c r="C4" s="15" t="s">
        <v>47</v>
      </c>
      <c r="D4" s="71" t="s">
        <v>40</v>
      </c>
      <c r="E4" s="72"/>
      <c r="F4" s="72"/>
      <c r="G4" s="32" t="s">
        <v>42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 x14ac:dyDescent="0.25">
      <c r="B8" s="5">
        <v>1</v>
      </c>
      <c r="C8" s="50" t="s">
        <v>85</v>
      </c>
      <c r="D8" s="21"/>
      <c r="E8" s="19"/>
      <c r="F8" s="20"/>
      <c r="G8" s="33"/>
    </row>
    <row r="9" spans="2:7" s="4" customFormat="1" ht="18.75" x14ac:dyDescent="0.25">
      <c r="B9" s="6">
        <f>B8+1</f>
        <v>2</v>
      </c>
      <c r="C9" s="50" t="s">
        <v>86</v>
      </c>
      <c r="D9" s="21"/>
      <c r="E9" s="19"/>
      <c r="F9" s="20"/>
      <c r="G9" s="33"/>
    </row>
    <row r="10" spans="2:7" s="4" customFormat="1" ht="18.75" x14ac:dyDescent="0.25">
      <c r="B10" s="37">
        <f>+B9+1</f>
        <v>3</v>
      </c>
      <c r="C10" s="50" t="s">
        <v>87</v>
      </c>
      <c r="D10" s="21"/>
      <c r="E10" s="19"/>
      <c r="F10" s="20"/>
      <c r="G10" s="33"/>
    </row>
    <row r="11" spans="2:7" s="4" customFormat="1" ht="30.75" customHeight="1" x14ac:dyDescent="0.25">
      <c r="B11" s="6">
        <f t="shared" ref="B11" si="0">B10+1</f>
        <v>4</v>
      </c>
      <c r="C11" s="50" t="s">
        <v>88</v>
      </c>
      <c r="D11" s="21"/>
      <c r="E11" s="19"/>
      <c r="F11" s="20"/>
      <c r="G11" s="33"/>
    </row>
    <row r="12" spans="2:7" s="4" customFormat="1" ht="18.75" x14ac:dyDescent="0.25">
      <c r="B12" s="37">
        <f t="shared" ref="B12" si="1">+B11+1</f>
        <v>5</v>
      </c>
      <c r="C12" s="50" t="s">
        <v>48</v>
      </c>
      <c r="D12" s="21"/>
      <c r="E12" s="19"/>
      <c r="F12" s="20"/>
      <c r="G12" s="33"/>
    </row>
    <row r="13" spans="2:7" s="4" customFormat="1" ht="18.75" x14ac:dyDescent="0.25">
      <c r="B13" s="6">
        <f t="shared" ref="B13" si="2">B12+1</f>
        <v>6</v>
      </c>
      <c r="C13" s="50" t="s">
        <v>89</v>
      </c>
      <c r="D13" s="21"/>
      <c r="E13" s="19"/>
      <c r="F13" s="20"/>
      <c r="G13" s="33"/>
    </row>
    <row r="14" spans="2:7" s="4" customFormat="1" ht="18.75" x14ac:dyDescent="0.25">
      <c r="B14" s="37">
        <f t="shared" ref="B14" si="3">+B13+1</f>
        <v>7</v>
      </c>
      <c r="C14" s="50" t="s">
        <v>90</v>
      </c>
      <c r="D14" s="21"/>
      <c r="E14" s="19"/>
      <c r="F14" s="20"/>
      <c r="G14" s="33"/>
    </row>
    <row r="15" spans="2:7" s="4" customFormat="1" ht="18.75" x14ac:dyDescent="0.25">
      <c r="B15" s="6">
        <f t="shared" ref="B15" si="4">B14+1</f>
        <v>8</v>
      </c>
      <c r="C15" s="50" t="s">
        <v>91</v>
      </c>
      <c r="D15" s="21"/>
      <c r="E15" s="19"/>
      <c r="F15" s="20"/>
      <c r="G15" s="33"/>
    </row>
    <row r="16" spans="2:7" s="4" customFormat="1" ht="18.75" x14ac:dyDescent="0.25">
      <c r="B16" s="37">
        <f t="shared" ref="B16" si="5">+B15+1</f>
        <v>9</v>
      </c>
      <c r="C16" s="50" t="s">
        <v>92</v>
      </c>
      <c r="D16" s="21"/>
      <c r="E16" s="19"/>
      <c r="F16" s="20"/>
      <c r="G16" s="33"/>
    </row>
    <row r="17" spans="2:7" s="4" customFormat="1" ht="18.75" x14ac:dyDescent="0.25">
      <c r="B17" s="6">
        <f t="shared" ref="B17" si="6">B16+1</f>
        <v>10</v>
      </c>
      <c r="C17" s="49" t="s">
        <v>107</v>
      </c>
      <c r="D17" s="21"/>
      <c r="E17" s="19"/>
      <c r="F17" s="20"/>
      <c r="G17" s="33"/>
    </row>
    <row r="18" spans="2:7" s="4" customFormat="1" ht="18.75" x14ac:dyDescent="0.25">
      <c r="B18" s="37">
        <f t="shared" ref="B18" si="7">+B17+1</f>
        <v>11</v>
      </c>
      <c r="C18" s="63" t="s">
        <v>115</v>
      </c>
      <c r="D18" s="21"/>
      <c r="E18" s="19"/>
      <c r="F18" s="20"/>
      <c r="G18" s="33"/>
    </row>
    <row r="19" spans="2:7" s="4" customFormat="1" ht="21" thickBot="1" x14ac:dyDescent="0.3">
      <c r="B19" s="6">
        <f t="shared" ref="B19" si="8">B18+1</f>
        <v>12</v>
      </c>
      <c r="C19" s="47"/>
      <c r="D19" s="21"/>
      <c r="E19" s="19"/>
      <c r="F19" s="20"/>
      <c r="G19" s="33"/>
    </row>
    <row r="20" spans="2:7" ht="18.75" thickBot="1" x14ac:dyDescent="0.3">
      <c r="B20" s="75" t="s">
        <v>13</v>
      </c>
      <c r="C20" s="76"/>
      <c r="D20" s="77" t="s">
        <v>7</v>
      </c>
      <c r="E20" s="78"/>
      <c r="F20" s="79"/>
      <c r="G20" s="24" t="s">
        <v>8</v>
      </c>
    </row>
    <row r="21" spans="2:7" x14ac:dyDescent="0.25">
      <c r="B21" s="80"/>
      <c r="C21" s="81"/>
      <c r="D21" s="81"/>
      <c r="E21" s="81"/>
      <c r="F21" s="81"/>
      <c r="G21" s="65"/>
    </row>
    <row r="22" spans="2:7" x14ac:dyDescent="0.25">
      <c r="B22" s="82"/>
      <c r="C22" s="83"/>
      <c r="D22" s="83"/>
      <c r="E22" s="83"/>
      <c r="F22" s="83"/>
      <c r="G22" s="66"/>
    </row>
    <row r="23" spans="2:7" x14ac:dyDescent="0.25">
      <c r="B23" s="82"/>
      <c r="C23" s="83"/>
      <c r="D23" s="83"/>
      <c r="E23" s="83"/>
      <c r="F23" s="83"/>
      <c r="G23" s="66"/>
    </row>
    <row r="24" spans="2:7" x14ac:dyDescent="0.25">
      <c r="B24" s="82"/>
      <c r="C24" s="83"/>
      <c r="D24" s="83"/>
      <c r="E24" s="83"/>
      <c r="F24" s="83"/>
      <c r="G24" s="66"/>
    </row>
    <row r="25" spans="2:7" ht="15.75" thickBot="1" x14ac:dyDescent="0.3">
      <c r="B25" s="84"/>
      <c r="C25" s="85"/>
      <c r="D25" s="85"/>
      <c r="E25" s="85"/>
      <c r="F25" s="85"/>
      <c r="G25" s="67"/>
    </row>
  </sheetData>
  <sheetProtection selectLockedCells="1"/>
  <mergeCells count="8">
    <mergeCell ref="B21:C25"/>
    <mergeCell ref="D21:F25"/>
    <mergeCell ref="G21:G25"/>
    <mergeCell ref="B3:F3"/>
    <mergeCell ref="D4:F4"/>
    <mergeCell ref="E6:F6"/>
    <mergeCell ref="B20:C20"/>
    <mergeCell ref="D20:F20"/>
  </mergeCells>
  <conditionalFormatting sqref="D8:D19">
    <cfRule type="cellIs" dxfId="25" priority="3" operator="equal">
      <formula>3</formula>
    </cfRule>
    <cfRule type="cellIs" dxfId="24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31" t="s">
        <v>12</v>
      </c>
    </row>
    <row r="4" spans="2:7" ht="24" thickBot="1" x14ac:dyDescent="0.3">
      <c r="B4" s="14"/>
      <c r="C4" s="15" t="s">
        <v>18</v>
      </c>
      <c r="D4" s="71" t="str">
        <f>+'Line &amp; frequency'!C1</f>
        <v>CHAINE 4</v>
      </c>
      <c r="E4" s="72"/>
      <c r="F4" s="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/>
      <c r="D8" s="21"/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/>
      <c r="D9" s="21"/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/>
      <c r="D10" s="21"/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/>
      <c r="D14" s="21"/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/>
      <c r="D15" s="21"/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/>
      <c r="D16" s="21"/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/>
      <c r="D17" s="21"/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/>
      <c r="D18" s="21"/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/>
      <c r="D19" s="21"/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/>
      <c r="D20" s="21"/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/>
      <c r="D21" s="21"/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/>
      <c r="D22" s="21"/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/>
      <c r="D23" s="21"/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/>
      <c r="D24" s="21"/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75" t="s">
        <v>13</v>
      </c>
      <c r="C108" s="76"/>
      <c r="D108" s="77" t="s">
        <v>7</v>
      </c>
      <c r="E108" s="78"/>
      <c r="F108" s="79"/>
      <c r="G108" s="24" t="s">
        <v>8</v>
      </c>
    </row>
    <row r="109" spans="2:7" x14ac:dyDescent="0.25">
      <c r="B109" s="80"/>
      <c r="C109" s="81"/>
      <c r="D109" s="81"/>
      <c r="E109" s="81"/>
      <c r="F109" s="81"/>
      <c r="G109" s="65"/>
    </row>
    <row r="110" spans="2:7" x14ac:dyDescent="0.25">
      <c r="B110" s="82"/>
      <c r="C110" s="83"/>
      <c r="D110" s="83"/>
      <c r="E110" s="83"/>
      <c r="F110" s="83"/>
      <c r="G110" s="66"/>
    </row>
    <row r="111" spans="2:7" x14ac:dyDescent="0.25">
      <c r="B111" s="82"/>
      <c r="C111" s="83"/>
      <c r="D111" s="83"/>
      <c r="E111" s="83"/>
      <c r="F111" s="83"/>
      <c r="G111" s="66"/>
    </row>
    <row r="112" spans="2:7" x14ac:dyDescent="0.25">
      <c r="B112" s="82"/>
      <c r="C112" s="83"/>
      <c r="D112" s="83"/>
      <c r="E112" s="83"/>
      <c r="F112" s="83"/>
      <c r="G112" s="66"/>
    </row>
    <row r="113" spans="2:7" ht="15.75" thickBot="1" x14ac:dyDescent="0.3">
      <c r="B113" s="84"/>
      <c r="C113" s="85"/>
      <c r="D113" s="85"/>
      <c r="E113" s="85"/>
      <c r="F113" s="85"/>
      <c r="G113" s="67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3" priority="3" operator="equal">
      <formula>3</formula>
    </cfRule>
    <cfRule type="cellIs" dxfId="22" priority="4" operator="equal">
      <formula>4</formula>
    </cfRule>
  </conditionalFormatting>
  <conditionalFormatting sqref="D89">
    <cfRule type="cellIs" dxfId="21" priority="1" operator="equal">
      <formula>3</formula>
    </cfRule>
    <cfRule type="cellIs" dxfId="2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topLeftCell="A6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31" t="s">
        <v>12</v>
      </c>
    </row>
    <row r="4" spans="2:7" ht="24" thickBot="1" x14ac:dyDescent="0.3">
      <c r="B4" s="14"/>
      <c r="C4" s="15" t="s">
        <v>20</v>
      </c>
      <c r="D4" s="71" t="str">
        <f>+'Line &amp; frequency'!C1</f>
        <v>CHAINE 4</v>
      </c>
      <c r="E4" s="72"/>
      <c r="F4" s="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 t="s">
        <v>22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 t="s">
        <v>28</v>
      </c>
      <c r="D31" s="21">
        <v>30</v>
      </c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 t="s">
        <v>26</v>
      </c>
      <c r="D32" s="21">
        <v>30</v>
      </c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 t="s">
        <v>27</v>
      </c>
      <c r="D33" s="21">
        <v>25</v>
      </c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 t="s">
        <v>19</v>
      </c>
      <c r="D34" s="21">
        <v>10</v>
      </c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 t="s">
        <v>21</v>
      </c>
      <c r="D35" s="21">
        <v>30</v>
      </c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 t="s">
        <v>28</v>
      </c>
      <c r="D36" s="21">
        <v>30</v>
      </c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 t="s">
        <v>29</v>
      </c>
      <c r="D37" s="21">
        <v>30</v>
      </c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 t="s">
        <v>23</v>
      </c>
      <c r="D38" s="21">
        <v>30</v>
      </c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 t="s">
        <v>26</v>
      </c>
      <c r="D39" s="21">
        <v>30</v>
      </c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 t="s">
        <v>27</v>
      </c>
      <c r="D40" s="21">
        <v>25</v>
      </c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 t="s">
        <v>30</v>
      </c>
      <c r="D41" s="21">
        <v>120</v>
      </c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 t="s">
        <v>31</v>
      </c>
      <c r="D42" s="21">
        <v>60</v>
      </c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 t="s">
        <v>19</v>
      </c>
      <c r="D43" s="21">
        <v>10</v>
      </c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 t="s">
        <v>32</v>
      </c>
      <c r="D44" s="21">
        <v>30</v>
      </c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75" t="s">
        <v>13</v>
      </c>
      <c r="C108" s="76"/>
      <c r="D108" s="77" t="s">
        <v>7</v>
      </c>
      <c r="E108" s="78"/>
      <c r="F108" s="79"/>
      <c r="G108" s="24" t="s">
        <v>8</v>
      </c>
    </row>
    <row r="109" spans="2:7" x14ac:dyDescent="0.25">
      <c r="B109" s="80"/>
      <c r="C109" s="81"/>
      <c r="D109" s="81"/>
      <c r="E109" s="81"/>
      <c r="F109" s="81"/>
      <c r="G109" s="65"/>
    </row>
    <row r="110" spans="2:7" x14ac:dyDescent="0.25">
      <c r="B110" s="82"/>
      <c r="C110" s="83"/>
      <c r="D110" s="83"/>
      <c r="E110" s="83"/>
      <c r="F110" s="83"/>
      <c r="G110" s="66"/>
    </row>
    <row r="111" spans="2:7" x14ac:dyDescent="0.25">
      <c r="B111" s="82"/>
      <c r="C111" s="83"/>
      <c r="D111" s="83"/>
      <c r="E111" s="83"/>
      <c r="F111" s="83"/>
      <c r="G111" s="66"/>
    </row>
    <row r="112" spans="2:7" x14ac:dyDescent="0.25">
      <c r="B112" s="82"/>
      <c r="C112" s="83"/>
      <c r="D112" s="83"/>
      <c r="E112" s="83"/>
      <c r="F112" s="83"/>
      <c r="G112" s="66"/>
    </row>
    <row r="113" spans="2:7" ht="15.75" thickBot="1" x14ac:dyDescent="0.3">
      <c r="B113" s="84"/>
      <c r="C113" s="85"/>
      <c r="D113" s="85"/>
      <c r="E113" s="85"/>
      <c r="F113" s="85"/>
      <c r="G113" s="67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19" priority="3" operator="equal">
      <formula>3</formula>
    </cfRule>
    <cfRule type="cellIs" dxfId="18" priority="4" operator="equal">
      <formula>4</formula>
    </cfRule>
  </conditionalFormatting>
  <conditionalFormatting sqref="D89">
    <cfRule type="cellIs" dxfId="17" priority="1" operator="equal">
      <formula>3</formula>
    </cfRule>
    <cfRule type="cellIs" dxfId="1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31" t="s">
        <v>12</v>
      </c>
    </row>
    <row r="4" spans="2:7" ht="24" thickBot="1" x14ac:dyDescent="0.3">
      <c r="B4" s="14"/>
      <c r="C4" s="15" t="s">
        <v>33</v>
      </c>
      <c r="D4" s="71" t="str">
        <f>+'Line &amp; frequency'!C1</f>
        <v>CHAINE 4</v>
      </c>
      <c r="E4" s="72"/>
      <c r="F4" s="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 t="s">
        <v>29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 t="s">
        <v>27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 t="s">
        <v>30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 t="s">
        <v>31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75" t="s">
        <v>13</v>
      </c>
      <c r="C108" s="76"/>
      <c r="D108" s="77" t="s">
        <v>7</v>
      </c>
      <c r="E108" s="78"/>
      <c r="F108" s="79"/>
      <c r="G108" s="24" t="s">
        <v>8</v>
      </c>
    </row>
    <row r="109" spans="2:7" x14ac:dyDescent="0.25">
      <c r="B109" s="80"/>
      <c r="C109" s="81"/>
      <c r="D109" s="81"/>
      <c r="E109" s="81"/>
      <c r="F109" s="81"/>
      <c r="G109" s="65"/>
    </row>
    <row r="110" spans="2:7" x14ac:dyDescent="0.25">
      <c r="B110" s="82"/>
      <c r="C110" s="83"/>
      <c r="D110" s="83"/>
      <c r="E110" s="83"/>
      <c r="F110" s="83"/>
      <c r="G110" s="66"/>
    </row>
    <row r="111" spans="2:7" x14ac:dyDescent="0.25">
      <c r="B111" s="82"/>
      <c r="C111" s="83"/>
      <c r="D111" s="83"/>
      <c r="E111" s="83"/>
      <c r="F111" s="83"/>
      <c r="G111" s="66"/>
    </row>
    <row r="112" spans="2:7" x14ac:dyDescent="0.25">
      <c r="B112" s="82"/>
      <c r="C112" s="83"/>
      <c r="D112" s="83"/>
      <c r="E112" s="83"/>
      <c r="F112" s="83"/>
      <c r="G112" s="66"/>
    </row>
    <row r="113" spans="2:7" ht="15.75" thickBot="1" x14ac:dyDescent="0.3">
      <c r="B113" s="84"/>
      <c r="C113" s="85"/>
      <c r="D113" s="85"/>
      <c r="E113" s="85"/>
      <c r="F113" s="85"/>
      <c r="G113" s="67"/>
    </row>
  </sheetData>
  <sheetProtection selectLockedCells="1"/>
  <mergeCells count="8">
    <mergeCell ref="G109:G113"/>
    <mergeCell ref="B3:F3"/>
    <mergeCell ref="D4:F4"/>
    <mergeCell ref="E6:F6"/>
    <mergeCell ref="B108:C108"/>
    <mergeCell ref="D108:F108"/>
    <mergeCell ref="B109:C113"/>
    <mergeCell ref="D109:F113"/>
  </mergeCells>
  <conditionalFormatting sqref="D8:D88 D90:D107">
    <cfRule type="cellIs" dxfId="15" priority="3" operator="equal">
      <formula>3</formula>
    </cfRule>
    <cfRule type="cellIs" dxfId="14" priority="4" operator="equal">
      <formula>4</formula>
    </cfRule>
  </conditionalFormatting>
  <conditionalFormatting sqref="D89">
    <cfRule type="cellIs" dxfId="13" priority="1" operator="equal">
      <formula>3</formula>
    </cfRule>
    <cfRule type="cellIs" dxfId="1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8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31" t="s">
        <v>12</v>
      </c>
    </row>
    <row r="4" spans="2:7" ht="24" thickBot="1" x14ac:dyDescent="0.3">
      <c r="B4" s="14"/>
      <c r="C4" s="15" t="s">
        <v>35</v>
      </c>
      <c r="D4" s="71" t="str">
        <f>+'Line &amp; frequency'!C1</f>
        <v>CHAINE 4</v>
      </c>
      <c r="E4" s="72"/>
      <c r="F4" s="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thickBot="1" x14ac:dyDescent="0.3">
      <c r="B32" s="37">
        <f t="shared" ref="B32" si="21">+B31+1</f>
        <v>25</v>
      </c>
      <c r="C32" s="38"/>
      <c r="D32" s="21"/>
      <c r="E32" s="19"/>
      <c r="F32" s="20"/>
      <c r="G32" s="33"/>
    </row>
    <row r="33" spans="2:7" ht="18.75" thickBot="1" x14ac:dyDescent="0.3">
      <c r="B33" s="75" t="s">
        <v>13</v>
      </c>
      <c r="C33" s="76"/>
      <c r="D33" s="77" t="s">
        <v>7</v>
      </c>
      <c r="E33" s="78"/>
      <c r="F33" s="79"/>
      <c r="G33" s="24" t="s">
        <v>8</v>
      </c>
    </row>
    <row r="34" spans="2:7" x14ac:dyDescent="0.25">
      <c r="B34" s="80"/>
      <c r="C34" s="81"/>
      <c r="D34" s="81"/>
      <c r="E34" s="81"/>
      <c r="F34" s="81"/>
      <c r="G34" s="65"/>
    </row>
    <row r="35" spans="2:7" x14ac:dyDescent="0.25">
      <c r="B35" s="82"/>
      <c r="C35" s="83"/>
      <c r="D35" s="83"/>
      <c r="E35" s="83"/>
      <c r="F35" s="83"/>
      <c r="G35" s="66"/>
    </row>
    <row r="36" spans="2:7" x14ac:dyDescent="0.25">
      <c r="B36" s="82"/>
      <c r="C36" s="83"/>
      <c r="D36" s="83"/>
      <c r="E36" s="83"/>
      <c r="F36" s="83"/>
      <c r="G36" s="66"/>
    </row>
    <row r="37" spans="2:7" x14ac:dyDescent="0.25">
      <c r="B37" s="82"/>
      <c r="C37" s="83"/>
      <c r="D37" s="83"/>
      <c r="E37" s="83"/>
      <c r="F37" s="83"/>
      <c r="G37" s="66"/>
    </row>
    <row r="38" spans="2:7" ht="15.75" thickBot="1" x14ac:dyDescent="0.3">
      <c r="B38" s="84"/>
      <c r="C38" s="85"/>
      <c r="D38" s="85"/>
      <c r="E38" s="85"/>
      <c r="F38" s="85"/>
      <c r="G38" s="67"/>
    </row>
  </sheetData>
  <sheetProtection selectLockedCells="1"/>
  <mergeCells count="8">
    <mergeCell ref="G34:G38"/>
    <mergeCell ref="B3:F3"/>
    <mergeCell ref="D4:F4"/>
    <mergeCell ref="E6:F6"/>
    <mergeCell ref="B33:C33"/>
    <mergeCell ref="D33:F33"/>
    <mergeCell ref="B34:C38"/>
    <mergeCell ref="D34:F38"/>
  </mergeCells>
  <conditionalFormatting sqref="D8:D32">
    <cfRule type="cellIs" dxfId="11" priority="3" operator="equal">
      <formula>3</formula>
    </cfRule>
    <cfRule type="cellIs" dxfId="10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31" t="s">
        <v>12</v>
      </c>
    </row>
    <row r="4" spans="2:7" ht="24" thickBot="1" x14ac:dyDescent="0.3">
      <c r="B4" s="14"/>
      <c r="C4" s="15" t="s">
        <v>34</v>
      </c>
      <c r="D4" s="71" t="str">
        <f>+'Line &amp; frequency'!C1</f>
        <v>CHAINE 4</v>
      </c>
      <c r="E4" s="72"/>
      <c r="F4" s="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22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28</v>
      </c>
      <c r="D31" s="21">
        <v>30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26</v>
      </c>
      <c r="D32" s="21">
        <v>30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27</v>
      </c>
      <c r="D33" s="21">
        <v>25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75" t="s">
        <v>13</v>
      </c>
      <c r="C38" s="76"/>
      <c r="D38" s="77" t="s">
        <v>7</v>
      </c>
      <c r="E38" s="78"/>
      <c r="F38" s="79"/>
      <c r="G38" s="24" t="s">
        <v>8</v>
      </c>
    </row>
    <row r="39" spans="2:7" x14ac:dyDescent="0.25">
      <c r="B39" s="80"/>
      <c r="C39" s="81"/>
      <c r="D39" s="81"/>
      <c r="E39" s="81"/>
      <c r="F39" s="81"/>
      <c r="G39" s="65"/>
    </row>
    <row r="40" spans="2:7" x14ac:dyDescent="0.25">
      <c r="B40" s="82"/>
      <c r="C40" s="83"/>
      <c r="D40" s="83"/>
      <c r="E40" s="83"/>
      <c r="F40" s="83"/>
      <c r="G40" s="66"/>
    </row>
    <row r="41" spans="2:7" x14ac:dyDescent="0.25">
      <c r="B41" s="82"/>
      <c r="C41" s="83"/>
      <c r="D41" s="83"/>
      <c r="E41" s="83"/>
      <c r="F41" s="83"/>
      <c r="G41" s="66"/>
    </row>
    <row r="42" spans="2:7" x14ac:dyDescent="0.25">
      <c r="B42" s="82"/>
      <c r="C42" s="83"/>
      <c r="D42" s="83"/>
      <c r="E42" s="83"/>
      <c r="F42" s="83"/>
      <c r="G42" s="66"/>
    </row>
    <row r="43" spans="2:7" ht="15.75" thickBot="1" x14ac:dyDescent="0.3">
      <c r="B43" s="84"/>
      <c r="C43" s="85"/>
      <c r="D43" s="85"/>
      <c r="E43" s="85"/>
      <c r="F43" s="85"/>
      <c r="G43" s="67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9" priority="1" operator="equal">
      <formula>3</formula>
    </cfRule>
    <cfRule type="cellIs" dxfId="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19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31" t="s">
        <v>12</v>
      </c>
    </row>
    <row r="4" spans="2:7" ht="24" thickBot="1" x14ac:dyDescent="0.3">
      <c r="B4" s="14"/>
      <c r="C4" s="15" t="s">
        <v>36</v>
      </c>
      <c r="D4" s="71" t="str">
        <f>+'Line &amp; frequency'!C1</f>
        <v>CHAINE 4</v>
      </c>
      <c r="E4" s="72"/>
      <c r="F4" s="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75" t="s">
        <v>13</v>
      </c>
      <c r="C38" s="76"/>
      <c r="D38" s="77" t="s">
        <v>7</v>
      </c>
      <c r="E38" s="78"/>
      <c r="F38" s="79"/>
      <c r="G38" s="24" t="s">
        <v>8</v>
      </c>
    </row>
    <row r="39" spans="2:7" x14ac:dyDescent="0.25">
      <c r="B39" s="80"/>
      <c r="C39" s="81"/>
      <c r="D39" s="81"/>
      <c r="E39" s="81"/>
      <c r="F39" s="81"/>
      <c r="G39" s="65"/>
    </row>
    <row r="40" spans="2:7" x14ac:dyDescent="0.25">
      <c r="B40" s="82"/>
      <c r="C40" s="83"/>
      <c r="D40" s="83"/>
      <c r="E40" s="83"/>
      <c r="F40" s="83"/>
      <c r="G40" s="66"/>
    </row>
    <row r="41" spans="2:7" x14ac:dyDescent="0.25">
      <c r="B41" s="82"/>
      <c r="C41" s="83"/>
      <c r="D41" s="83"/>
      <c r="E41" s="83"/>
      <c r="F41" s="83"/>
      <c r="G41" s="66"/>
    </row>
    <row r="42" spans="2:7" x14ac:dyDescent="0.25">
      <c r="B42" s="82"/>
      <c r="C42" s="83"/>
      <c r="D42" s="83"/>
      <c r="E42" s="83"/>
      <c r="F42" s="83"/>
      <c r="G42" s="66"/>
    </row>
    <row r="43" spans="2:7" ht="15.75" thickBot="1" x14ac:dyDescent="0.3">
      <c r="B43" s="84"/>
      <c r="C43" s="85"/>
      <c r="D43" s="85"/>
      <c r="E43" s="85"/>
      <c r="F43" s="85"/>
      <c r="G43" s="67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7" priority="1" operator="equal">
      <formula>3</formula>
    </cfRule>
    <cfRule type="cellIs" dxfId="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8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31" t="s">
        <v>12</v>
      </c>
    </row>
    <row r="4" spans="2:7" ht="24" thickBot="1" x14ac:dyDescent="0.3">
      <c r="B4" s="14"/>
      <c r="C4" s="15" t="s">
        <v>37</v>
      </c>
      <c r="D4" s="71" t="str">
        <f>+'Line &amp; frequency'!C1</f>
        <v>CHAINE 4</v>
      </c>
      <c r="E4" s="72"/>
      <c r="F4" s="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29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27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30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31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75" t="s">
        <v>13</v>
      </c>
      <c r="C38" s="76"/>
      <c r="D38" s="77" t="s">
        <v>7</v>
      </c>
      <c r="E38" s="78"/>
      <c r="F38" s="79"/>
      <c r="G38" s="24" t="s">
        <v>8</v>
      </c>
    </row>
    <row r="39" spans="2:7" x14ac:dyDescent="0.25">
      <c r="B39" s="80"/>
      <c r="C39" s="81"/>
      <c r="D39" s="81"/>
      <c r="E39" s="81"/>
      <c r="F39" s="81"/>
      <c r="G39" s="65"/>
    </row>
    <row r="40" spans="2:7" x14ac:dyDescent="0.25">
      <c r="B40" s="82"/>
      <c r="C40" s="83"/>
      <c r="D40" s="83"/>
      <c r="E40" s="83"/>
      <c r="F40" s="83"/>
      <c r="G40" s="66"/>
    </row>
    <row r="41" spans="2:7" x14ac:dyDescent="0.25">
      <c r="B41" s="82"/>
      <c r="C41" s="83"/>
      <c r="D41" s="83"/>
      <c r="E41" s="83"/>
      <c r="F41" s="83"/>
      <c r="G41" s="66"/>
    </row>
    <row r="42" spans="2:7" x14ac:dyDescent="0.25">
      <c r="B42" s="82"/>
      <c r="C42" s="83"/>
      <c r="D42" s="83"/>
      <c r="E42" s="83"/>
      <c r="F42" s="83"/>
      <c r="G42" s="66"/>
    </row>
    <row r="43" spans="2:7" ht="15.75" thickBot="1" x14ac:dyDescent="0.3">
      <c r="B43" s="84"/>
      <c r="C43" s="85"/>
      <c r="D43" s="85"/>
      <c r="E43" s="85"/>
      <c r="F43" s="85"/>
      <c r="G43" s="67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5" priority="1" operator="equal">
      <formula>3</formula>
    </cfRule>
    <cfRule type="cellIs" dxfId="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5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31" t="s">
        <v>12</v>
      </c>
    </row>
    <row r="4" spans="2:7" ht="24" thickBot="1" x14ac:dyDescent="0.3">
      <c r="B4" s="14"/>
      <c r="C4" s="15" t="s">
        <v>38</v>
      </c>
      <c r="D4" s="71" t="str">
        <f>+'Line &amp; frequency'!C1</f>
        <v>CHAINE 4</v>
      </c>
      <c r="E4" s="72"/>
      <c r="F4" s="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29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27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30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31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75" t="s">
        <v>13</v>
      </c>
      <c r="C38" s="76"/>
      <c r="D38" s="77" t="s">
        <v>7</v>
      </c>
      <c r="E38" s="78"/>
      <c r="F38" s="79"/>
      <c r="G38" s="24" t="s">
        <v>8</v>
      </c>
    </row>
    <row r="39" spans="2:7" x14ac:dyDescent="0.25">
      <c r="B39" s="80"/>
      <c r="C39" s="81"/>
      <c r="D39" s="81"/>
      <c r="E39" s="81"/>
      <c r="F39" s="81"/>
      <c r="G39" s="65"/>
    </row>
    <row r="40" spans="2:7" x14ac:dyDescent="0.25">
      <c r="B40" s="82"/>
      <c r="C40" s="83"/>
      <c r="D40" s="83"/>
      <c r="E40" s="83"/>
      <c r="F40" s="83"/>
      <c r="G40" s="66"/>
    </row>
    <row r="41" spans="2:7" x14ac:dyDescent="0.25">
      <c r="B41" s="82"/>
      <c r="C41" s="83"/>
      <c r="D41" s="83"/>
      <c r="E41" s="83"/>
      <c r="F41" s="83"/>
      <c r="G41" s="66"/>
    </row>
    <row r="42" spans="2:7" x14ac:dyDescent="0.25">
      <c r="B42" s="82"/>
      <c r="C42" s="83"/>
      <c r="D42" s="83"/>
      <c r="E42" s="83"/>
      <c r="F42" s="83"/>
      <c r="G42" s="66"/>
    </row>
    <row r="43" spans="2:7" ht="15.75" thickBot="1" x14ac:dyDescent="0.3">
      <c r="B43" s="84"/>
      <c r="C43" s="85"/>
      <c r="D43" s="85"/>
      <c r="E43" s="85"/>
      <c r="F43" s="85"/>
      <c r="G43" s="67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3" priority="1" operator="equal">
      <formula>3</formula>
    </cfRule>
    <cfRule type="cellIs" dxfId="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31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8" t="s">
        <v>11</v>
      </c>
      <c r="C3" s="69"/>
      <c r="D3" s="69"/>
      <c r="E3" s="69"/>
      <c r="F3" s="70"/>
      <c r="G3" s="31" t="s">
        <v>12</v>
      </c>
    </row>
    <row r="4" spans="2:7" ht="24" thickBot="1" x14ac:dyDescent="0.3">
      <c r="B4" s="14"/>
      <c r="C4" s="15" t="s">
        <v>39</v>
      </c>
      <c r="D4" s="71" t="str">
        <f>+'Line &amp; frequency'!C1</f>
        <v>CHAINE 4</v>
      </c>
      <c r="E4" s="72"/>
      <c r="F4" s="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73" t="s">
        <v>0</v>
      </c>
      <c r="F6" s="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21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28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29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23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27</v>
      </c>
      <c r="D22" s="21">
        <v>25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30</v>
      </c>
      <c r="D23" s="21">
        <v>120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31</v>
      </c>
      <c r="D24" s="21">
        <v>60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75" t="s">
        <v>13</v>
      </c>
      <c r="C38" s="76"/>
      <c r="D38" s="77" t="s">
        <v>7</v>
      </c>
      <c r="E38" s="78"/>
      <c r="F38" s="79"/>
      <c r="G38" s="24" t="s">
        <v>8</v>
      </c>
    </row>
    <row r="39" spans="2:7" x14ac:dyDescent="0.25">
      <c r="B39" s="80"/>
      <c r="C39" s="81"/>
      <c r="D39" s="81"/>
      <c r="E39" s="81"/>
      <c r="F39" s="81"/>
      <c r="G39" s="65"/>
    </row>
    <row r="40" spans="2:7" x14ac:dyDescent="0.25">
      <c r="B40" s="82"/>
      <c r="C40" s="83"/>
      <c r="D40" s="83"/>
      <c r="E40" s="83"/>
      <c r="F40" s="83"/>
      <c r="G40" s="66"/>
    </row>
    <row r="41" spans="2:7" x14ac:dyDescent="0.25">
      <c r="B41" s="82"/>
      <c r="C41" s="83"/>
      <c r="D41" s="83"/>
      <c r="E41" s="83"/>
      <c r="F41" s="83"/>
      <c r="G41" s="66"/>
    </row>
    <row r="42" spans="2:7" x14ac:dyDescent="0.25">
      <c r="B42" s="82"/>
      <c r="C42" s="83"/>
      <c r="D42" s="83"/>
      <c r="E42" s="83"/>
      <c r="F42" s="83"/>
      <c r="G42" s="66"/>
    </row>
    <row r="43" spans="2:7" ht="15.75" thickBot="1" x14ac:dyDescent="0.3">
      <c r="B43" s="84"/>
      <c r="C43" s="85"/>
      <c r="D43" s="85"/>
      <c r="E43" s="85"/>
      <c r="F43" s="85"/>
      <c r="G43" s="67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" priority="1" operator="equal">
      <formula>3</formula>
    </cfRule>
    <cfRule type="cellIs" dxfId="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workbookViewId="0">
      <selection activeCell="F10" sqref="F10"/>
    </sheetView>
  </sheetViews>
  <sheetFormatPr baseColWidth="10" defaultRowHeight="15" x14ac:dyDescent="0.25"/>
  <cols>
    <col min="3" max="3" width="15.42578125" bestFit="1" customWidth="1"/>
    <col min="7" max="7" width="46.28515625" bestFit="1" customWidth="1"/>
  </cols>
  <sheetData>
    <row r="1" spans="2:7" x14ac:dyDescent="0.25">
      <c r="B1" t="s">
        <v>9</v>
      </c>
      <c r="C1" s="13" t="s">
        <v>14</v>
      </c>
    </row>
    <row r="2" spans="2:7" x14ac:dyDescent="0.25">
      <c r="B2" t="s">
        <v>10</v>
      </c>
      <c r="C2" s="13" t="s">
        <v>15</v>
      </c>
    </row>
    <row r="3" spans="2:7" ht="26.25" x14ac:dyDescent="0.25">
      <c r="B3" s="45" t="s">
        <v>12</v>
      </c>
      <c r="C3" s="46">
        <v>44273</v>
      </c>
      <c r="G3" s="44">
        <f>+'Line &amp; frequency'!C3</f>
        <v>44273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16</vt:i4>
      </vt:variant>
    </vt:vector>
  </HeadingPairs>
  <TitlesOfParts>
    <vt:vector size="34" baseType="lpstr">
      <vt:lpstr>Compresseur à air</vt:lpstr>
      <vt:lpstr>Blomax</vt:lpstr>
      <vt:lpstr>Soutireuse </vt:lpstr>
      <vt:lpstr>Paramix</vt:lpstr>
      <vt:lpstr>Etiqueteuse</vt:lpstr>
      <vt:lpstr>Kisters</vt:lpstr>
      <vt:lpstr>Handle application</vt:lpstr>
      <vt:lpstr>Convoyeurs</vt:lpstr>
      <vt:lpstr>Cvyr Btles</vt:lpstr>
      <vt:lpstr>CC C1</vt:lpstr>
      <vt:lpstr>CC C2</vt:lpstr>
      <vt:lpstr>CC C3</vt:lpstr>
      <vt:lpstr>CC C4</vt:lpstr>
      <vt:lpstr>CC C5</vt:lpstr>
      <vt:lpstr>CC C6</vt:lpstr>
      <vt:lpstr>CC C7</vt:lpstr>
      <vt:lpstr>CC C8</vt:lpstr>
      <vt:lpstr>Line &amp; frequency</vt:lpstr>
      <vt:lpstr>Blomax!Zone_d_impression</vt:lpstr>
      <vt:lpstr>'CC C1'!Zone_d_impression</vt:lpstr>
      <vt:lpstr>'CC C2'!Zone_d_impression</vt:lpstr>
      <vt:lpstr>'CC C3'!Zone_d_impression</vt:lpstr>
      <vt:lpstr>'CC C4'!Zone_d_impression</vt:lpstr>
      <vt:lpstr>'CC C5'!Zone_d_impression</vt:lpstr>
      <vt:lpstr>'CC C6'!Zone_d_impression</vt:lpstr>
      <vt:lpstr>'CC C7'!Zone_d_impression</vt:lpstr>
      <vt:lpstr>'CC C8'!Zone_d_impression</vt:lpstr>
      <vt:lpstr>'Compresseur à air'!Zone_d_impression</vt:lpstr>
      <vt:lpstr>Convoyeurs!Zone_d_impression</vt:lpstr>
      <vt:lpstr>'Cvyr Btles'!Zone_d_impression</vt:lpstr>
      <vt:lpstr>Etiqueteuse!Zone_d_impression</vt:lpstr>
      <vt:lpstr>'Handle application'!Zone_d_impression</vt:lpstr>
      <vt:lpstr>Kisters!Zone_d_impression</vt:lpstr>
      <vt:lpstr>'Soutireuse 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DOUALA</dc:creator>
  <cp:lastModifiedBy>USER</cp:lastModifiedBy>
  <cp:lastPrinted>2024-04-16T10:32:46Z</cp:lastPrinted>
  <dcterms:created xsi:type="dcterms:W3CDTF">2021-01-06T16:50:41Z</dcterms:created>
  <dcterms:modified xsi:type="dcterms:W3CDTF">2024-04-16T10:33:30Z</dcterms:modified>
</cp:coreProperties>
</file>