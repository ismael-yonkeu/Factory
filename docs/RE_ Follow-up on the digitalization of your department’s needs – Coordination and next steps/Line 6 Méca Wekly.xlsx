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025" tabRatio="949"/>
  </bookViews>
  <sheets>
    <sheet name="AF Ccompressor" sheetId="32" r:id="rId1"/>
    <sheet name="Blomax" sheetId="1" r:id="rId2"/>
    <sheet name="Soutireuse  " sheetId="31" r:id="rId3"/>
    <sheet name="Gassnerr" sheetId="6" r:id="rId4"/>
    <sheet name="Paramix" sheetId="29" r:id="rId5"/>
    <sheet name="CIP" sheetId="30" r:id="rId6"/>
    <sheet name="Etiqueteuse" sheetId="8" r:id="rId7"/>
    <sheet name="Kisters" sheetId="9" r:id="rId8"/>
    <sheet name="Handle applicator" sheetId="10" r:id="rId9"/>
    <sheet name="Convoyeurs" sheetId="11" r:id="rId10"/>
    <sheet name="Cvyr Btles" sheetId="12" state="hidden" r:id="rId11"/>
    <sheet name="CC C1" sheetId="13" state="hidden" r:id="rId12"/>
    <sheet name="CC C2" sheetId="15" state="hidden" r:id="rId13"/>
    <sheet name="CC C3" sheetId="16" state="hidden" r:id="rId14"/>
    <sheet name="CC C4" sheetId="17" state="hidden" r:id="rId15"/>
    <sheet name="CC C5" sheetId="18" state="hidden" r:id="rId16"/>
    <sheet name="CC C6" sheetId="19" state="hidden" r:id="rId17"/>
    <sheet name="CC C7" sheetId="20" state="hidden" r:id="rId18"/>
    <sheet name="CC C8" sheetId="21" state="hidden" r:id="rId19"/>
    <sheet name="Line &amp; frequency" sheetId="2" state="hidden" r:id="rId20"/>
    <sheet name="Cooling towers" sheetId="33" r:id="rId21"/>
    <sheet name="Blower" sheetId="34" r:id="rId22"/>
  </sheets>
  <definedNames>
    <definedName name="_xlnm.Print_Area" localSheetId="0">'AF Ccompressor'!$B$3:$G$27</definedName>
    <definedName name="_xlnm.Print_Area" localSheetId="1">Blomax!$B$3:$G$51</definedName>
    <definedName name="_xlnm.Print_Area" localSheetId="11">'CC C1'!$B$3:$G$63</definedName>
    <definedName name="_xlnm.Print_Area" localSheetId="12">'CC C2'!$B$3:$G$63</definedName>
    <definedName name="_xlnm.Print_Area" localSheetId="13">'CC C3'!$B$3:$G$32</definedName>
    <definedName name="_xlnm.Print_Area" localSheetId="14">'CC C4'!$B$3:$G$37</definedName>
    <definedName name="_xlnm.Print_Area" localSheetId="15">'CC C5'!$B$3:$G$37</definedName>
    <definedName name="_xlnm.Print_Area" localSheetId="16">'CC C6'!$B$3:$G$37</definedName>
    <definedName name="_xlnm.Print_Area" localSheetId="17">'CC C7'!$B$3:$G$37</definedName>
    <definedName name="_xlnm.Print_Area" localSheetId="18">'CC C8'!$B$3:$G$37</definedName>
    <definedName name="_xlnm.Print_Area" localSheetId="9">Convoyeurs!$B$1:$G$23</definedName>
    <definedName name="_xlnm.Print_Area" localSheetId="10">'Cvyr Btles'!$B$3:$G$63</definedName>
    <definedName name="_xlnm.Print_Area" localSheetId="6">Etiqueteuse!$B$3:$G$40</definedName>
    <definedName name="_xlnm.Print_Area" localSheetId="3">Gassnerr!$B$3:$G$23</definedName>
    <definedName name="_xlnm.Print_Area" localSheetId="8">'Handle applicator'!$B$1:$G$36</definedName>
    <definedName name="_xlnm.Print_Area" localSheetId="7">Kisters!$B$3:$G$56</definedName>
  </definedNames>
  <calcPr calcId="144525" calcMode="manual"/>
</workbook>
</file>

<file path=xl/calcChain.xml><?xml version="1.0" encoding="utf-8"?>
<calcChain xmlns="http://schemas.openxmlformats.org/spreadsheetml/2006/main">
  <c r="G4" i="32" l="1"/>
  <c r="B8" i="34" l="1"/>
  <c r="B9" i="34" s="1"/>
  <c r="B10" i="34" s="1"/>
  <c r="B11" i="34" s="1"/>
  <c r="B12" i="34" s="1"/>
  <c r="B13" i="34" s="1"/>
  <c r="B14" i="34" s="1"/>
  <c r="G4" i="34"/>
  <c r="G4" i="33" l="1"/>
  <c r="B8" i="30" l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G4" i="30"/>
  <c r="B8" i="29" l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9" i="31" l="1"/>
  <c r="B10" i="31" s="1"/>
  <c r="B11" i="31" s="1"/>
  <c r="B12" i="31" s="1"/>
  <c r="B13" i="31" s="1"/>
  <c r="B14" i="31" s="1"/>
  <c r="B15" i="31" s="1"/>
  <c r="B16" i="31" s="1"/>
  <c r="B17" i="31" s="1"/>
  <c r="B18" i="31" s="1"/>
  <c r="B20" i="31" s="1"/>
  <c r="B21" i="31" s="1"/>
  <c r="B22" i="31" s="1"/>
  <c r="B23" i="31" s="1"/>
  <c r="B24" i="31" s="1"/>
  <c r="B25" i="31" s="1"/>
  <c r="B28" i="31" s="1"/>
  <c r="G4" i="31"/>
  <c r="G4" i="1" l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G4" i="13" l="1"/>
  <c r="D4" i="13"/>
  <c r="G4" i="12"/>
  <c r="D4" i="12"/>
  <c r="G4" i="11"/>
  <c r="G4" i="10"/>
  <c r="G4" i="9"/>
  <c r="G4" i="8"/>
  <c r="G4" i="6"/>
</calcChain>
</file>

<file path=xl/sharedStrings.xml><?xml version="1.0" encoding="utf-8"?>
<sst xmlns="http://schemas.openxmlformats.org/spreadsheetml/2006/main" count="746" uniqueCount="267">
  <si>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</si>
  <si>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</si>
  <si>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</si>
  <si>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</si>
  <si>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</si>
  <si>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</si>
  <si>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</si>
  <si>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</si>
  <si>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</si>
  <si>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</si>
  <si>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</si>
  <si>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</si>
  <si>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</si>
  <si>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</si>
  <si>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</si>
  <si>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</si>
  <si>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SOUTIREUSE</t>
  </si>
  <si>
    <t>ETIQUETEUSE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</si>
  <si>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</si>
  <si>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</si>
  <si>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</si>
  <si>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</si>
  <si>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</si>
  <si>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</si>
  <si>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</si>
  <si>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</si>
  <si>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</si>
  <si>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</si>
  <si>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</si>
  <si>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</si>
  <si>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</si>
  <si>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</si>
  <si>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</si>
  <si>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</si>
  <si>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</si>
  <si>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</si>
  <si>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</si>
  <si>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</si>
  <si>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</si>
  <si>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</si>
  <si>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</si>
  <si>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Nettoyer la salle blanche</t>
  </si>
  <si>
    <t>Contrôler l'étanchéité des réducteurs.</t>
  </si>
  <si>
    <t>PARAMIX</t>
  </si>
  <si>
    <t>CIP</t>
  </si>
  <si>
    <t>KISTERS</t>
  </si>
  <si>
    <t>Vérifier que la tension du Tapis d'alimentation est correcte</t>
  </si>
  <si>
    <t>Contrôler les rouleaux d'application</t>
  </si>
  <si>
    <t>Nettoyer les rampes latérales</t>
  </si>
  <si>
    <t>Nettoyer les rampes automatiques</t>
  </si>
  <si>
    <t>Nettoyer les rampes de renvoi</t>
  </si>
  <si>
    <t>CONVOYEURS</t>
  </si>
  <si>
    <t>Nettoyer les orifices de ventilation</t>
  </si>
  <si>
    <t>Nettoyer la cuve de récupération du Module de chauffe</t>
  </si>
  <si>
    <t xml:space="preserve">Contrôler la fluidité du rotor du Module de soufflage </t>
  </si>
  <si>
    <t>Controler le Dispositif d'étirage</t>
  </si>
  <si>
    <t>Nettoyer Roue de soufflage</t>
  </si>
  <si>
    <t>Nettoyer Poste de soufflage</t>
  </si>
  <si>
    <t>Contrôler la céramique réflectrice du Module de chauffe - Four linéaire</t>
  </si>
  <si>
    <t>Vérifier l'encrassement du préfiltre sur le couvercle</t>
  </si>
  <si>
    <t xml:space="preserve">Vérifier l'encrassement et la sécheresse du filtre principal (filtre HEPA) </t>
  </si>
  <si>
    <t>Vérifier la différence de pression du filtre à air sur le couvercle</t>
  </si>
  <si>
    <t>Vérifier la propreté de l'air dans la salle.</t>
  </si>
  <si>
    <t>Contrôler les fuites sur les groupes de soupapes.</t>
  </si>
  <si>
    <t>Contrôler le système de refroidissement d'eau</t>
  </si>
  <si>
    <t>Opérez le commutateur TEST au purgeur automatique</t>
  </si>
  <si>
    <t xml:space="preserve">Nettoyer les surfaces de guidage du Module de transfert </t>
  </si>
  <si>
    <t>Nettoyer les surfaces de guidage de Détection de fonds des bouteilles</t>
  </si>
  <si>
    <t>Contrôler les orifices de décharge sur le passage rotatif</t>
  </si>
  <si>
    <t>Contrôler l'état et la lisibilité des panneaux.</t>
  </si>
  <si>
    <t>Nettoyer le couvercle de la salle blanche de l'intérieur.</t>
  </si>
  <si>
    <t>Nettoyer le canal à bouchons.</t>
  </si>
  <si>
    <t>Nettoyer le récipient d'alimentation en bouchons</t>
  </si>
  <si>
    <t>Vérifier si le liquide s'échappe des raccords laitiers.</t>
  </si>
  <si>
    <t>Nettoyer puis essuyer les surfaces et les sols.</t>
  </si>
  <si>
    <t>Vérifier la pression de l'entraînement des soupapes à disques et de régulation.</t>
  </si>
  <si>
    <t>Vérifier le niveau de liquide dans le séparateur d'eau.</t>
  </si>
  <si>
    <t>Vérifier si les conduites pneumatiques sont endommagées</t>
  </si>
  <si>
    <t>Vérifier que le manomètre installé fournit des valeurs de pression plausibles à des pressions connues</t>
  </si>
  <si>
    <t>Vérifier si le silencieux est bouché.</t>
  </si>
  <si>
    <t>Vérifier si le tube de protection du silencieux est manquant ou relâché.</t>
  </si>
  <si>
    <t>Vérifier si du liquide s'échappe des raccords laitiers.</t>
  </si>
  <si>
    <t>Vérifier si les conduites pneumatiques sont endommagées.</t>
  </si>
  <si>
    <t>Vérifier que le manomètre installé affiche des valeurs plausibles.</t>
  </si>
  <si>
    <t>Vérifier et serrer toute les stations</t>
  </si>
  <si>
    <t>Mesurer l'usure et l'endommagement des bagues de centrage et des garnitures. (inf à 3mm)</t>
  </si>
  <si>
    <t>Vérifier le fonctionnement des composants de l'utilisation des étiquettes,</t>
  </si>
  <si>
    <t>Vérifier l'état du dispositif de brossage des étiquettes.</t>
  </si>
  <si>
    <t>Vérifier l'usure de la chaîne de transport et les barres de glissement</t>
  </si>
  <si>
    <t>Contrôler l'usure de la courroie d'entraînement</t>
  </si>
  <si>
    <t>Contrôler le déroulement en ligne droite du Tapis de transport de film</t>
  </si>
  <si>
    <t>Vérifier le fonctionnement de la Soufflerie à vide de la station de coupe de film,</t>
  </si>
  <si>
    <t>Éliminer les encrassements et Vérifier l'absence de dommages visibles sur la machine</t>
  </si>
  <si>
    <t>Contrôler le déroulement en ligne droite du tapis d'alimentation</t>
  </si>
  <si>
    <t>Vérifier que les capots restent bien dans les positions finales supérieure et inférieure.</t>
  </si>
  <si>
    <t>Vérifier la peinture à la recherche de détériorations.</t>
  </si>
  <si>
    <t>Vérifier les liaisons par vis des pièces sollicitées et mobiles sur les Raccords vissés</t>
  </si>
  <si>
    <t>Contrôler l'étanchéité des conduites pneumatiques</t>
  </si>
  <si>
    <t>Vérifier l'absence de dommages visibles sur la Courroie d'entraînement</t>
  </si>
  <si>
    <t>Éliminer les encrassements sur les Chaînes d'entraînement</t>
  </si>
  <si>
    <t>Éliminer les salissures à l'aide d'un pinceau à poils durs sur les Tendeurs de chaîne (Contrôler la position et Vérifier le fonctionnemen</t>
  </si>
  <si>
    <t>Vérifier si les chaînes et les roues à chaîne sont alignées (entrainement)</t>
  </si>
  <si>
    <t>Contrôler les embrayages de surcharge d'entrainement</t>
  </si>
  <si>
    <t>Vérifier l'absence de dommages visibles sur les Supports de chaîne</t>
  </si>
  <si>
    <t>Vérifier l'absence de dommages visibles sur les ressorts</t>
  </si>
  <si>
    <t>Vérifier l'absence de dommages visibles sur les roues à chaîne</t>
  </si>
  <si>
    <t>Éliminer les encrassements et Vérifier l'absence de dommages visibles sur les Guidages et transferts</t>
  </si>
  <si>
    <t>Vérifier l'absence de dommages visibles sur les Vérins pneumatiques</t>
  </si>
  <si>
    <t>Vérifier l'absence de dommages visibles sur les soupapes et Contrôler l'étanchéité</t>
  </si>
  <si>
    <t xml:space="preserve">Éliminer les encrassements sur le tapis d'alimentation </t>
  </si>
  <si>
    <t>Nettoyer les galets d'entraînement, les poulies de renvoi et les transferts à rouleaux et Vérifier l'absence de dommages visibles</t>
  </si>
  <si>
    <t>Éliminer les encrassements sur les Chaînes de convoyage et Vérifier l'absence de dommages visibles et Vérifier que la tension est correcte</t>
  </si>
  <si>
    <t>Contrôler l'état d'usure des Barres de cycleur supérieures</t>
  </si>
  <si>
    <t xml:space="preserve"> Vérifier que la tension des Cycleurs est correcte</t>
  </si>
  <si>
    <t>Éliminer les encrassements sur les Rails de guidage des cycleurs supérieurs et  Vérifier l'absence de dommages visibles</t>
  </si>
  <si>
    <t>Éliminer les encrassements sur Station de groupage et Vérifier la bonne fixation des segments
de groupage et Vérifier l'absence de dommages visibles.</t>
  </si>
  <si>
    <t>Éliminer les encrassements sur Rouleaux en caoutchouc de la station de coupe de film Vérifier l'absence de dommages visibles et Vérifier l'absence d'abrasion et d'aspérités</t>
  </si>
  <si>
    <t>Controler les Barres antistatiques</t>
  </si>
  <si>
    <t>Éliminer les encrassements sur les Mandrins de prise de bobine de film et Vérifier l'absence de dommages visibles</t>
  </si>
  <si>
    <t>Éliminer les encrassements sur les Rideaux du tunnel de rétraction</t>
  </si>
  <si>
    <t>Contrôler la chaîne à maillons ou à barres du Tunnel de rétraction et Éliminer les encrassements</t>
  </si>
  <si>
    <t>Éliminer les encrassements sur Interrupteur de sécurité et Vérifier le fonctionnement</t>
  </si>
  <si>
    <t>Contrôler le déroulement en ligne droite du Tapis d'alimentation et tapis de convoyeur</t>
  </si>
  <si>
    <t>Contrôler le bon fonctionnement des portes de protection</t>
  </si>
  <si>
    <t>Vérifier la peinture à la recherche de détériorations</t>
  </si>
  <si>
    <t>Éliminer les encrassements sur les Guidages et transferts</t>
  </si>
  <si>
    <t>Vérifier le fonctionnement des Vérins pneumatiques et soupapes</t>
  </si>
  <si>
    <t>Nettoyer les galets d'entraînement, les poulies de renvoi et les transferts à rouleaux des Tapis d'alimentation et tapis de convoyeur</t>
  </si>
  <si>
    <t>Contrôler la fluidité et l'usure du danseur du Guidage de la bande adhésive</t>
  </si>
  <si>
    <t>Contrôler le bon fonctionnement et l'usure du chariot d'étiquettes du Dispositif de laminage</t>
  </si>
  <si>
    <t>Contrôler le bon fonctionnement et l'usure du vérin pneumatique du Dispositif de laminage</t>
  </si>
  <si>
    <t>Vérifier les liaisons par vis des pièces sollicitées et mobiles (Raccords vissés)</t>
  </si>
  <si>
    <t>Vérifier l'absence de dommages visibles sur les Tapis d'alimentation et tapis de convoyeur</t>
  </si>
  <si>
    <t xml:space="preserve">Contrôler la fluidité et l'usure du danseur du Dispositif de laminage </t>
  </si>
  <si>
    <t>Contrôler le couteau et le guidage du couteau</t>
  </si>
  <si>
    <t>HANDLE APPLICATOR</t>
  </si>
  <si>
    <t>Controler l'état des filtres d'air sur l'indicateur de salissure</t>
  </si>
  <si>
    <t>Contrôler le bon fonctionnement de l'élimination du condensat</t>
  </si>
  <si>
    <t>Nettoyer les Capteurs avec un chiffon doux et humide</t>
  </si>
  <si>
    <t>Éliminer les encrassements sur les Tapis d'alimentation et tapis de convoyeur</t>
  </si>
  <si>
    <t>Cooling towers</t>
  </si>
  <si>
    <t>Nettoyer le Box Kipper</t>
  </si>
  <si>
    <t>Nettoyer les barrieres photos électriques et reflecteurs</t>
  </si>
  <si>
    <t>Verifier l'état des vannes pneumatiques</t>
  </si>
  <si>
    <t>Nettoyer les moteurs</t>
  </si>
  <si>
    <t>Verifier si le liquide s'échappe des pompes</t>
  </si>
  <si>
    <t>Verifier les l'état des joints des vannes pneumatiques</t>
  </si>
  <si>
    <t>Controler l'état des tetes de piston</t>
  </si>
  <si>
    <t>Verifier l'effort de serrage des manettes de blocage</t>
  </si>
  <si>
    <t>Verifier le magnetisme des selettes</t>
  </si>
  <si>
    <t>Controler l'usure de la courroie de vis d'admission</t>
  </si>
  <si>
    <t>Controler l'usure de la vis élevateur de niveau</t>
  </si>
  <si>
    <t>Verifier l'état d'usure de la roue de convoyeur de format</t>
  </si>
  <si>
    <t>Nettoyer le Air dryer</t>
  </si>
  <si>
    <t>nettoyer les grilles de protection des moteurs</t>
  </si>
  <si>
    <t>Contrôler et/ou nettoyer le système de refroidissement du sécheur</t>
  </si>
  <si>
    <t>Controler  le filtre d'huile et nettoyer si besoin</t>
  </si>
  <si>
    <t>Tester la machine à la fin de la maintenance</t>
  </si>
  <si>
    <t>Controler l'état du filtre d'air d'alimentation sur le verre indicateur et nettoyer si besoin</t>
  </si>
  <si>
    <t>Nettoyer le porte moule</t>
  </si>
  <si>
    <t>Verifier si le liquide s'échappe sur les pompes (garnitures)</t>
  </si>
  <si>
    <t>Tester les convoyeurs à la fin de la maintenance</t>
  </si>
  <si>
    <t>Nettoyer les guides et le convoyeur à rouleau des preformes avec l'alcool</t>
  </si>
  <si>
    <t>Controler le serrage des guides</t>
  </si>
  <si>
    <t>Éliminer les encrassements sur le Couteau de film et Retirer les résidus de film (Ne pas uti‐
liser d'outils durs !) et Vérifier l'absence de dommages visibles</t>
  </si>
  <si>
    <t>Vérifier que la tension des Chaînes de groupage est correcte</t>
  </si>
  <si>
    <t>Éliminer les encrassements sur les Supports de produits et Vérifier la presence de dommages visibles</t>
  </si>
  <si>
    <t>Contrôler l'étanchéité des vérins et des soupapes</t>
  </si>
  <si>
    <t xml:space="preserve"> Éliminer les encrassements sur le guidage de la bande adhésive</t>
  </si>
  <si>
    <t>Éliminer les encrassements sur les Conduites de lubrification</t>
  </si>
  <si>
    <t>nettoyer les ventilenteurs de refroidissement à la sortie de machine</t>
  </si>
  <si>
    <t>HEBDMADAIRE</t>
  </si>
  <si>
    <t>Controler l'espacement du canal de bouchons</t>
  </si>
  <si>
    <t>controler les pinces des étoiles et remplacer si neccessaire</t>
  </si>
  <si>
    <t>Controler l'état des barres de Fardelage</t>
  </si>
  <si>
    <t>Controler le niveau d'huile dans le bac</t>
  </si>
  <si>
    <t>Controler l'état de la courroie d'entrainement des packs</t>
  </si>
  <si>
    <t>Controler les injecteurs d'eau et d'air et déboucher si neccessaire</t>
  </si>
  <si>
    <t>Souffler les pré-filtres</t>
  </si>
  <si>
    <t>Verifier la presence de graisse sur le rotor du Module de soufflage</t>
  </si>
  <si>
    <t>Contrôler l'étanchéité des conduites de lubrification</t>
  </si>
  <si>
    <t>Controler l'état du rouleau de pressage des étiquettes</t>
  </si>
  <si>
    <t>Controler la tension des chaines des convoyeurs et reduire si neccessaire</t>
  </si>
  <si>
    <t>Controler la tension des chaines motrices au niveau des combiners et reduire si neccessaire</t>
  </si>
  <si>
    <t>controler manuellement le circuit de graissage</t>
  </si>
  <si>
    <t>Nettoyer l'extracteur de chaleur</t>
  </si>
  <si>
    <t>AF COMPRESSOR</t>
  </si>
  <si>
    <t xml:space="preserve">Date: </t>
  </si>
  <si>
    <t>Controler les circlipses des robinets et redresser si neccessaire</t>
  </si>
  <si>
    <t>Controler les serrages des robinets</t>
  </si>
  <si>
    <t>Nettoyer les traces de rouille sur la machine avec le Stainless Steel Cleaning</t>
  </si>
  <si>
    <t>Controler l'état des supports de bouteilles sur l'étoile centrale</t>
  </si>
  <si>
    <t>Controler l'état des tuyaux de compression et decompression</t>
  </si>
  <si>
    <t>Controler l'état de transmission du système de distribution des bouchons</t>
  </si>
  <si>
    <t>Purger le filtre d'air à la sortie du sécheur</t>
  </si>
  <si>
    <t>Controler l'état de la courroie de chaine des mandrins</t>
  </si>
  <si>
    <t>Controler l'état des pignons</t>
  </si>
  <si>
    <t>Controler l'état des galets des chariots d'étirage</t>
  </si>
  <si>
    <t>Controler la tension des chaines à rouleaux preformes</t>
  </si>
  <si>
    <t>Controler l'état des courroies</t>
  </si>
  <si>
    <t>Controler l'état des joints des tetes de scellage</t>
  </si>
  <si>
    <t xml:space="preserve">Nettoyer les debris de film à la sortie du tunnel </t>
  </si>
  <si>
    <t xml:space="preserve">Présence de la rouille </t>
  </si>
  <si>
    <t xml:space="preserve">nettoyer la carrosserie </t>
  </si>
  <si>
    <t>Vérifier l'état de la peinture</t>
  </si>
  <si>
    <t>Nettoyer complètement le chiller</t>
  </si>
  <si>
    <t>Tester la machine à la fin de maintenance</t>
  </si>
  <si>
    <t>Controler l'état de toutes les courroies</t>
  </si>
  <si>
    <t>Nettoyer toutes les pieces du changeover éliminer les traces de sucres)</t>
  </si>
  <si>
    <t>Nettoyer les orifices d'aspiration du tambou à vide et son siège</t>
  </si>
  <si>
    <t>Nettoyer les débrits de film à la sortie du four</t>
  </si>
  <si>
    <t>Controler l'état du filtre du CO2 et nettoyer si sale</t>
  </si>
  <si>
    <t>Controler l'état des filtre d'eau et d'air du product maniford et nettoyer si sale</t>
  </si>
  <si>
    <t>Controler l'état de la roue d'expulsion des preformes</t>
  </si>
  <si>
    <t>Controler l'état des roulements</t>
  </si>
  <si>
    <t>Verifier le serrage des galets</t>
  </si>
  <si>
    <t>Controler l'état des mousses des étoiles</t>
  </si>
  <si>
    <t>Controler l'articulation des portes moules mobiles</t>
  </si>
  <si>
    <t>Blower</t>
  </si>
  <si>
    <t>Controler le guidage des bouteilles à l'interieur et ajuster si necessaire</t>
  </si>
  <si>
    <t>Controler la position des buses sur les bouteilles et ajuster si necessaire</t>
  </si>
  <si>
    <t>Controler la fixation des supports des buses et serrer si necessaire</t>
  </si>
  <si>
    <t>Deboucher toutes les buses bouchées</t>
  </si>
  <si>
    <t>Controler le fonctionnement des souffleurs et remedier si necessaire</t>
  </si>
  <si>
    <t>Nettoyer les filtres sur les conduites d'aspiration des souffleurs</t>
  </si>
  <si>
    <t>BLOMAX</t>
  </si>
  <si>
    <t xml:space="preserve">Controler, tester l'ouverture et fermeture de toutes les vannes pneumatiques  </t>
  </si>
  <si>
    <t xml:space="preserve">Controler la resistance des mouvements sur axes des pinces </t>
  </si>
  <si>
    <t>contrôler les axes de support de préhension</t>
  </si>
  <si>
    <t>Verifier le couple sur les tetes de fermeture (la vis de marquage doit doit etre alignée avec le chiffre 14)</t>
  </si>
  <si>
    <t>Controler les flexibles d'air du tambour à vide et signaler toute anomalie</t>
  </si>
  <si>
    <t>Controler les flexibles d'air du rouleau de transfert et signaler toute anomalie</t>
  </si>
  <si>
    <t>Controler le flexible d'air de refoulement et signaler toute anomalie</t>
  </si>
  <si>
    <t>Controler les raccords et robinetteries de raccordement d'air</t>
  </si>
  <si>
    <t>Nettoyer la station de coupe</t>
  </si>
  <si>
    <t>Nettoyer le banc à essai</t>
  </si>
  <si>
    <t>Nettoyer les orifices d'aspiration du rouleau de transfert</t>
  </si>
  <si>
    <t>Controler l'état du Slip ring et envoyer une photo dans le groupe de Line 6 maintenance</t>
  </si>
  <si>
    <t>Controler les tiges de mandrins</t>
  </si>
  <si>
    <t>Controler le serrage des pinces de maintien des mandrins</t>
  </si>
  <si>
    <t>Verifier l'état des chemises des bielles de la roue de tete</t>
  </si>
  <si>
    <t>Controler les chemises (bagues) des bielles de la roue de tete</t>
  </si>
  <si>
    <t>Nettoyer le radiateur de la pompe à vide</t>
  </si>
  <si>
    <t>Controler l'état des Blindeurs et les nettoyer</t>
  </si>
  <si>
    <t>Nettoyer la courroie de la table de bouteilles avec tissu sec</t>
  </si>
  <si>
    <t>Nettoyer la paroi d'air</t>
  </si>
  <si>
    <t>Controler l'état la Roue de soufflage</t>
  </si>
  <si>
    <t>Controler l'état des Chariots d'étirage et nettoyer</t>
  </si>
  <si>
    <t>Verifier que les points de refrence des tetes de scellage sont alignés à 18 pour les BG (si non, les aligner)</t>
  </si>
  <si>
    <t>Ouvrir le capot de la roue centrale pour controler l'état du pignon et nettoyer l'excès de graisse</t>
  </si>
  <si>
    <t>Controler l'état de tous les cone de serrage</t>
  </si>
  <si>
    <t>Tester manuellement l'ouverture et la fermeture des vannes</t>
  </si>
  <si>
    <t>GASSNER (BOUCHEUSE)</t>
  </si>
  <si>
    <t>Contrôler la fuite d'eau sur le distributeur rotatif et les flexibles</t>
  </si>
  <si>
    <t>Contrôler visuellement l'état des roulements et des flexibles (signaler toute anomalie)</t>
  </si>
  <si>
    <t>Controler le serrage des raccords enfichables du circuit de refroidissement des portes moules</t>
  </si>
  <si>
    <t>Nb: tapis entrée four remplacé le 28/03/2024</t>
  </si>
  <si>
    <t>+</t>
  </si>
  <si>
    <t>15min</t>
  </si>
  <si>
    <t>25min</t>
  </si>
  <si>
    <t>10min</t>
  </si>
  <si>
    <t>5min</t>
  </si>
  <si>
    <t>20min</t>
  </si>
  <si>
    <t>30min</t>
  </si>
  <si>
    <t>60min</t>
  </si>
  <si>
    <t>40min</t>
  </si>
  <si>
    <t>Roulements des extracteurs du chiller remplacés le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</si>
</sst>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0.0%"/>
    <numFmt numFmtId="166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Rockwell"/>
      <family val="2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5">
    <xf numFmtId="0" fontId="0" fillId="0" borderId="0"/>
    <xf numFmtId="0" fontId="16" fillId="0" borderId="0"/>
    <xf numFmtId="0" fontId="18" fillId="0" borderId="0"/>
    <xf numFmtId="0" fontId="19" fillId="0" borderId="0" applyNumberFormat="0" applyFill="0" applyBorder="0" applyAlignment="0" applyProtection="0"/>
    <xf numFmtId="0" fontId="1" fillId="0" borderId="0"/>
    <xf numFmtId="0" fontId="18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9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0" fontId="9" fillId="2" borderId="20" xfId="0" applyFont="1" applyFill="1" applyBorder="1" applyAlignment="1" applyProtection="1">
      <alignment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0" fillId="2" borderId="0" xfId="0" applyFont="1" applyFill="1" applyProtection="1">
      <protection locked="0"/>
    </xf>
    <xf numFmtId="164" fontId="23" fillId="0" borderId="36" xfId="2" applyNumberFormat="1" applyFont="1" applyBorder="1" applyAlignment="1" applyProtection="1">
      <alignment horizontal="left" vertical="center" wrapText="1"/>
      <protection locked="0"/>
    </xf>
    <xf numFmtId="0" fontId="24" fillId="2" borderId="7" xfId="0" applyFont="1" applyFill="1" applyBorder="1" applyAlignment="1" applyProtection="1">
      <alignment horizontal="center" vertical="center"/>
      <protection locked="0"/>
    </xf>
    <xf numFmtId="0" fontId="25" fillId="2" borderId="1" xfId="0" applyFont="1" applyFill="1" applyBorder="1" applyAlignment="1" applyProtection="1">
      <alignment horizontal="center" vertical="center"/>
      <protection locked="0"/>
    </xf>
    <xf numFmtId="0" fontId="26" fillId="3" borderId="9" xfId="0" applyFont="1" applyFill="1" applyBorder="1" applyAlignment="1" applyProtection="1">
      <alignment horizontal="center" vertical="center"/>
      <protection locked="0"/>
    </xf>
    <xf numFmtId="0" fontId="26" fillId="3" borderId="10" xfId="0" applyFont="1" applyFill="1" applyBorder="1" applyAlignment="1" applyProtection="1">
      <alignment horizontal="center" vertical="center"/>
      <protection locked="0"/>
    </xf>
    <xf numFmtId="0" fontId="26" fillId="3" borderId="6" xfId="0" applyFont="1" applyFill="1" applyBorder="1" applyAlignment="1" applyProtection="1">
      <alignment horizontal="center" vertical="center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>
      <alignment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center" vertical="center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27" fillId="0" borderId="20" xfId="0" applyFont="1" applyBorder="1" applyAlignment="1">
      <alignment vertical="center" wrapText="1"/>
    </xf>
    <xf numFmtId="164" fontId="23" fillId="0" borderId="20" xfId="2" applyNumberFormat="1" applyFont="1" applyBorder="1" applyAlignment="1" applyProtection="1">
      <alignment horizontal="left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4" fontId="23" fillId="0" borderId="20" xfId="2" applyNumberFormat="1" applyFont="1" applyBorder="1" applyAlignment="1" applyProtection="1">
      <alignment horizontal="center" vertical="center" wrapText="1"/>
      <protection locked="0"/>
    </xf>
    <xf numFmtId="0" fontId="0" fillId="2" borderId="20" xfId="0" applyFont="1" applyFill="1" applyBorder="1" applyProtection="1">
      <protection locked="0"/>
    </xf>
    <xf numFmtId="0" fontId="26" fillId="3" borderId="42" xfId="0" applyFont="1" applyFill="1" applyBorder="1" applyAlignment="1" applyProtection="1">
      <alignment horizontal="center" vertical="center"/>
      <protection locked="0"/>
    </xf>
    <xf numFmtId="0" fontId="26" fillId="3" borderId="43" xfId="0" applyFont="1" applyFill="1" applyBorder="1" applyAlignment="1" applyProtection="1">
      <alignment horizontal="center" vertical="center"/>
      <protection locked="0"/>
    </xf>
    <xf numFmtId="0" fontId="26" fillId="3" borderId="44" xfId="0" applyFont="1" applyFill="1" applyBorder="1" applyAlignment="1" applyProtection="1">
      <alignment horizontal="center" vertical="center"/>
      <protection locked="0"/>
    </xf>
    <xf numFmtId="0" fontId="2" fillId="3" borderId="26" xfId="0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 applyProtection="1">
      <alignment horizontal="center" vertical="center"/>
      <protection locked="0"/>
    </xf>
    <xf numFmtId="0" fontId="26" fillId="3" borderId="46" xfId="0" applyFont="1" applyFill="1" applyBorder="1" applyAlignment="1" applyProtection="1">
      <alignment horizontal="center" vertical="center" wrapText="1"/>
      <protection locked="0"/>
    </xf>
    <xf numFmtId="0" fontId="28" fillId="0" borderId="20" xfId="0" applyFont="1" applyBorder="1" applyAlignment="1">
      <alignment vertical="center" wrapText="1"/>
    </xf>
    <xf numFmtId="0" fontId="29" fillId="2" borderId="20" xfId="0" applyFont="1" applyFill="1" applyBorder="1" applyAlignment="1" applyProtection="1">
      <alignment horizontal="center" vertical="center"/>
      <protection locked="0"/>
    </xf>
    <xf numFmtId="0" fontId="25" fillId="2" borderId="20" xfId="0" applyFont="1" applyFill="1" applyBorder="1" applyAlignment="1" applyProtection="1">
      <alignment horizontal="center" vertical="center"/>
      <protection locked="0"/>
    </xf>
    <xf numFmtId="0" fontId="26" fillId="3" borderId="20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6" fillId="3" borderId="20" xfId="0" applyFont="1" applyFill="1" applyBorder="1" applyAlignment="1" applyProtection="1">
      <alignment horizontal="center" vertical="center" wrapText="1"/>
      <protection locked="0"/>
    </xf>
    <xf numFmtId="164" fontId="23" fillId="0" borderId="41" xfId="2" applyNumberFormat="1" applyFont="1" applyBorder="1" applyAlignment="1" applyProtection="1">
      <alignment vertical="center" wrapText="1"/>
      <protection locked="0"/>
    </xf>
    <xf numFmtId="164" fontId="23" fillId="0" borderId="38" xfId="2" applyNumberFormat="1" applyFont="1" applyBorder="1" applyAlignment="1" applyProtection="1">
      <alignment vertical="center" wrapText="1"/>
      <protection locked="0"/>
    </xf>
    <xf numFmtId="0" fontId="8" fillId="2" borderId="14" xfId="0" applyFont="1" applyFill="1" applyBorder="1" applyAlignment="1">
      <alignment horizontal="left" vertical="center" wrapText="1"/>
    </xf>
    <xf numFmtId="0" fontId="30" fillId="0" borderId="20" xfId="0" applyFont="1" applyBorder="1" applyAlignment="1">
      <alignment vertical="center" wrapText="1"/>
    </xf>
    <xf numFmtId="0" fontId="4" fillId="3" borderId="20" xfId="0" applyFont="1" applyFill="1" applyBorder="1" applyAlignment="1" applyProtection="1">
      <alignment horizontal="center" vertical="center"/>
      <protection locked="0"/>
    </xf>
    <xf numFmtId="164" fontId="23" fillId="0" borderId="19" xfId="2" applyNumberFormat="1" applyFont="1" applyBorder="1" applyAlignment="1" applyProtection="1">
      <alignment horizontal="left" vertical="center" wrapText="1"/>
      <protection locked="0"/>
    </xf>
    <xf numFmtId="0" fontId="25" fillId="2" borderId="20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3" borderId="20" xfId="0" applyFont="1" applyFill="1" applyBorder="1" applyAlignment="1" applyProtection="1">
      <alignment horizontal="center" vertical="center"/>
      <protection locked="0"/>
    </xf>
    <xf numFmtId="0" fontId="31" fillId="2" borderId="14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hidden="1"/>
    </xf>
    <xf numFmtId="0" fontId="4" fillId="2" borderId="33" xfId="0" applyFont="1" applyFill="1" applyBorder="1" applyAlignment="1" applyProtection="1">
      <alignment horizontal="left" vertical="center"/>
      <protection locked="0"/>
    </xf>
    <xf numFmtId="0" fontId="4" fillId="2" borderId="32" xfId="0" applyFont="1" applyFill="1" applyBorder="1" applyProtection="1"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0" fillId="2" borderId="20" xfId="1" applyFont="1" applyFill="1" applyBorder="1" applyAlignment="1">
      <alignment vertical="center" wrapText="1"/>
    </xf>
    <xf numFmtId="0" fontId="0" fillId="2" borderId="20" xfId="0" applyFont="1" applyFill="1" applyBorder="1" applyAlignment="1">
      <alignment horizontal="left" vertical="center" wrapText="1"/>
    </xf>
    <xf numFmtId="0" fontId="4" fillId="2" borderId="48" xfId="0" applyFont="1" applyFill="1" applyBorder="1" applyAlignment="1" applyProtection="1">
      <alignment horizontal="center" vertical="center"/>
      <protection locked="0"/>
    </xf>
    <xf numFmtId="0" fontId="0" fillId="2" borderId="55" xfId="0" applyFont="1" applyFill="1" applyBorder="1" applyAlignment="1" applyProtection="1">
      <alignment horizontal="center"/>
      <protection locked="0"/>
    </xf>
    <xf numFmtId="0" fontId="0" fillId="2" borderId="56" xfId="0" applyFont="1" applyFill="1" applyBorder="1" applyAlignment="1" applyProtection="1">
      <alignment horizontal="center"/>
      <protection locked="0"/>
    </xf>
    <xf numFmtId="0" fontId="0" fillId="2" borderId="45" xfId="0" applyFont="1" applyFill="1" applyBorder="1" applyAlignment="1" applyProtection="1">
      <alignment horizontal="center"/>
      <protection locked="0"/>
    </xf>
    <xf numFmtId="0" fontId="22" fillId="5" borderId="6" xfId="0" applyFont="1" applyFill="1" applyBorder="1" applyAlignment="1" applyProtection="1">
      <alignment horizontal="center" vertical="center"/>
      <protection locked="0"/>
    </xf>
    <xf numFmtId="0" fontId="22" fillId="5" borderId="8" xfId="0" applyFont="1" applyFill="1" applyBorder="1" applyAlignment="1" applyProtection="1">
      <alignment horizontal="center" vertical="center"/>
      <protection locked="0"/>
    </xf>
    <xf numFmtId="0" fontId="22" fillId="5" borderId="7" xfId="0" applyFont="1" applyFill="1" applyBorder="1" applyAlignment="1" applyProtection="1">
      <alignment horizontal="center" vertical="center"/>
      <protection locked="0"/>
    </xf>
    <xf numFmtId="0" fontId="25" fillId="2" borderId="6" xfId="0" applyFont="1" applyFill="1" applyBorder="1" applyAlignment="1" applyProtection="1">
      <alignment horizontal="center" vertical="center"/>
      <protection locked="0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3" borderId="31" xfId="0" applyFont="1" applyFill="1" applyBorder="1" applyAlignment="1" applyProtection="1">
      <alignment horizontal="center" vertical="center"/>
      <protection locked="0"/>
    </xf>
    <xf numFmtId="0" fontId="4" fillId="3" borderId="25" xfId="0" applyFont="1" applyFill="1" applyBorder="1" applyAlignment="1" applyProtection="1">
      <alignment horizontal="center" vertical="center"/>
      <protection locked="0"/>
    </xf>
    <xf numFmtId="0" fontId="4" fillId="3" borderId="34" xfId="0" applyFont="1" applyFill="1" applyBorder="1" applyAlignment="1" applyProtection="1">
      <alignment horizontal="center" vertical="center" wrapText="1"/>
      <protection locked="0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35" xfId="0" applyFont="1" applyFill="1" applyBorder="1" applyAlignment="1" applyProtection="1">
      <alignment horizontal="center" vertical="center" wrapText="1"/>
      <protection locked="0"/>
    </xf>
    <xf numFmtId="0" fontId="0" fillId="2" borderId="2" xfId="0" applyFont="1" applyFill="1" applyBorder="1" applyAlignment="1" applyProtection="1">
      <alignment horizontal="center"/>
      <protection locked="0"/>
    </xf>
    <xf numFmtId="0" fontId="0" fillId="2" borderId="49" xfId="0" applyFont="1" applyFill="1" applyBorder="1" applyAlignment="1" applyProtection="1">
      <alignment horizontal="center"/>
      <protection locked="0"/>
    </xf>
    <xf numFmtId="0" fontId="0" fillId="2" borderId="50" xfId="0" applyFont="1" applyFill="1" applyBorder="1" applyAlignment="1" applyProtection="1">
      <alignment horizontal="center"/>
      <protection locked="0"/>
    </xf>
    <xf numFmtId="0" fontId="0" fillId="2" borderId="51" xfId="0" applyFont="1" applyFill="1" applyBorder="1" applyAlignment="1" applyProtection="1">
      <alignment horizontal="center"/>
      <protection locked="0"/>
    </xf>
    <xf numFmtId="0" fontId="0" fillId="2" borderId="44" xfId="0" applyFont="1" applyFill="1" applyBorder="1" applyAlignment="1" applyProtection="1">
      <alignment horizontal="center"/>
      <protection locked="0"/>
    </xf>
    <xf numFmtId="0" fontId="0" fillId="2" borderId="52" xfId="0" applyFont="1" applyFill="1" applyBorder="1" applyAlignment="1" applyProtection="1">
      <alignment horizontal="center"/>
      <protection locked="0"/>
    </xf>
    <xf numFmtId="0" fontId="0" fillId="2" borderId="10" xfId="0" applyFont="1" applyFill="1" applyBorder="1" applyAlignment="1" applyProtection="1">
      <alignment horizontal="center"/>
      <protection locked="0"/>
    </xf>
    <xf numFmtId="0" fontId="0" fillId="2" borderId="3" xfId="0" applyFont="1" applyFill="1" applyBorder="1" applyAlignment="1" applyProtection="1">
      <alignment horizontal="center"/>
      <protection locked="0"/>
    </xf>
    <xf numFmtId="0" fontId="0" fillId="2" borderId="43" xfId="0" applyFont="1" applyFill="1" applyBorder="1" applyAlignment="1" applyProtection="1">
      <alignment horizontal="center"/>
      <protection locked="0"/>
    </xf>
    <xf numFmtId="0" fontId="0" fillId="2" borderId="0" xfId="0" applyFont="1" applyFill="1" applyBorder="1" applyAlignment="1" applyProtection="1">
      <alignment horizontal="center"/>
      <protection locked="0"/>
    </xf>
    <xf numFmtId="0" fontId="0" fillId="2" borderId="53" xfId="0" applyFont="1" applyFill="1" applyBorder="1" applyAlignment="1" applyProtection="1">
      <alignment horizontal="center"/>
      <protection locked="0"/>
    </xf>
    <xf numFmtId="0" fontId="0" fillId="2" borderId="54" xfId="0" applyFont="1" applyFill="1" applyBorder="1" applyAlignment="1" applyProtection="1">
      <alignment horizontal="center"/>
      <protection locked="0"/>
    </xf>
    <xf numFmtId="0" fontId="0" fillId="2" borderId="2" xfId="0" applyFont="1" applyFill="1" applyBorder="1" applyAlignment="1" applyProtection="1">
      <alignment horizontal="left" vertical="top" wrapText="1"/>
      <protection locked="0"/>
    </xf>
    <xf numFmtId="0" fontId="0" fillId="2" borderId="49" xfId="0" applyFont="1" applyFill="1" applyBorder="1" applyAlignment="1" applyProtection="1">
      <alignment horizontal="left" vertical="top"/>
      <protection locked="0"/>
    </xf>
    <xf numFmtId="0" fontId="0" fillId="2" borderId="50" xfId="0" applyFont="1" applyFill="1" applyBorder="1" applyAlignment="1" applyProtection="1">
      <alignment horizontal="left" vertical="top"/>
      <protection locked="0"/>
    </xf>
    <xf numFmtId="0" fontId="0" fillId="2" borderId="51" xfId="0" applyFont="1" applyFill="1" applyBorder="1" applyAlignment="1" applyProtection="1">
      <alignment horizontal="left" vertical="top"/>
      <protection locked="0"/>
    </xf>
    <xf numFmtId="0" fontId="0" fillId="2" borderId="44" xfId="0" applyFont="1" applyFill="1" applyBorder="1" applyAlignment="1" applyProtection="1">
      <alignment horizontal="left" vertical="top"/>
      <protection locked="0"/>
    </xf>
    <xf numFmtId="0" fontId="0" fillId="2" borderId="52" xfId="0" applyFont="1" applyFill="1" applyBorder="1" applyAlignment="1" applyProtection="1">
      <alignment horizontal="left" vertical="top"/>
      <protection locked="0"/>
    </xf>
    <xf numFmtId="0" fontId="0" fillId="2" borderId="29" xfId="0" applyFont="1" applyFill="1" applyBorder="1" applyAlignment="1" applyProtection="1">
      <alignment horizontal="center"/>
      <protection locked="0"/>
    </xf>
    <xf numFmtId="0" fontId="0" fillId="2" borderId="20" xfId="0" applyFont="1" applyFill="1" applyBorder="1" applyAlignment="1" applyProtection="1">
      <alignment horizontal="center"/>
      <protection locked="0"/>
    </xf>
    <xf numFmtId="0" fontId="0" fillId="2" borderId="22" xfId="0" applyFont="1" applyFill="1" applyBorder="1" applyAlignment="1" applyProtection="1">
      <alignment horizontal="center"/>
      <protection locked="0"/>
    </xf>
    <xf numFmtId="0" fontId="0" fillId="2" borderId="30" xfId="0" applyFont="1" applyFill="1" applyBorder="1" applyAlignment="1" applyProtection="1">
      <alignment horizontal="center"/>
      <protection locked="0"/>
    </xf>
    <xf numFmtId="0" fontId="0" fillId="2" borderId="18" xfId="0" applyFont="1" applyFill="1" applyBorder="1" applyAlignment="1" applyProtection="1">
      <alignment horizontal="center"/>
      <protection locked="0"/>
    </xf>
    <xf numFmtId="0" fontId="0" fillId="2" borderId="23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 vertical="center"/>
      <protection locked="0"/>
    </xf>
    <xf numFmtId="0" fontId="22" fillId="5" borderId="3" xfId="0" applyFont="1" applyFill="1" applyBorder="1" applyAlignment="1" applyProtection="1">
      <alignment horizontal="center" vertical="center"/>
      <protection locked="0"/>
    </xf>
    <xf numFmtId="0" fontId="22" fillId="5" borderId="4" xfId="0" applyFont="1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 applyProtection="1">
      <alignment horizontal="center" vertical="center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0" fillId="2" borderId="28" xfId="0" applyFont="1" applyFill="1" applyBorder="1" applyAlignment="1" applyProtection="1">
      <alignment horizontal="center"/>
      <protection locked="0"/>
    </xf>
    <xf numFmtId="0" fontId="0" fillId="2" borderId="19" xfId="0" applyFont="1" applyFill="1" applyBorder="1" applyAlignment="1" applyProtection="1">
      <alignment horizontal="center"/>
      <protection locked="0"/>
    </xf>
    <xf numFmtId="0" fontId="0" fillId="2" borderId="21" xfId="0" applyFont="1" applyFill="1" applyBorder="1" applyAlignment="1" applyProtection="1">
      <alignment horizontal="center"/>
      <protection locked="0"/>
    </xf>
    <xf numFmtId="0" fontId="22" fillId="5" borderId="20" xfId="0" applyFont="1" applyFill="1" applyBorder="1" applyAlignment="1" applyProtection="1">
      <alignment horizontal="center" vertical="center"/>
      <protection locked="0"/>
    </xf>
    <xf numFmtId="0" fontId="25" fillId="2" borderId="20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22" fillId="5" borderId="47" xfId="0" applyFont="1" applyFill="1" applyBorder="1" applyAlignment="1" applyProtection="1">
      <alignment horizontal="center" vertical="center"/>
      <protection locked="0"/>
    </xf>
    <xf numFmtId="0" fontId="25" fillId="2" borderId="47" xfId="0" applyFont="1" applyFill="1" applyBorder="1" applyAlignment="1" applyProtection="1">
      <alignment horizontal="center" vertical="center"/>
      <protection locked="0"/>
    </xf>
    <xf numFmtId="0" fontId="4" fillId="3" borderId="20" xfId="0" applyFont="1" applyFill="1" applyBorder="1" applyAlignment="1" applyProtection="1">
      <alignment horizontal="center" vertical="center"/>
      <protection locked="0"/>
    </xf>
    <xf numFmtId="0" fontId="4" fillId="3" borderId="20" xfId="0" applyFont="1" applyFill="1" applyBorder="1" applyAlignment="1" applyProtection="1">
      <alignment horizontal="center" vertical="center" wrapText="1"/>
      <protection locked="0"/>
    </xf>
  </cellXfs>
  <cellStyles count="25">
    <cellStyle name="Comma 2" xfId="16"/>
    <cellStyle name="Hyperlink 3" xfId="6"/>
    <cellStyle name="Hyperlink 5" xfId="3"/>
    <cellStyle name="Milliers 3" xfId="17"/>
    <cellStyle name="Milliers 3 2" xfId="18"/>
    <cellStyle name="Normal" xfId="0" builtinId="0"/>
    <cellStyle name="Normal 2" xfId="5"/>
    <cellStyle name="Normal 2 2" xfId="2"/>
    <cellStyle name="Normal 21" xfId="7"/>
    <cellStyle name="Normal 22 12" xfId="8"/>
    <cellStyle name="Normal 23" xfId="9"/>
    <cellStyle name="Normal 24 12" xfId="10"/>
    <cellStyle name="Normal 29" xfId="11"/>
    <cellStyle name="Normal 3" xfId="1"/>
    <cellStyle name="Normal 3 2" xfId="14"/>
    <cellStyle name="Normal 31" xfId="4"/>
    <cellStyle name="Normal 32" xfId="12"/>
    <cellStyle name="Normal 33" xfId="13"/>
    <cellStyle name="Normal 4" xfId="19"/>
    <cellStyle name="Normal 5" xfId="20"/>
    <cellStyle name="Normal 6" xfId="21"/>
    <cellStyle name="Normal 7" xfId="22"/>
    <cellStyle name="Pourcentage 2" xfId="15"/>
    <cellStyle name="Pourcentage 3" xfId="23"/>
    <cellStyle name="Pourcentage 4" xfId="24"/>
  </cellStyles>
  <dxfs count="4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0</xdr:colOff>
      <xdr:row>3</xdr:row>
      <xdr:rowOff>31750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390"/>
          <a:ext cx="402167" cy="3506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11906</xdr:colOff>
      <xdr:row>2</xdr:row>
      <xdr:rowOff>369093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2712"/>
          <a:ext cx="416719" cy="3492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571500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151"/>
          <a:ext cx="547687" cy="55169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571500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551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36"/>
  <sheetViews>
    <sheetView tabSelected="1" view="pageBreakPreview" zoomScaleNormal="55" zoomScaleSheetLayoutView="100" zoomScalePageLayoutView="70" workbookViewId="0">
      <selection activeCell="K49" sqref="K49"/>
    </sheetView>
  </sheetViews>
  <sheetFormatPr baseColWidth="10" defaultColWidth="11.42578125" defaultRowHeight="15" x14ac:dyDescent="0.25"/>
  <cols>
    <col min="1" max="1" width="0.28515625" style="55" customWidth="1"/>
    <col min="2" max="2" width="7.855468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5.4257812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11" t="s">
        <v>11</v>
      </c>
      <c r="C3" s="112"/>
      <c r="D3" s="112"/>
      <c r="E3" s="112"/>
      <c r="F3" s="113"/>
      <c r="G3" s="56" t="s">
        <v>187</v>
      </c>
    </row>
    <row r="4" spans="2:7" ht="24" thickBot="1" x14ac:dyDescent="0.3">
      <c r="B4" s="14"/>
      <c r="C4" s="57" t="s">
        <v>186</v>
      </c>
      <c r="D4" s="114" t="s">
        <v>40</v>
      </c>
      <c r="E4" s="115"/>
      <c r="F4" s="116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9.5" thickBot="1" x14ac:dyDescent="0.3">
      <c r="B8" s="5">
        <v>1</v>
      </c>
      <c r="C8" s="69" t="s">
        <v>64</v>
      </c>
      <c r="D8" s="21"/>
      <c r="E8" s="19"/>
      <c r="F8" s="20"/>
      <c r="G8" s="33"/>
    </row>
    <row r="9" spans="2:7" s="4" customFormat="1" ht="19.5" thickBot="1" x14ac:dyDescent="0.3">
      <c r="B9" s="5">
        <v>2</v>
      </c>
      <c r="C9" s="69" t="s">
        <v>155</v>
      </c>
      <c r="D9" s="21"/>
      <c r="E9" s="19"/>
      <c r="F9" s="20"/>
      <c r="G9" s="33"/>
    </row>
    <row r="10" spans="2:7" s="4" customFormat="1" ht="19.5" thickBot="1" x14ac:dyDescent="0.3">
      <c r="B10" s="5">
        <v>3</v>
      </c>
      <c r="C10" s="69" t="s">
        <v>156</v>
      </c>
      <c r="D10" s="21"/>
      <c r="E10" s="19"/>
      <c r="F10" s="20"/>
      <c r="G10" s="33"/>
    </row>
    <row r="11" spans="2:7" s="4" customFormat="1" ht="19.5" thickBot="1" x14ac:dyDescent="0.3">
      <c r="B11" s="5">
        <v>4</v>
      </c>
      <c r="C11" s="69" t="s">
        <v>158</v>
      </c>
      <c r="D11" s="21"/>
      <c r="E11" s="19"/>
      <c r="F11" s="20"/>
      <c r="G11" s="33"/>
    </row>
    <row r="12" spans="2:7" s="4" customFormat="1" ht="19.5" thickBot="1" x14ac:dyDescent="0.3">
      <c r="B12" s="5">
        <v>5</v>
      </c>
      <c r="C12" s="69" t="s">
        <v>194</v>
      </c>
      <c r="D12" s="21"/>
      <c r="E12" s="19"/>
      <c r="F12" s="20"/>
      <c r="G12" s="33"/>
    </row>
    <row r="13" spans="2:7" s="4" customFormat="1" ht="19.5" thickBot="1" x14ac:dyDescent="0.3">
      <c r="B13" s="5">
        <v>6</v>
      </c>
      <c r="C13" s="69" t="s">
        <v>65</v>
      </c>
      <c r="D13" s="21"/>
      <c r="E13" s="19"/>
      <c r="F13" s="20"/>
      <c r="G13" s="33"/>
    </row>
    <row r="14" spans="2:7" s="4" customFormat="1" ht="19.5" thickBot="1" x14ac:dyDescent="0.3">
      <c r="B14" s="5">
        <v>7</v>
      </c>
      <c r="C14" s="69" t="s">
        <v>137</v>
      </c>
      <c r="D14" s="21"/>
      <c r="E14" s="19"/>
      <c r="F14" s="20"/>
      <c r="G14" s="33"/>
    </row>
    <row r="15" spans="2:7" s="4" customFormat="1" ht="19.5" thickBot="1" x14ac:dyDescent="0.3">
      <c r="B15" s="5">
        <v>8</v>
      </c>
      <c r="C15" s="69" t="s">
        <v>153</v>
      </c>
      <c r="D15" s="21"/>
      <c r="E15" s="19"/>
      <c r="F15" s="20"/>
      <c r="G15" s="33"/>
    </row>
    <row r="16" spans="2:7" s="4" customFormat="1" ht="19.5" thickBot="1" x14ac:dyDescent="0.3">
      <c r="B16" s="5">
        <v>9</v>
      </c>
      <c r="C16" s="69" t="s">
        <v>199</v>
      </c>
      <c r="D16" s="21"/>
      <c r="E16" s="19"/>
      <c r="F16" s="20"/>
      <c r="G16" s="33"/>
    </row>
    <row r="17" spans="2:7" s="4" customFormat="1" ht="19.5" thickBot="1" x14ac:dyDescent="0.3">
      <c r="B17" s="5">
        <v>10</v>
      </c>
      <c r="C17" s="69" t="s">
        <v>144</v>
      </c>
      <c r="D17" s="21"/>
      <c r="E17" s="19"/>
      <c r="F17" s="20"/>
      <c r="G17" s="33"/>
    </row>
    <row r="18" spans="2:7" s="103" customFormat="1" ht="19.5" thickBot="1" x14ac:dyDescent="0.35">
      <c r="B18" s="5">
        <v>11</v>
      </c>
      <c r="C18" s="66" t="s">
        <v>157</v>
      </c>
      <c r="D18" s="99"/>
      <c r="E18" s="101"/>
      <c r="F18" s="102"/>
      <c r="G18" s="100"/>
    </row>
    <row r="19" spans="2:7" s="4" customFormat="1" ht="19.5" thickBot="1" x14ac:dyDescent="0.3">
      <c r="B19" s="5">
        <v>12</v>
      </c>
      <c r="C19" s="66"/>
      <c r="D19" s="21"/>
      <c r="E19" s="19"/>
      <c r="F19" s="20"/>
      <c r="G19" s="33"/>
    </row>
    <row r="20" spans="2:7" s="4" customFormat="1" ht="19.5" thickBot="1" x14ac:dyDescent="0.3">
      <c r="B20" s="5">
        <v>13</v>
      </c>
      <c r="C20" s="66"/>
      <c r="D20" s="21"/>
      <c r="E20" s="19"/>
      <c r="F20" s="20"/>
      <c r="G20" s="33"/>
    </row>
    <row r="21" spans="2:7" s="4" customFormat="1" ht="19.5" thickBot="1" x14ac:dyDescent="0.3">
      <c r="B21" s="5">
        <v>14</v>
      </c>
      <c r="C21" s="66"/>
      <c r="D21" s="21"/>
      <c r="E21" s="19"/>
      <c r="F21" s="20"/>
      <c r="G21" s="33"/>
    </row>
    <row r="22" spans="2:7" s="68" customFormat="1" ht="19.5" customHeight="1" thickBot="1" x14ac:dyDescent="0.3">
      <c r="B22" s="119" t="s">
        <v>13</v>
      </c>
      <c r="C22" s="120"/>
      <c r="D22" s="121" t="s">
        <v>7</v>
      </c>
      <c r="E22" s="122"/>
      <c r="F22" s="123"/>
      <c r="G22" s="67" t="s">
        <v>8</v>
      </c>
    </row>
    <row r="23" spans="2:7" x14ac:dyDescent="0.25">
      <c r="B23" s="124"/>
      <c r="C23" s="125"/>
      <c r="D23" s="130"/>
      <c r="E23" s="131"/>
      <c r="F23" s="125"/>
      <c r="G23" s="108"/>
    </row>
    <row r="24" spans="2:7" x14ac:dyDescent="0.25">
      <c r="B24" s="126"/>
      <c r="C24" s="127"/>
      <c r="D24" s="132"/>
      <c r="E24" s="133"/>
      <c r="F24" s="127"/>
      <c r="G24" s="109"/>
    </row>
    <row r="25" spans="2:7" x14ac:dyDescent="0.25">
      <c r="B25" s="126"/>
      <c r="C25" s="127"/>
      <c r="D25" s="132"/>
      <c r="E25" s="133"/>
      <c r="F25" s="127"/>
      <c r="G25" s="109"/>
    </row>
    <row r="26" spans="2:7" x14ac:dyDescent="0.25">
      <c r="B26" s="126"/>
      <c r="C26" s="127"/>
      <c r="D26" s="132"/>
      <c r="E26" s="133"/>
      <c r="F26" s="127"/>
      <c r="G26" s="109"/>
    </row>
    <row r="27" spans="2:7" ht="15.75" thickBot="1" x14ac:dyDescent="0.3">
      <c r="B27" s="128"/>
      <c r="C27" s="129"/>
      <c r="D27" s="134"/>
      <c r="E27" s="135"/>
      <c r="F27" s="129"/>
      <c r="G27" s="110"/>
    </row>
    <row r="36" spans="11:11" x14ac:dyDescent="0.25">
      <c r="K36" s="55" t="s">
        <v>257</v>
      </c>
    </row>
  </sheetData>
  <sheetProtection selectLockedCells="1"/>
  <mergeCells count="8">
    <mergeCell ref="G23:G27"/>
    <mergeCell ref="B3:F3"/>
    <mergeCell ref="D4:F4"/>
    <mergeCell ref="E6:F6"/>
    <mergeCell ref="B22:C22"/>
    <mergeCell ref="D22:F22"/>
    <mergeCell ref="B23:C27"/>
    <mergeCell ref="D23:F27"/>
  </mergeCells>
  <conditionalFormatting sqref="D8:D21">
    <cfRule type="cellIs" dxfId="47" priority="1" operator="equal">
      <formula>3</formula>
    </cfRule>
    <cfRule type="cellIs" dxfId="4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51"/>
  <sheetViews>
    <sheetView view="pageBreakPreview" topLeftCell="A28" zoomScale="80" zoomScaleNormal="55" zoomScaleSheetLayoutView="80" zoomScalePageLayoutView="70" workbookViewId="0">
      <selection activeCell="B47" sqref="B47:C51"/>
    </sheetView>
  </sheetViews>
  <sheetFormatPr baseColWidth="10" defaultColWidth="11.42578125" defaultRowHeight="15" x14ac:dyDescent="0.25"/>
  <cols>
    <col min="1" max="1" width="0.28515625" style="55" customWidth="1"/>
    <col min="2" max="2" width="7.855468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5.4257812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225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8.75" x14ac:dyDescent="0.25">
      <c r="B8" s="37">
        <v>1</v>
      </c>
      <c r="C8" s="65" t="s">
        <v>213</v>
      </c>
      <c r="D8" s="21"/>
      <c r="E8" s="19"/>
      <c r="F8" s="20"/>
      <c r="G8" s="33"/>
    </row>
    <row r="9" spans="2:7" s="4" customFormat="1" ht="18.75" x14ac:dyDescent="0.25">
      <c r="B9" s="37">
        <v>2</v>
      </c>
      <c r="C9" s="65" t="s">
        <v>52</v>
      </c>
      <c r="D9" s="21"/>
      <c r="E9" s="19"/>
      <c r="F9" s="20"/>
      <c r="G9" s="33"/>
    </row>
    <row r="10" spans="2:7" s="4" customFormat="1" ht="18.75" x14ac:dyDescent="0.25">
      <c r="B10" s="37">
        <v>3</v>
      </c>
      <c r="C10" s="65" t="s">
        <v>58</v>
      </c>
      <c r="D10" s="21"/>
      <c r="E10" s="19"/>
      <c r="F10" s="20"/>
      <c r="G10" s="33"/>
    </row>
    <row r="11" spans="2:7" s="4" customFormat="1" ht="18.75" x14ac:dyDescent="0.25">
      <c r="B11" s="37">
        <v>4</v>
      </c>
      <c r="C11" s="65" t="s">
        <v>53</v>
      </c>
      <c r="D11" s="21"/>
      <c r="E11" s="19"/>
      <c r="F11" s="20"/>
      <c r="G11" s="33"/>
    </row>
    <row r="12" spans="2:7" s="4" customFormat="1" ht="18.75" x14ac:dyDescent="0.25">
      <c r="B12" s="37">
        <v>5</v>
      </c>
      <c r="C12" s="65" t="s">
        <v>66</v>
      </c>
      <c r="D12" s="21"/>
      <c r="E12" s="19"/>
      <c r="F12" s="20"/>
      <c r="G12" s="33"/>
    </row>
    <row r="13" spans="2:7" s="4" customFormat="1" ht="18.75" x14ac:dyDescent="0.25">
      <c r="B13" s="37">
        <v>6</v>
      </c>
      <c r="C13" s="65" t="s">
        <v>67</v>
      </c>
      <c r="D13" s="21"/>
      <c r="E13" s="19"/>
      <c r="F13" s="20"/>
      <c r="G13" s="33"/>
    </row>
    <row r="14" spans="2:7" s="4" customFormat="1" ht="18.75" x14ac:dyDescent="0.25">
      <c r="B14" s="37">
        <v>7</v>
      </c>
      <c r="C14" s="65" t="s">
        <v>54</v>
      </c>
      <c r="D14" s="21"/>
      <c r="E14" s="19"/>
      <c r="F14" s="20"/>
      <c r="G14" s="33"/>
    </row>
    <row r="15" spans="2:7" s="4" customFormat="1" ht="18.75" x14ac:dyDescent="0.25">
      <c r="B15" s="37">
        <v>8</v>
      </c>
      <c r="C15" s="65" t="s">
        <v>246</v>
      </c>
      <c r="D15" s="21"/>
      <c r="E15" s="19"/>
      <c r="F15" s="20"/>
      <c r="G15" s="33"/>
    </row>
    <row r="16" spans="2:7" s="4" customFormat="1" ht="18.75" x14ac:dyDescent="0.25">
      <c r="B16" s="37">
        <v>9</v>
      </c>
      <c r="C16" s="65" t="s">
        <v>55</v>
      </c>
      <c r="D16" s="21"/>
      <c r="E16" s="19"/>
      <c r="F16" s="20"/>
      <c r="G16" s="33"/>
    </row>
    <row r="17" spans="2:7" s="4" customFormat="1" ht="18.75" x14ac:dyDescent="0.25">
      <c r="B17" s="37">
        <v>10</v>
      </c>
      <c r="C17" s="65" t="s">
        <v>247</v>
      </c>
      <c r="D17" s="21"/>
      <c r="E17" s="19"/>
      <c r="F17" s="20"/>
      <c r="G17" s="33"/>
    </row>
    <row r="18" spans="2:7" s="4" customFormat="1" ht="18.75" x14ac:dyDescent="0.25">
      <c r="B18" s="37">
        <v>11</v>
      </c>
      <c r="C18" s="69" t="s">
        <v>179</v>
      </c>
      <c r="D18" s="21"/>
      <c r="E18" s="19"/>
      <c r="F18" s="20"/>
      <c r="G18" s="33"/>
    </row>
    <row r="19" spans="2:7" s="4" customFormat="1" ht="18.75" x14ac:dyDescent="0.25">
      <c r="B19" s="37">
        <v>12</v>
      </c>
      <c r="C19" s="69" t="s">
        <v>56</v>
      </c>
      <c r="D19" s="21"/>
      <c r="E19" s="19"/>
      <c r="F19" s="20"/>
      <c r="G19" s="33"/>
    </row>
    <row r="20" spans="2:7" s="4" customFormat="1" ht="18.75" x14ac:dyDescent="0.25">
      <c r="B20" s="37">
        <v>13</v>
      </c>
      <c r="C20" s="69" t="s">
        <v>57</v>
      </c>
      <c r="D20" s="21"/>
      <c r="E20" s="19"/>
      <c r="F20" s="20"/>
      <c r="G20" s="33"/>
    </row>
    <row r="21" spans="2:7" s="4" customFormat="1" ht="18.75" x14ac:dyDescent="0.25">
      <c r="B21" s="37">
        <v>14</v>
      </c>
      <c r="C21" s="69" t="s">
        <v>141</v>
      </c>
      <c r="D21" s="21"/>
      <c r="E21" s="19"/>
      <c r="F21" s="20"/>
      <c r="G21" s="33"/>
    </row>
    <row r="22" spans="2:7" s="4" customFormat="1" ht="18.75" x14ac:dyDescent="0.25">
      <c r="B22" s="37">
        <v>15</v>
      </c>
      <c r="C22" s="69" t="s">
        <v>205</v>
      </c>
      <c r="D22" s="21"/>
      <c r="E22" s="19"/>
      <c r="F22" s="20"/>
      <c r="G22" s="33"/>
    </row>
    <row r="23" spans="2:7" s="4" customFormat="1" ht="18.75" x14ac:dyDescent="0.25">
      <c r="B23" s="37">
        <v>16</v>
      </c>
      <c r="C23" s="69" t="s">
        <v>142</v>
      </c>
      <c r="D23" s="21"/>
      <c r="E23" s="19"/>
      <c r="F23" s="20"/>
      <c r="G23" s="33"/>
    </row>
    <row r="24" spans="2:7" s="4" customFormat="1" ht="18.75" x14ac:dyDescent="0.25">
      <c r="B24" s="37">
        <v>17</v>
      </c>
      <c r="C24" s="69" t="s">
        <v>159</v>
      </c>
      <c r="D24" s="21"/>
      <c r="E24" s="19"/>
      <c r="F24" s="20"/>
      <c r="G24" s="33"/>
    </row>
    <row r="25" spans="2:7" s="4" customFormat="1" ht="18.75" x14ac:dyDescent="0.25">
      <c r="B25" s="37">
        <v>18</v>
      </c>
      <c r="C25" s="69" t="s">
        <v>162</v>
      </c>
      <c r="D25" s="21"/>
      <c r="E25" s="19"/>
      <c r="F25" s="20"/>
      <c r="G25" s="33"/>
    </row>
    <row r="26" spans="2:7" s="4" customFormat="1" ht="18.75" x14ac:dyDescent="0.25">
      <c r="B26" s="37">
        <v>19</v>
      </c>
      <c r="C26" s="69" t="s">
        <v>163</v>
      </c>
      <c r="D26" s="21"/>
      <c r="E26" s="19"/>
      <c r="F26" s="20"/>
      <c r="G26" s="33"/>
    </row>
    <row r="27" spans="2:7" s="4" customFormat="1" ht="18.75" x14ac:dyDescent="0.25">
      <c r="B27" s="37">
        <v>20</v>
      </c>
      <c r="C27" s="69" t="s">
        <v>185</v>
      </c>
      <c r="D27" s="21"/>
      <c r="E27" s="19"/>
      <c r="F27" s="20"/>
      <c r="G27" s="33"/>
    </row>
    <row r="28" spans="2:7" s="4" customFormat="1" ht="18.75" x14ac:dyDescent="0.25">
      <c r="B28" s="37">
        <v>21</v>
      </c>
      <c r="C28" s="70" t="s">
        <v>195</v>
      </c>
      <c r="D28" s="21"/>
      <c r="E28" s="19"/>
      <c r="F28" s="20"/>
      <c r="G28" s="33"/>
    </row>
    <row r="29" spans="2:7" s="4" customFormat="1" ht="18.75" x14ac:dyDescent="0.25">
      <c r="B29" s="37">
        <v>22</v>
      </c>
      <c r="C29" s="70" t="s">
        <v>196</v>
      </c>
      <c r="D29" s="21"/>
      <c r="E29" s="19"/>
      <c r="F29" s="20"/>
      <c r="G29" s="33"/>
    </row>
    <row r="30" spans="2:7" s="4" customFormat="1" ht="18.75" x14ac:dyDescent="0.25">
      <c r="B30" s="37">
        <v>23</v>
      </c>
      <c r="C30" s="70" t="s">
        <v>198</v>
      </c>
      <c r="D30" s="21"/>
      <c r="E30" s="19"/>
      <c r="F30" s="20"/>
      <c r="G30" s="33"/>
    </row>
    <row r="31" spans="2:7" s="4" customFormat="1" ht="18.75" x14ac:dyDescent="0.25">
      <c r="B31" s="37">
        <v>24</v>
      </c>
      <c r="C31" s="70" t="s">
        <v>197</v>
      </c>
      <c r="D31" s="21"/>
      <c r="E31" s="19"/>
      <c r="F31" s="20"/>
      <c r="G31" s="33"/>
    </row>
    <row r="32" spans="2:7" s="4" customFormat="1" ht="18.75" x14ac:dyDescent="0.25">
      <c r="B32" s="37">
        <v>25</v>
      </c>
      <c r="C32" s="70" t="s">
        <v>214</v>
      </c>
      <c r="D32" s="21"/>
      <c r="E32" s="19"/>
      <c r="F32" s="20"/>
      <c r="G32" s="33"/>
    </row>
    <row r="33" spans="2:11" s="4" customFormat="1" ht="18.75" x14ac:dyDescent="0.25">
      <c r="B33" s="37">
        <v>26</v>
      </c>
      <c r="C33" s="70" t="s">
        <v>217</v>
      </c>
      <c r="D33" s="21"/>
      <c r="E33" s="19"/>
      <c r="F33" s="20"/>
      <c r="G33" s="33"/>
    </row>
    <row r="34" spans="2:11" s="4" customFormat="1" ht="18.75" x14ac:dyDescent="0.25">
      <c r="B34" s="37">
        <v>27</v>
      </c>
      <c r="C34" s="70" t="s">
        <v>227</v>
      </c>
      <c r="D34" s="21"/>
      <c r="E34" s="19"/>
      <c r="F34" s="20"/>
      <c r="G34" s="33"/>
    </row>
    <row r="35" spans="2:11" s="4" customFormat="1" ht="18.75" x14ac:dyDescent="0.25">
      <c r="B35" s="37">
        <v>28</v>
      </c>
      <c r="C35" s="70" t="s">
        <v>239</v>
      </c>
      <c r="D35" s="21"/>
      <c r="E35" s="19"/>
      <c r="F35" s="20"/>
      <c r="G35" s="33"/>
    </row>
    <row r="36" spans="2:11" s="4" customFormat="1" ht="18.75" x14ac:dyDescent="0.25">
      <c r="B36" s="37">
        <v>29</v>
      </c>
      <c r="C36" s="70" t="s">
        <v>241</v>
      </c>
      <c r="D36" s="21"/>
      <c r="E36" s="19"/>
      <c r="F36" s="20"/>
      <c r="G36" s="33"/>
      <c r="K36" s="4" t="s">
        <v>257</v>
      </c>
    </row>
    <row r="37" spans="2:11" s="4" customFormat="1" ht="18.75" x14ac:dyDescent="0.25">
      <c r="B37" s="37">
        <v>30</v>
      </c>
      <c r="C37" s="70" t="s">
        <v>240</v>
      </c>
      <c r="D37" s="21"/>
      <c r="E37" s="19"/>
      <c r="F37" s="20"/>
      <c r="G37" s="33"/>
    </row>
    <row r="38" spans="2:11" s="4" customFormat="1" ht="18.75" x14ac:dyDescent="0.25">
      <c r="B38" s="37">
        <v>31</v>
      </c>
      <c r="C38" s="70" t="s">
        <v>238</v>
      </c>
      <c r="D38" s="21"/>
      <c r="E38" s="19"/>
      <c r="F38" s="20"/>
      <c r="G38" s="33"/>
    </row>
    <row r="39" spans="2:11" s="4" customFormat="1" ht="18.75" x14ac:dyDescent="0.25">
      <c r="B39" s="37">
        <v>32</v>
      </c>
      <c r="C39" s="70" t="s">
        <v>228</v>
      </c>
      <c r="D39" s="21"/>
      <c r="E39" s="19"/>
      <c r="F39" s="20"/>
      <c r="G39" s="33"/>
    </row>
    <row r="40" spans="2:11" s="4" customFormat="1" ht="18.75" x14ac:dyDescent="0.25">
      <c r="B40" s="37">
        <v>33</v>
      </c>
      <c r="C40" s="70" t="s">
        <v>243</v>
      </c>
      <c r="D40" s="21"/>
      <c r="E40" s="19"/>
      <c r="F40" s="20"/>
      <c r="G40" s="33"/>
    </row>
    <row r="41" spans="2:11" s="4" customFormat="1" ht="18.75" x14ac:dyDescent="0.25">
      <c r="B41" s="37">
        <v>34</v>
      </c>
      <c r="C41" s="70" t="s">
        <v>245</v>
      </c>
      <c r="D41" s="21"/>
      <c r="E41" s="19"/>
      <c r="F41" s="20"/>
      <c r="G41" s="33"/>
    </row>
    <row r="42" spans="2:11" s="4" customFormat="1" ht="27" customHeight="1" x14ac:dyDescent="0.25">
      <c r="B42" s="37">
        <v>35</v>
      </c>
      <c r="C42" s="70" t="s">
        <v>255</v>
      </c>
      <c r="D42" s="21"/>
      <c r="E42" s="19"/>
      <c r="F42" s="20"/>
      <c r="G42" s="33"/>
    </row>
    <row r="43" spans="2:11" s="4" customFormat="1" ht="27" customHeight="1" x14ac:dyDescent="0.25">
      <c r="B43" s="37">
        <v>36</v>
      </c>
      <c r="C43" s="70" t="s">
        <v>253</v>
      </c>
      <c r="D43" s="21"/>
      <c r="E43" s="19"/>
      <c r="F43" s="20"/>
      <c r="G43" s="33"/>
    </row>
    <row r="44" spans="2:11" s="4" customFormat="1" ht="29.25" customHeight="1" x14ac:dyDescent="0.25">
      <c r="B44" s="37">
        <v>37</v>
      </c>
      <c r="C44" s="70" t="s">
        <v>254</v>
      </c>
      <c r="D44" s="21"/>
      <c r="E44" s="19"/>
      <c r="F44" s="20"/>
      <c r="G44" s="33"/>
    </row>
    <row r="45" spans="2:11" s="4" customFormat="1" ht="19.5" thickBot="1" x14ac:dyDescent="0.3">
      <c r="B45" s="37">
        <v>38</v>
      </c>
      <c r="C45" s="70" t="s">
        <v>157</v>
      </c>
      <c r="D45" s="21"/>
      <c r="E45" s="19"/>
      <c r="F45" s="20"/>
      <c r="G45" s="33"/>
    </row>
    <row r="46" spans="2:11" s="68" customFormat="1" ht="19.5" thickBot="1" x14ac:dyDescent="0.3">
      <c r="B46" s="151" t="s">
        <v>13</v>
      </c>
      <c r="C46" s="152"/>
      <c r="D46" s="121" t="s">
        <v>7</v>
      </c>
      <c r="E46" s="122"/>
      <c r="F46" s="123"/>
      <c r="G46" s="67" t="s">
        <v>8</v>
      </c>
    </row>
    <row r="47" spans="2:11" x14ac:dyDescent="0.25">
      <c r="B47" s="136" t="s">
        <v>266</v>
      </c>
      <c r="C47" s="137"/>
      <c r="D47" s="142"/>
      <c r="E47" s="142"/>
      <c r="F47" s="142"/>
      <c r="G47" s="145"/>
    </row>
    <row r="48" spans="2:11" x14ac:dyDescent="0.25">
      <c r="B48" s="138"/>
      <c r="C48" s="139"/>
      <c r="D48" s="143"/>
      <c r="E48" s="143"/>
      <c r="F48" s="143"/>
      <c r="G48" s="146"/>
    </row>
    <row r="49" spans="2:7" x14ac:dyDescent="0.25">
      <c r="B49" s="138"/>
      <c r="C49" s="139"/>
      <c r="D49" s="143"/>
      <c r="E49" s="143"/>
      <c r="F49" s="143"/>
      <c r="G49" s="146"/>
    </row>
    <row r="50" spans="2:7" x14ac:dyDescent="0.25">
      <c r="B50" s="138"/>
      <c r="C50" s="139"/>
      <c r="D50" s="143"/>
      <c r="E50" s="143"/>
      <c r="F50" s="143"/>
      <c r="G50" s="146"/>
    </row>
    <row r="51" spans="2:7" ht="15.75" thickBot="1" x14ac:dyDescent="0.3">
      <c r="B51" s="140"/>
      <c r="C51" s="141"/>
      <c r="D51" s="144"/>
      <c r="E51" s="144"/>
      <c r="F51" s="144"/>
      <c r="G51" s="147"/>
    </row>
  </sheetData>
  <sheetProtection selectLockedCells="1"/>
  <mergeCells count="8">
    <mergeCell ref="B47:C51"/>
    <mergeCell ref="D47:F51"/>
    <mergeCell ref="G47:G51"/>
    <mergeCell ref="E6:F6"/>
    <mergeCell ref="B3:F3"/>
    <mergeCell ref="D4:F4"/>
    <mergeCell ref="B46:C46"/>
    <mergeCell ref="D46:F46"/>
  </mergeCells>
  <conditionalFormatting sqref="D8:D45">
    <cfRule type="cellIs" dxfId="45" priority="3" operator="equal">
      <formula>3</formula>
    </cfRule>
    <cfRule type="cellIs" dxfId="44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6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37"/>
  <sheetViews>
    <sheetView view="pageBreakPreview" topLeftCell="A15" zoomScale="80" zoomScaleNormal="55" zoomScaleSheetLayoutView="80" zoomScalePageLayoutView="70" workbookViewId="0">
      <selection activeCell="K49" sqref="K49"/>
    </sheetView>
  </sheetViews>
  <sheetFormatPr baseColWidth="10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16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8.75" x14ac:dyDescent="0.25">
      <c r="B8" s="5">
        <v>1</v>
      </c>
      <c r="C8" s="65" t="s">
        <v>41</v>
      </c>
      <c r="D8" s="21"/>
      <c r="E8" s="19"/>
      <c r="F8" s="20"/>
      <c r="G8" s="33"/>
    </row>
    <row r="9" spans="2:7" s="4" customFormat="1" ht="18.75" x14ac:dyDescent="0.25">
      <c r="B9" s="6">
        <f>B8+1</f>
        <v>2</v>
      </c>
      <c r="C9" s="65" t="s">
        <v>59</v>
      </c>
      <c r="D9" s="21"/>
      <c r="E9" s="19"/>
      <c r="F9" s="20"/>
      <c r="G9" s="33"/>
    </row>
    <row r="10" spans="2:7" s="4" customFormat="1" ht="18.75" x14ac:dyDescent="0.25">
      <c r="B10" s="37">
        <f>+B9+1</f>
        <v>3</v>
      </c>
      <c r="C10" s="65" t="s">
        <v>60</v>
      </c>
      <c r="D10" s="21"/>
      <c r="E10" s="19"/>
      <c r="F10" s="20"/>
      <c r="G10" s="33"/>
    </row>
    <row r="11" spans="2:7" s="4" customFormat="1" ht="18.75" x14ac:dyDescent="0.25">
      <c r="B11" s="37">
        <f t="shared" ref="B11:B25" si="0">+B10+1</f>
        <v>4</v>
      </c>
      <c r="C11" s="65" t="s">
        <v>61</v>
      </c>
      <c r="D11" s="21"/>
      <c r="E11" s="19"/>
      <c r="F11" s="20"/>
      <c r="G11" s="33"/>
    </row>
    <row r="12" spans="2:7" s="4" customFormat="1" ht="18.75" x14ac:dyDescent="0.25">
      <c r="B12" s="37">
        <f t="shared" si="0"/>
        <v>5</v>
      </c>
      <c r="C12" s="65" t="s">
        <v>62</v>
      </c>
      <c r="D12" s="21"/>
      <c r="E12" s="19"/>
      <c r="F12" s="20"/>
      <c r="G12" s="33"/>
    </row>
    <row r="13" spans="2:7" s="4" customFormat="1" ht="18.75" x14ac:dyDescent="0.25">
      <c r="B13" s="37">
        <f t="shared" si="0"/>
        <v>6</v>
      </c>
      <c r="C13" s="65" t="s">
        <v>63</v>
      </c>
      <c r="D13" s="21"/>
      <c r="E13" s="19"/>
      <c r="F13" s="20"/>
      <c r="G13" s="33"/>
    </row>
    <row r="14" spans="2:7" s="4" customFormat="1" ht="18.75" x14ac:dyDescent="0.25">
      <c r="B14" s="37">
        <f t="shared" si="0"/>
        <v>7</v>
      </c>
      <c r="C14" s="65" t="s">
        <v>68</v>
      </c>
      <c r="D14" s="21"/>
      <c r="E14" s="19"/>
      <c r="F14" s="20"/>
      <c r="G14" s="33"/>
    </row>
    <row r="15" spans="2:7" s="4" customFormat="1" ht="18.75" x14ac:dyDescent="0.25">
      <c r="B15" s="37">
        <f t="shared" si="0"/>
        <v>8</v>
      </c>
      <c r="C15" s="65" t="s">
        <v>69</v>
      </c>
      <c r="D15" s="21"/>
      <c r="E15" s="19"/>
      <c r="F15" s="20"/>
      <c r="G15" s="33"/>
    </row>
    <row r="16" spans="2:7" s="4" customFormat="1" ht="18.75" x14ac:dyDescent="0.25">
      <c r="B16" s="37">
        <f t="shared" si="0"/>
        <v>9</v>
      </c>
      <c r="C16" s="65" t="s">
        <v>42</v>
      </c>
      <c r="D16" s="21"/>
      <c r="E16" s="19"/>
      <c r="F16" s="20"/>
      <c r="G16" s="33"/>
    </row>
    <row r="17" spans="2:7" s="4" customFormat="1" ht="18.75" x14ac:dyDescent="0.25">
      <c r="B17" s="37">
        <f t="shared" si="0"/>
        <v>10</v>
      </c>
      <c r="C17" s="65" t="s">
        <v>70</v>
      </c>
      <c r="D17" s="21"/>
      <c r="E17" s="19"/>
      <c r="F17" s="20"/>
      <c r="G17" s="33"/>
    </row>
    <row r="18" spans="2:7" s="4" customFormat="1" ht="18.75" x14ac:dyDescent="0.25">
      <c r="B18" s="37">
        <f t="shared" si="0"/>
        <v>11</v>
      </c>
      <c r="C18" s="69" t="s">
        <v>178</v>
      </c>
      <c r="D18" s="21"/>
      <c r="E18" s="19"/>
      <c r="F18" s="20"/>
      <c r="G18" s="33"/>
    </row>
    <row r="19" spans="2:7" s="4" customFormat="1" ht="18.75" x14ac:dyDescent="0.25">
      <c r="B19" s="37">
        <v>12</v>
      </c>
      <c r="C19" s="69" t="s">
        <v>212</v>
      </c>
      <c r="D19" s="21"/>
      <c r="E19" s="19"/>
      <c r="F19" s="20"/>
      <c r="G19" s="33"/>
    </row>
    <row r="20" spans="2:7" s="4" customFormat="1" ht="18.75" x14ac:dyDescent="0.25">
      <c r="B20" s="37">
        <f t="shared" si="0"/>
        <v>13</v>
      </c>
      <c r="C20" s="69" t="s">
        <v>173</v>
      </c>
      <c r="D20" s="21"/>
      <c r="E20" s="19"/>
      <c r="F20" s="20"/>
      <c r="G20" s="33"/>
    </row>
    <row r="21" spans="2:7" s="4" customFormat="1" ht="18.75" x14ac:dyDescent="0.25">
      <c r="B21" s="37">
        <f t="shared" si="0"/>
        <v>14</v>
      </c>
      <c r="C21" s="69" t="s">
        <v>177</v>
      </c>
      <c r="D21" s="21"/>
      <c r="E21" s="19"/>
      <c r="F21" s="20"/>
      <c r="G21" s="33"/>
    </row>
    <row r="22" spans="2:7" s="4" customFormat="1" ht="18.75" x14ac:dyDescent="0.25">
      <c r="B22" s="37">
        <f t="shared" si="0"/>
        <v>15</v>
      </c>
      <c r="C22" s="69" t="s">
        <v>188</v>
      </c>
      <c r="D22" s="21"/>
      <c r="E22" s="19"/>
      <c r="F22" s="20"/>
      <c r="G22" s="33"/>
    </row>
    <row r="23" spans="2:7" s="4" customFormat="1" ht="18.75" x14ac:dyDescent="0.25">
      <c r="B23" s="104">
        <f t="shared" si="0"/>
        <v>16</v>
      </c>
      <c r="C23" s="69" t="s">
        <v>189</v>
      </c>
      <c r="D23" s="47"/>
      <c r="E23" s="19"/>
      <c r="F23" s="20"/>
      <c r="G23" s="33"/>
    </row>
    <row r="24" spans="2:7" s="4" customFormat="1" ht="18.75" x14ac:dyDescent="0.25">
      <c r="B24" s="104">
        <f t="shared" si="0"/>
        <v>17</v>
      </c>
      <c r="C24" s="69" t="s">
        <v>184</v>
      </c>
      <c r="D24" s="47"/>
      <c r="E24" s="19"/>
      <c r="F24" s="20"/>
      <c r="G24" s="33"/>
    </row>
    <row r="25" spans="2:7" s="4" customFormat="1" ht="18.75" x14ac:dyDescent="0.25">
      <c r="B25" s="104">
        <f t="shared" si="0"/>
        <v>18</v>
      </c>
      <c r="C25" s="69" t="s">
        <v>192</v>
      </c>
      <c r="D25" s="47"/>
      <c r="E25" s="19"/>
      <c r="F25" s="20"/>
      <c r="G25" s="33"/>
    </row>
    <row r="26" spans="2:7" s="4" customFormat="1" ht="18.75" x14ac:dyDescent="0.25">
      <c r="B26" s="104">
        <v>19</v>
      </c>
      <c r="C26" s="105" t="s">
        <v>191</v>
      </c>
      <c r="D26" s="47"/>
      <c r="E26" s="19"/>
      <c r="F26" s="20"/>
      <c r="G26" s="33"/>
    </row>
    <row r="27" spans="2:7" s="4" customFormat="1" ht="18.75" x14ac:dyDescent="0.25">
      <c r="B27" s="104">
        <v>20</v>
      </c>
      <c r="C27" s="105" t="s">
        <v>237</v>
      </c>
      <c r="D27" s="47"/>
      <c r="E27" s="19"/>
      <c r="F27" s="20"/>
      <c r="G27" s="33"/>
    </row>
    <row r="28" spans="2:7" s="4" customFormat="1" ht="30" x14ac:dyDescent="0.25">
      <c r="B28" s="104">
        <f t="shared" ref="B28" si="1">+B27+1</f>
        <v>21</v>
      </c>
      <c r="C28" s="106" t="s">
        <v>248</v>
      </c>
      <c r="D28" s="47"/>
      <c r="E28" s="19"/>
      <c r="F28" s="20"/>
      <c r="G28" s="33"/>
    </row>
    <row r="29" spans="2:7" s="4" customFormat="1" ht="18.75" x14ac:dyDescent="0.25">
      <c r="B29" s="107">
        <v>22</v>
      </c>
      <c r="C29" s="106" t="s">
        <v>251</v>
      </c>
      <c r="D29" s="47"/>
      <c r="E29" s="19"/>
      <c r="F29" s="20"/>
      <c r="G29" s="33"/>
    </row>
    <row r="30" spans="2:7" s="4" customFormat="1" ht="33" customHeight="1" x14ac:dyDescent="0.25">
      <c r="B30" s="107">
        <v>23</v>
      </c>
      <c r="C30" s="106" t="s">
        <v>249</v>
      </c>
      <c r="D30" s="47"/>
      <c r="E30" s="19"/>
      <c r="F30" s="20"/>
      <c r="G30" s="33"/>
    </row>
    <row r="31" spans="2:7" s="4" customFormat="1" ht="19.5" thickBot="1" x14ac:dyDescent="0.3">
      <c r="B31" s="37">
        <v>24</v>
      </c>
      <c r="C31" s="106" t="s">
        <v>157</v>
      </c>
      <c r="D31" s="21"/>
      <c r="E31" s="19"/>
      <c r="F31" s="20"/>
      <c r="G31" s="33"/>
    </row>
    <row r="32" spans="2:7" ht="19.5" thickBot="1" x14ac:dyDescent="0.3">
      <c r="B32" s="151" t="s">
        <v>13</v>
      </c>
      <c r="C32" s="152"/>
      <c r="D32" s="121" t="s">
        <v>7</v>
      </c>
      <c r="E32" s="122"/>
      <c r="F32" s="123"/>
      <c r="G32" s="67" t="s">
        <v>8</v>
      </c>
    </row>
    <row r="33" spans="2:11" x14ac:dyDescent="0.25">
      <c r="B33" s="153"/>
      <c r="C33" s="142"/>
      <c r="D33" s="142"/>
      <c r="E33" s="142"/>
      <c r="F33" s="142"/>
      <c r="G33" s="145"/>
    </row>
    <row r="34" spans="2:11" x14ac:dyDescent="0.25">
      <c r="B34" s="154"/>
      <c r="C34" s="143"/>
      <c r="D34" s="143"/>
      <c r="E34" s="143"/>
      <c r="F34" s="143"/>
      <c r="G34" s="146"/>
    </row>
    <row r="35" spans="2:11" x14ac:dyDescent="0.25">
      <c r="B35" s="154"/>
      <c r="C35" s="143"/>
      <c r="D35" s="143"/>
      <c r="E35" s="143"/>
      <c r="F35" s="143"/>
      <c r="G35" s="146"/>
    </row>
    <row r="36" spans="2:11" x14ac:dyDescent="0.25">
      <c r="B36" s="154"/>
      <c r="C36" s="143"/>
      <c r="D36" s="143"/>
      <c r="E36" s="143"/>
      <c r="F36" s="143"/>
      <c r="G36" s="146"/>
      <c r="K36" s="55" t="s">
        <v>257</v>
      </c>
    </row>
    <row r="37" spans="2:11" ht="15.75" thickBot="1" x14ac:dyDescent="0.3">
      <c r="B37" s="155"/>
      <c r="C37" s="144"/>
      <c r="D37" s="144"/>
      <c r="E37" s="144"/>
      <c r="F37" s="144"/>
      <c r="G37" s="147"/>
    </row>
  </sheetData>
  <sheetProtection selectLockedCells="1"/>
  <mergeCells count="8">
    <mergeCell ref="G33:G37"/>
    <mergeCell ref="B3:F3"/>
    <mergeCell ref="D4:F4"/>
    <mergeCell ref="E6:F6"/>
    <mergeCell ref="B32:C32"/>
    <mergeCell ref="D32:F32"/>
    <mergeCell ref="B33:C37"/>
    <mergeCell ref="D33:F37"/>
  </mergeCells>
  <conditionalFormatting sqref="D8:D31">
    <cfRule type="cellIs" dxfId="43" priority="1" operator="equal">
      <formula>3</formula>
    </cfRule>
    <cfRule type="cellIs" dxfId="42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69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B1:K36"/>
  <sheetViews>
    <sheetView view="pageBreakPreview" zoomScale="70" zoomScaleNormal="55" zoomScaleSheetLayoutView="70" zoomScalePageLayoutView="70" workbookViewId="0">
      <selection activeCell="K49" sqref="K49"/>
    </sheetView>
  </sheetViews>
  <sheetFormatPr baseColWidth="10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252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8.75" x14ac:dyDescent="0.25">
      <c r="B8" s="6">
        <v>1</v>
      </c>
      <c r="C8" s="65" t="s">
        <v>72</v>
      </c>
      <c r="D8" s="21"/>
      <c r="E8" s="19"/>
      <c r="F8" s="20"/>
      <c r="G8" s="33"/>
    </row>
    <row r="9" spans="2:7" s="4" customFormat="1" ht="18.75" x14ac:dyDescent="0.25">
      <c r="B9" s="37">
        <v>2</v>
      </c>
      <c r="C9" s="65" t="s">
        <v>71</v>
      </c>
      <c r="D9" s="21"/>
      <c r="E9" s="19"/>
      <c r="F9" s="20"/>
      <c r="G9" s="33"/>
    </row>
    <row r="10" spans="2:7" s="4" customFormat="1" ht="18.75" x14ac:dyDescent="0.25">
      <c r="B10" s="6">
        <v>3</v>
      </c>
      <c r="C10" s="65" t="s">
        <v>136</v>
      </c>
      <c r="D10" s="21"/>
      <c r="E10" s="19"/>
      <c r="F10" s="20"/>
      <c r="G10" s="33"/>
    </row>
    <row r="11" spans="2:7" s="4" customFormat="1" ht="18.75" x14ac:dyDescent="0.25">
      <c r="B11" s="37">
        <v>4</v>
      </c>
      <c r="C11" s="65" t="s">
        <v>172</v>
      </c>
      <c r="D11" s="21"/>
      <c r="E11" s="19"/>
      <c r="F11" s="20"/>
      <c r="G11" s="33"/>
    </row>
    <row r="12" spans="2:7" s="4" customFormat="1" ht="18.75" x14ac:dyDescent="0.25">
      <c r="B12" s="6">
        <v>5</v>
      </c>
      <c r="C12" s="65" t="s">
        <v>200</v>
      </c>
      <c r="D12" s="21"/>
      <c r="E12" s="19"/>
      <c r="F12" s="20"/>
      <c r="G12" s="33"/>
    </row>
    <row r="13" spans="2:7" s="4" customFormat="1" ht="18.75" x14ac:dyDescent="0.25">
      <c r="B13" s="37">
        <v>6</v>
      </c>
      <c r="C13" s="65" t="s">
        <v>193</v>
      </c>
      <c r="D13" s="21"/>
      <c r="E13" s="19"/>
      <c r="F13" s="20"/>
      <c r="G13" s="33"/>
    </row>
    <row r="14" spans="2:7" s="4" customFormat="1" ht="18.75" x14ac:dyDescent="0.25">
      <c r="B14" s="6">
        <v>7</v>
      </c>
      <c r="C14" s="71" t="s">
        <v>215</v>
      </c>
      <c r="D14" s="21"/>
      <c r="E14" s="19"/>
      <c r="F14" s="20"/>
      <c r="G14" s="33"/>
    </row>
    <row r="15" spans="2:7" s="4" customFormat="1" ht="42.75" customHeight="1" x14ac:dyDescent="0.25">
      <c r="B15" s="37">
        <v>8</v>
      </c>
      <c r="C15" s="71" t="s">
        <v>229</v>
      </c>
      <c r="D15" s="21"/>
      <c r="E15" s="19"/>
      <c r="F15" s="20"/>
      <c r="G15" s="33"/>
    </row>
    <row r="16" spans="2:7" s="4" customFormat="1" ht="18.75" x14ac:dyDescent="0.25">
      <c r="B16" s="6">
        <v>9</v>
      </c>
      <c r="C16" s="71" t="s">
        <v>250</v>
      </c>
      <c r="D16" s="21"/>
      <c r="E16" s="19"/>
      <c r="F16" s="20"/>
      <c r="G16" s="33"/>
    </row>
    <row r="17" spans="2:7" s="4" customFormat="1" ht="19.5" thickBot="1" x14ac:dyDescent="0.3">
      <c r="B17" s="37">
        <v>10</v>
      </c>
      <c r="C17" s="71" t="s">
        <v>157</v>
      </c>
      <c r="D17" s="21"/>
      <c r="E17" s="19"/>
      <c r="F17" s="20"/>
      <c r="G17" s="33"/>
    </row>
    <row r="18" spans="2:7" ht="19.5" thickBot="1" x14ac:dyDescent="0.3">
      <c r="B18" s="151" t="s">
        <v>13</v>
      </c>
      <c r="C18" s="152"/>
      <c r="D18" s="121" t="s">
        <v>7</v>
      </c>
      <c r="E18" s="122"/>
      <c r="F18" s="123"/>
      <c r="G18" s="67" t="s">
        <v>8</v>
      </c>
    </row>
    <row r="19" spans="2:7" x14ac:dyDescent="0.25">
      <c r="B19" s="153"/>
      <c r="C19" s="142"/>
      <c r="D19" s="142"/>
      <c r="E19" s="142"/>
      <c r="F19" s="142"/>
      <c r="G19" s="145"/>
    </row>
    <row r="20" spans="2:7" x14ac:dyDescent="0.25">
      <c r="B20" s="154"/>
      <c r="C20" s="143"/>
      <c r="D20" s="143"/>
      <c r="E20" s="143"/>
      <c r="F20" s="143"/>
      <c r="G20" s="146"/>
    </row>
    <row r="21" spans="2:7" x14ac:dyDescent="0.25">
      <c r="B21" s="154"/>
      <c r="C21" s="143"/>
      <c r="D21" s="143"/>
      <c r="E21" s="143"/>
      <c r="F21" s="143"/>
      <c r="G21" s="146"/>
    </row>
    <row r="22" spans="2:7" x14ac:dyDescent="0.25">
      <c r="B22" s="154"/>
      <c r="C22" s="143"/>
      <c r="D22" s="143"/>
      <c r="E22" s="143"/>
      <c r="F22" s="143"/>
      <c r="G22" s="146"/>
    </row>
    <row r="23" spans="2:7" ht="15.75" thickBot="1" x14ac:dyDescent="0.3">
      <c r="B23" s="155"/>
      <c r="C23" s="144"/>
      <c r="D23" s="144"/>
      <c r="E23" s="144"/>
      <c r="F23" s="144"/>
      <c r="G23" s="147"/>
    </row>
    <row r="36" spans="11:11" x14ac:dyDescent="0.25">
      <c r="K36" s="55" t="s">
        <v>257</v>
      </c>
    </row>
  </sheetData>
  <sheetProtection selectLockedCells="1"/>
  <mergeCells count="8">
    <mergeCell ref="B19:C23"/>
    <mergeCell ref="D19:F23"/>
    <mergeCell ref="G19:G23"/>
    <mergeCell ref="B3:F3"/>
    <mergeCell ref="D4:F4"/>
    <mergeCell ref="E6:F6"/>
    <mergeCell ref="B18:C18"/>
    <mergeCell ref="D18:F18"/>
  </mergeCells>
  <conditionalFormatting sqref="D8:D17">
    <cfRule type="cellIs" dxfId="41" priority="3" operator="equal">
      <formula>3</formula>
    </cfRule>
    <cfRule type="cellIs" dxfId="40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75" fitToHeight="0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3:K36"/>
  <sheetViews>
    <sheetView view="pageLayout" topLeftCell="A7" zoomScale="85" zoomScaleNormal="90" zoomScalePageLayoutView="85" workbookViewId="0">
      <selection activeCell="K49" sqref="K49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3" spans="2:7" ht="26.25" x14ac:dyDescent="0.25">
      <c r="B3" s="156" t="s">
        <v>11</v>
      </c>
      <c r="C3" s="156"/>
      <c r="D3" s="156"/>
      <c r="E3" s="156"/>
      <c r="F3" s="156"/>
      <c r="G3" s="72" t="s">
        <v>187</v>
      </c>
    </row>
    <row r="4" spans="2:7" ht="23.25" x14ac:dyDescent="0.25">
      <c r="B4" s="48"/>
      <c r="C4" s="73" t="s">
        <v>43</v>
      </c>
      <c r="D4" s="157" t="s">
        <v>40</v>
      </c>
      <c r="E4" s="157"/>
      <c r="F4" s="157"/>
      <c r="G4" s="74" t="s">
        <v>171</v>
      </c>
    </row>
    <row r="5" spans="2:7" ht="18.75" x14ac:dyDescent="0.25">
      <c r="B5" s="75"/>
      <c r="C5" s="75"/>
      <c r="D5" s="75"/>
      <c r="E5" s="158" t="s">
        <v>0</v>
      </c>
      <c r="F5" s="158"/>
      <c r="G5" s="75"/>
    </row>
    <row r="6" spans="2:7" s="4" customFormat="1" ht="16.5" thickBot="1" x14ac:dyDescent="0.3">
      <c r="B6" s="76" t="s">
        <v>1</v>
      </c>
      <c r="C6" s="77" t="s">
        <v>2</v>
      </c>
      <c r="D6" s="78" t="s">
        <v>3</v>
      </c>
      <c r="E6" s="79" t="s">
        <v>4</v>
      </c>
      <c r="F6" s="80" t="s">
        <v>5</v>
      </c>
      <c r="G6" s="81" t="s">
        <v>6</v>
      </c>
    </row>
    <row r="7" spans="2:7" s="4" customFormat="1" ht="18.75" x14ac:dyDescent="0.25">
      <c r="B7" s="5">
        <v>1</v>
      </c>
      <c r="C7" s="65" t="s">
        <v>73</v>
      </c>
      <c r="D7" s="21"/>
      <c r="E7" s="19"/>
      <c r="F7" s="20"/>
      <c r="G7" s="33"/>
    </row>
    <row r="8" spans="2:7" s="4" customFormat="1" ht="18.75" x14ac:dyDescent="0.25">
      <c r="B8" s="6">
        <f>B7+1</f>
        <v>2</v>
      </c>
      <c r="C8" s="65" t="s">
        <v>74</v>
      </c>
      <c r="D8" s="21"/>
      <c r="E8" s="19"/>
      <c r="F8" s="20"/>
      <c r="G8" s="33"/>
    </row>
    <row r="9" spans="2:7" s="4" customFormat="1" ht="18.75" x14ac:dyDescent="0.25">
      <c r="B9" s="37">
        <f>+B8+1</f>
        <v>3</v>
      </c>
      <c r="C9" s="65" t="s">
        <v>75</v>
      </c>
      <c r="D9" s="21"/>
      <c r="E9" s="19"/>
      <c r="F9" s="20"/>
      <c r="G9" s="33"/>
    </row>
    <row r="10" spans="2:7" s="4" customFormat="1" ht="18.75" x14ac:dyDescent="0.25">
      <c r="B10" s="6">
        <f t="shared" ref="B10" si="0">B9+1</f>
        <v>4</v>
      </c>
      <c r="C10" s="65" t="s">
        <v>76</v>
      </c>
      <c r="D10" s="21"/>
      <c r="E10" s="19"/>
      <c r="F10" s="20"/>
      <c r="G10" s="33"/>
    </row>
    <row r="11" spans="2:7" s="4" customFormat="1" ht="18.75" x14ac:dyDescent="0.25">
      <c r="B11" s="37">
        <f t="shared" ref="B11" si="1">+B10+1</f>
        <v>5</v>
      </c>
      <c r="C11" s="65" t="s">
        <v>77</v>
      </c>
      <c r="D11" s="21"/>
      <c r="E11" s="19"/>
      <c r="F11" s="20"/>
      <c r="G11" s="33"/>
    </row>
    <row r="12" spans="2:7" s="4" customFormat="1" ht="31.5" x14ac:dyDescent="0.25">
      <c r="B12" s="6">
        <f t="shared" ref="B12:B13" si="2">B11+1</f>
        <v>6</v>
      </c>
      <c r="C12" s="65" t="s">
        <v>78</v>
      </c>
      <c r="D12" s="21"/>
      <c r="E12" s="19"/>
      <c r="F12" s="20"/>
      <c r="G12" s="33"/>
    </row>
    <row r="13" spans="2:7" s="4" customFormat="1" ht="18.75" x14ac:dyDescent="0.25">
      <c r="B13" s="6">
        <f t="shared" si="2"/>
        <v>7</v>
      </c>
      <c r="C13" s="65" t="s">
        <v>79</v>
      </c>
      <c r="D13" s="21"/>
      <c r="E13" s="19"/>
      <c r="F13" s="20"/>
      <c r="G13" s="33"/>
    </row>
    <row r="14" spans="2:7" s="4" customFormat="1" ht="18.75" x14ac:dyDescent="0.25">
      <c r="B14" s="37">
        <f t="shared" ref="B14:B21" si="3">+B13+1</f>
        <v>8</v>
      </c>
      <c r="C14" s="65" t="s">
        <v>80</v>
      </c>
      <c r="D14" s="21"/>
      <c r="E14" s="19"/>
      <c r="F14" s="20"/>
      <c r="G14" s="33"/>
    </row>
    <row r="15" spans="2:7" s="4" customFormat="1" ht="18.75" x14ac:dyDescent="0.25">
      <c r="B15" s="37">
        <f t="shared" si="3"/>
        <v>9</v>
      </c>
      <c r="C15" s="65" t="s">
        <v>146</v>
      </c>
      <c r="D15" s="21"/>
      <c r="E15" s="19"/>
      <c r="F15" s="20"/>
      <c r="G15" s="33"/>
    </row>
    <row r="16" spans="2:7" s="4" customFormat="1" ht="18.75" x14ac:dyDescent="0.25">
      <c r="B16" s="37">
        <f t="shared" si="3"/>
        <v>10</v>
      </c>
      <c r="C16" s="65" t="s">
        <v>144</v>
      </c>
      <c r="D16" s="21"/>
      <c r="E16" s="19"/>
      <c r="F16" s="20"/>
      <c r="G16" s="33"/>
    </row>
    <row r="17" spans="2:7" s="4" customFormat="1" ht="18.75" x14ac:dyDescent="0.25">
      <c r="B17" s="37">
        <f t="shared" si="3"/>
        <v>11</v>
      </c>
      <c r="C17" s="65" t="s">
        <v>160</v>
      </c>
      <c r="D17" s="21"/>
      <c r="E17" s="19"/>
      <c r="F17" s="20"/>
      <c r="G17" s="33"/>
    </row>
    <row r="18" spans="2:7" s="4" customFormat="1" ht="18.75" x14ac:dyDescent="0.25">
      <c r="B18" s="37">
        <f t="shared" si="3"/>
        <v>12</v>
      </c>
      <c r="C18" s="65" t="s">
        <v>211</v>
      </c>
      <c r="D18" s="21"/>
      <c r="E18" s="19"/>
      <c r="F18" s="20"/>
      <c r="G18" s="33"/>
    </row>
    <row r="19" spans="2:7" s="103" customFormat="1" ht="18.75" x14ac:dyDescent="0.3">
      <c r="B19" s="37">
        <f t="shared" si="3"/>
        <v>13</v>
      </c>
      <c r="C19" s="71" t="s">
        <v>226</v>
      </c>
      <c r="D19" s="99"/>
      <c r="E19" s="101"/>
      <c r="F19" s="102"/>
      <c r="G19" s="100"/>
    </row>
    <row r="20" spans="2:7" s="4" customFormat="1" ht="18.75" x14ac:dyDescent="0.25">
      <c r="B20" s="37">
        <f t="shared" si="3"/>
        <v>14</v>
      </c>
      <c r="C20" s="82" t="s">
        <v>242</v>
      </c>
      <c r="D20" s="21"/>
      <c r="E20" s="19"/>
      <c r="F20" s="20"/>
      <c r="G20" s="33"/>
    </row>
    <row r="21" spans="2:7" s="4" customFormat="1" ht="19.5" thickBot="1" x14ac:dyDescent="0.3">
      <c r="B21" s="37">
        <f t="shared" si="3"/>
        <v>15</v>
      </c>
      <c r="C21" s="82" t="s">
        <v>157</v>
      </c>
      <c r="D21" s="21"/>
      <c r="E21" s="19"/>
      <c r="F21" s="20"/>
      <c r="G21" s="33"/>
    </row>
    <row r="22" spans="2:7" ht="19.5" thickBot="1" x14ac:dyDescent="0.3">
      <c r="B22" s="151" t="s">
        <v>13</v>
      </c>
      <c r="C22" s="152"/>
      <c r="D22" s="121" t="s">
        <v>7</v>
      </c>
      <c r="E22" s="122"/>
      <c r="F22" s="123"/>
      <c r="G22" s="67" t="s">
        <v>8</v>
      </c>
    </row>
    <row r="23" spans="2:7" x14ac:dyDescent="0.25">
      <c r="B23" s="153"/>
      <c r="C23" s="142"/>
      <c r="D23" s="142"/>
      <c r="E23" s="142"/>
      <c r="F23" s="142"/>
      <c r="G23" s="145"/>
    </row>
    <row r="24" spans="2:7" x14ac:dyDescent="0.25">
      <c r="B24" s="154"/>
      <c r="C24" s="143"/>
      <c r="D24" s="143"/>
      <c r="E24" s="143"/>
      <c r="F24" s="143"/>
      <c r="G24" s="146"/>
    </row>
    <row r="25" spans="2:7" x14ac:dyDescent="0.25">
      <c r="B25" s="154"/>
      <c r="C25" s="143"/>
      <c r="D25" s="143"/>
      <c r="E25" s="143"/>
      <c r="F25" s="143"/>
      <c r="G25" s="146"/>
    </row>
    <row r="26" spans="2:7" x14ac:dyDescent="0.25">
      <c r="B26" s="154"/>
      <c r="C26" s="143"/>
      <c r="D26" s="143"/>
      <c r="E26" s="143"/>
      <c r="F26" s="143"/>
      <c r="G26" s="146"/>
    </row>
    <row r="27" spans="2:7" ht="15.75" thickBot="1" x14ac:dyDescent="0.3">
      <c r="B27" s="155"/>
      <c r="C27" s="144"/>
      <c r="D27" s="144"/>
      <c r="E27" s="144"/>
      <c r="F27" s="144"/>
      <c r="G27" s="147"/>
    </row>
    <row r="36" spans="11:11" x14ac:dyDescent="0.25">
      <c r="K36" s="55" t="s">
        <v>257</v>
      </c>
    </row>
  </sheetData>
  <mergeCells count="8">
    <mergeCell ref="G23:G27"/>
    <mergeCell ref="B3:F3"/>
    <mergeCell ref="D4:F4"/>
    <mergeCell ref="E5:F5"/>
    <mergeCell ref="B22:C22"/>
    <mergeCell ref="D22:F22"/>
    <mergeCell ref="B23:C27"/>
    <mergeCell ref="D23:F27"/>
  </mergeCells>
  <conditionalFormatting sqref="D7:D21">
    <cfRule type="cellIs" dxfId="39" priority="1" operator="equal">
      <formula>3</formula>
    </cfRule>
    <cfRule type="cellIs" dxfId="38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2:K36"/>
  <sheetViews>
    <sheetView view="pageLayout" topLeftCell="B13" zoomScaleNormal="80" workbookViewId="0">
      <selection activeCell="K49" sqref="K49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2" spans="2:7" ht="0.75" customHeight="1" x14ac:dyDescent="0.25"/>
    <row r="3" spans="2:7" ht="36" customHeight="1" x14ac:dyDescent="0.25">
      <c r="B3" s="156" t="s">
        <v>11</v>
      </c>
      <c r="C3" s="156"/>
      <c r="D3" s="156"/>
      <c r="E3" s="156"/>
      <c r="F3" s="156"/>
      <c r="G3" s="93" t="s">
        <v>187</v>
      </c>
    </row>
    <row r="4" spans="2:7" ht="23.25" x14ac:dyDescent="0.25">
      <c r="B4" s="48"/>
      <c r="C4" s="83" t="s">
        <v>44</v>
      </c>
      <c r="D4" s="157" t="s">
        <v>40</v>
      </c>
      <c r="E4" s="157"/>
      <c r="F4" s="157"/>
      <c r="G4" s="84" t="str">
        <f>+'Line &amp; frequency'!C2</f>
        <v>HEBDOMADAIRE</v>
      </c>
    </row>
    <row r="5" spans="2:7" ht="18.75" x14ac:dyDescent="0.25">
      <c r="B5" s="75"/>
      <c r="C5" s="75"/>
      <c r="D5" s="75"/>
      <c r="E5" s="158" t="s">
        <v>0</v>
      </c>
      <c r="F5" s="158"/>
      <c r="G5" s="75"/>
    </row>
    <row r="6" spans="2:7" s="4" customFormat="1" ht="15.75" x14ac:dyDescent="0.25">
      <c r="B6" s="85" t="s">
        <v>1</v>
      </c>
      <c r="C6" s="85" t="s">
        <v>2</v>
      </c>
      <c r="D6" s="85" t="s">
        <v>3</v>
      </c>
      <c r="E6" s="86" t="s">
        <v>4</v>
      </c>
      <c r="F6" s="86" t="s">
        <v>5</v>
      </c>
      <c r="G6" s="87" t="s">
        <v>6</v>
      </c>
    </row>
    <row r="7" spans="2:7" s="4" customFormat="1" ht="18.75" x14ac:dyDescent="0.25">
      <c r="B7" s="49">
        <v>1</v>
      </c>
      <c r="C7" s="65" t="s">
        <v>81</v>
      </c>
      <c r="D7" s="50"/>
      <c r="E7" s="51"/>
      <c r="F7" s="52"/>
      <c r="G7" s="53"/>
    </row>
    <row r="8" spans="2:7" s="4" customFormat="1" ht="18.75" x14ac:dyDescent="0.25">
      <c r="B8" s="54">
        <f>B7+1</f>
        <v>2</v>
      </c>
      <c r="C8" s="65" t="s">
        <v>74</v>
      </c>
      <c r="D8" s="50"/>
      <c r="E8" s="51"/>
      <c r="F8" s="52"/>
      <c r="G8" s="53"/>
    </row>
    <row r="9" spans="2:7" s="4" customFormat="1" ht="18.75" x14ac:dyDescent="0.25">
      <c r="B9" s="49">
        <f>+B8+1</f>
        <v>3</v>
      </c>
      <c r="C9" s="65" t="s">
        <v>75</v>
      </c>
      <c r="D9" s="50"/>
      <c r="E9" s="51"/>
      <c r="F9" s="52"/>
      <c r="G9" s="53"/>
    </row>
    <row r="10" spans="2:7" s="4" customFormat="1" ht="18.75" x14ac:dyDescent="0.25">
      <c r="B10" s="6">
        <f t="shared" ref="B10:B18" si="0">B9+1</f>
        <v>4</v>
      </c>
      <c r="C10" s="65" t="s">
        <v>76</v>
      </c>
      <c r="D10" s="21"/>
      <c r="E10" s="19"/>
      <c r="F10" s="20"/>
      <c r="G10" s="33"/>
    </row>
    <row r="11" spans="2:7" s="4" customFormat="1" ht="18.75" x14ac:dyDescent="0.25">
      <c r="B11" s="6">
        <f t="shared" si="0"/>
        <v>5</v>
      </c>
      <c r="C11" s="65" t="s">
        <v>82</v>
      </c>
      <c r="D11" s="21"/>
      <c r="E11" s="19"/>
      <c r="F11" s="20"/>
      <c r="G11" s="33"/>
    </row>
    <row r="12" spans="2:7" s="4" customFormat="1" ht="18.75" x14ac:dyDescent="0.25">
      <c r="B12" s="6">
        <f t="shared" si="0"/>
        <v>6</v>
      </c>
      <c r="C12" s="65" t="s">
        <v>83</v>
      </c>
      <c r="D12" s="21"/>
      <c r="E12" s="19"/>
      <c r="F12" s="20"/>
      <c r="G12" s="33"/>
    </row>
    <row r="13" spans="2:7" s="4" customFormat="1" ht="18.75" x14ac:dyDescent="0.25">
      <c r="B13" s="6">
        <f t="shared" si="0"/>
        <v>7</v>
      </c>
      <c r="C13" s="65" t="s">
        <v>143</v>
      </c>
      <c r="D13" s="21"/>
      <c r="E13" s="19"/>
      <c r="F13" s="20"/>
      <c r="G13" s="33"/>
    </row>
    <row r="14" spans="2:7" s="4" customFormat="1" ht="18.75" x14ac:dyDescent="0.25">
      <c r="B14" s="6">
        <f t="shared" si="0"/>
        <v>8</v>
      </c>
      <c r="C14" s="65" t="s">
        <v>144</v>
      </c>
      <c r="D14" s="21"/>
      <c r="E14" s="19"/>
      <c r="F14" s="20"/>
      <c r="G14" s="33"/>
    </row>
    <row r="15" spans="2:7" s="4" customFormat="1" ht="18.75" x14ac:dyDescent="0.25">
      <c r="B15" s="6">
        <f t="shared" si="0"/>
        <v>9</v>
      </c>
      <c r="C15" s="65" t="s">
        <v>145</v>
      </c>
      <c r="D15" s="21"/>
      <c r="E15" s="19"/>
      <c r="F15" s="20"/>
      <c r="G15" s="33"/>
    </row>
    <row r="16" spans="2:7" s="4" customFormat="1" ht="18.75" x14ac:dyDescent="0.25">
      <c r="B16" s="6">
        <f t="shared" si="0"/>
        <v>10</v>
      </c>
      <c r="C16" s="82" t="s">
        <v>157</v>
      </c>
      <c r="D16" s="21"/>
      <c r="E16" s="19"/>
      <c r="F16" s="20"/>
      <c r="G16" s="33"/>
    </row>
    <row r="17" spans="2:7" s="4" customFormat="1" ht="18.75" x14ac:dyDescent="0.25">
      <c r="B17" s="6">
        <f t="shared" si="0"/>
        <v>11</v>
      </c>
      <c r="C17" s="82"/>
      <c r="D17" s="21"/>
      <c r="E17" s="19"/>
      <c r="F17" s="20"/>
      <c r="G17" s="33"/>
    </row>
    <row r="18" spans="2:7" s="4" customFormat="1" ht="19.5" thickBot="1" x14ac:dyDescent="0.3">
      <c r="B18" s="6">
        <f t="shared" si="0"/>
        <v>12</v>
      </c>
      <c r="C18" s="82"/>
      <c r="D18" s="21"/>
      <c r="E18" s="19"/>
      <c r="F18" s="20"/>
      <c r="G18" s="33"/>
    </row>
    <row r="19" spans="2:7" ht="19.5" thickBot="1" x14ac:dyDescent="0.3">
      <c r="B19" s="151" t="s">
        <v>13</v>
      </c>
      <c r="C19" s="152"/>
      <c r="D19" s="121" t="s">
        <v>7</v>
      </c>
      <c r="E19" s="122"/>
      <c r="F19" s="123"/>
      <c r="G19" s="67" t="s">
        <v>8</v>
      </c>
    </row>
    <row r="20" spans="2:7" x14ac:dyDescent="0.25">
      <c r="B20" s="153"/>
      <c r="C20" s="142"/>
      <c r="D20" s="142"/>
      <c r="E20" s="142"/>
      <c r="F20" s="142"/>
      <c r="G20" s="145"/>
    </row>
    <row r="21" spans="2:7" x14ac:dyDescent="0.25">
      <c r="B21" s="154"/>
      <c r="C21" s="143"/>
      <c r="D21" s="143"/>
      <c r="E21" s="143"/>
      <c r="F21" s="143"/>
      <c r="G21" s="146"/>
    </row>
    <row r="22" spans="2:7" x14ac:dyDescent="0.25">
      <c r="B22" s="154"/>
      <c r="C22" s="143"/>
      <c r="D22" s="143"/>
      <c r="E22" s="143"/>
      <c r="F22" s="143"/>
      <c r="G22" s="146"/>
    </row>
    <row r="23" spans="2:7" x14ac:dyDescent="0.25">
      <c r="B23" s="154"/>
      <c r="C23" s="143"/>
      <c r="D23" s="143"/>
      <c r="E23" s="143"/>
      <c r="F23" s="143"/>
      <c r="G23" s="146"/>
    </row>
    <row r="24" spans="2:7" ht="15.75" thickBot="1" x14ac:dyDescent="0.3">
      <c r="B24" s="155"/>
      <c r="C24" s="144"/>
      <c r="D24" s="144"/>
      <c r="E24" s="144"/>
      <c r="F24" s="144"/>
      <c r="G24" s="147"/>
    </row>
    <row r="36" spans="11:11" x14ac:dyDescent="0.25">
      <c r="K36" s="55" t="s">
        <v>257</v>
      </c>
    </row>
  </sheetData>
  <mergeCells count="8">
    <mergeCell ref="G20:G24"/>
    <mergeCell ref="B3:F3"/>
    <mergeCell ref="D4:F4"/>
    <mergeCell ref="E5:F5"/>
    <mergeCell ref="B19:C19"/>
    <mergeCell ref="D19:F19"/>
    <mergeCell ref="B20:C24"/>
    <mergeCell ref="D20:F24"/>
  </mergeCells>
  <conditionalFormatting sqref="D7:D18">
    <cfRule type="cellIs" dxfId="37" priority="1" operator="equal">
      <formula>3</formula>
    </cfRule>
    <cfRule type="cellIs" dxfId="36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40"/>
  <sheetViews>
    <sheetView view="pageBreakPreview" topLeftCell="B8" zoomScale="90" zoomScaleNormal="55" zoomScaleSheetLayoutView="90" zoomScalePageLayoutView="70" workbookViewId="0">
      <selection activeCell="D28" sqref="D28"/>
    </sheetView>
  </sheetViews>
  <sheetFormatPr baseColWidth="10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17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8.75" x14ac:dyDescent="0.25">
      <c r="B8" s="5">
        <v>1</v>
      </c>
      <c r="C8" s="65" t="s">
        <v>84</v>
      </c>
      <c r="D8" s="21" t="s">
        <v>258</v>
      </c>
      <c r="E8" s="19"/>
      <c r="F8" s="20"/>
      <c r="G8" s="33"/>
    </row>
    <row r="9" spans="2:7" s="4" customFormat="1" ht="19.5" thickBot="1" x14ac:dyDescent="0.3">
      <c r="B9" s="37">
        <v>2</v>
      </c>
      <c r="C9" s="65" t="s">
        <v>233</v>
      </c>
      <c r="D9" s="21" t="s">
        <v>260</v>
      </c>
      <c r="E9" s="19"/>
      <c r="F9" s="20"/>
      <c r="G9" s="33"/>
    </row>
    <row r="10" spans="2:7" s="4" customFormat="1" ht="18.75" x14ac:dyDescent="0.25">
      <c r="B10" s="5">
        <v>3</v>
      </c>
      <c r="C10" s="65" t="s">
        <v>230</v>
      </c>
      <c r="D10" s="21" t="s">
        <v>261</v>
      </c>
      <c r="E10" s="19"/>
      <c r="F10" s="20"/>
      <c r="G10" s="33"/>
    </row>
    <row r="11" spans="2:7" s="4" customFormat="1" ht="19.5" thickBot="1" x14ac:dyDescent="0.3">
      <c r="B11" s="37">
        <v>4</v>
      </c>
      <c r="C11" s="65" t="s">
        <v>231</v>
      </c>
      <c r="D11" s="21" t="s">
        <v>261</v>
      </c>
      <c r="E11" s="19"/>
      <c r="F11" s="20"/>
      <c r="G11" s="33"/>
    </row>
    <row r="12" spans="2:7" s="4" customFormat="1" ht="18.75" x14ac:dyDescent="0.25">
      <c r="B12" s="5">
        <v>5</v>
      </c>
      <c r="C12" s="65" t="s">
        <v>232</v>
      </c>
      <c r="D12" s="21" t="s">
        <v>261</v>
      </c>
      <c r="E12" s="19"/>
      <c r="F12" s="20"/>
      <c r="G12" s="33"/>
    </row>
    <row r="13" spans="2:7" s="4" customFormat="1" ht="19.5" thickBot="1" x14ac:dyDescent="0.3">
      <c r="B13" s="37">
        <v>6</v>
      </c>
      <c r="C13" s="65" t="s">
        <v>235</v>
      </c>
      <c r="D13" s="21" t="s">
        <v>260</v>
      </c>
      <c r="E13" s="19"/>
      <c r="F13" s="20"/>
      <c r="G13" s="33"/>
    </row>
    <row r="14" spans="2:7" s="4" customFormat="1" ht="21.75" customHeight="1" x14ac:dyDescent="0.25">
      <c r="B14" s="5">
        <v>7</v>
      </c>
      <c r="C14" s="65" t="s">
        <v>85</v>
      </c>
      <c r="D14" s="21" t="s">
        <v>262</v>
      </c>
      <c r="E14" s="19"/>
      <c r="F14" s="20"/>
      <c r="G14" s="33"/>
    </row>
    <row r="15" spans="2:7" s="4" customFormat="1" ht="19.5" thickBot="1" x14ac:dyDescent="0.3">
      <c r="B15" s="37">
        <v>8</v>
      </c>
      <c r="C15" s="65" t="s">
        <v>86</v>
      </c>
      <c r="D15" s="21" t="s">
        <v>263</v>
      </c>
      <c r="E15" s="19"/>
      <c r="F15" s="20"/>
      <c r="G15" s="33"/>
    </row>
    <row r="16" spans="2:7" s="4" customFormat="1" ht="18.75" x14ac:dyDescent="0.25">
      <c r="B16" s="5">
        <v>9</v>
      </c>
      <c r="C16" s="65" t="s">
        <v>87</v>
      </c>
      <c r="D16" s="21" t="s">
        <v>261</v>
      </c>
      <c r="E16" s="19"/>
      <c r="F16" s="20"/>
      <c r="G16" s="33"/>
    </row>
    <row r="17" spans="2:7" s="4" customFormat="1" ht="19.5" thickBot="1" x14ac:dyDescent="0.3">
      <c r="B17" s="37">
        <v>10</v>
      </c>
      <c r="C17" s="65" t="s">
        <v>88</v>
      </c>
      <c r="D17" s="21" t="s">
        <v>258</v>
      </c>
      <c r="E17" s="19"/>
      <c r="F17" s="20"/>
      <c r="G17" s="33"/>
    </row>
    <row r="18" spans="2:7" s="4" customFormat="1" ht="18.75" x14ac:dyDescent="0.25">
      <c r="B18" s="5">
        <v>11</v>
      </c>
      <c r="C18" s="65" t="s">
        <v>89</v>
      </c>
      <c r="D18" s="21" t="s">
        <v>262</v>
      </c>
      <c r="E18" s="19"/>
      <c r="F18" s="20"/>
      <c r="G18" s="33"/>
    </row>
    <row r="19" spans="2:7" s="4" customFormat="1" ht="19.5" thickBot="1" x14ac:dyDescent="0.3">
      <c r="B19" s="37">
        <v>12</v>
      </c>
      <c r="C19" s="65" t="s">
        <v>147</v>
      </c>
      <c r="D19" s="21" t="s">
        <v>258</v>
      </c>
      <c r="E19" s="19"/>
      <c r="F19" s="20"/>
      <c r="G19" s="33"/>
    </row>
    <row r="20" spans="2:7" s="4" customFormat="1" ht="18.75" x14ac:dyDescent="0.25">
      <c r="B20" s="5">
        <v>13</v>
      </c>
      <c r="C20" s="65" t="s">
        <v>148</v>
      </c>
      <c r="D20" s="21" t="s">
        <v>260</v>
      </c>
      <c r="E20" s="19"/>
      <c r="F20" s="20"/>
      <c r="G20" s="33"/>
    </row>
    <row r="21" spans="2:7" s="4" customFormat="1" ht="19.5" thickBot="1" x14ac:dyDescent="0.3">
      <c r="B21" s="37">
        <v>14</v>
      </c>
      <c r="C21" s="65" t="s">
        <v>149</v>
      </c>
      <c r="D21" s="21" t="s">
        <v>263</v>
      </c>
      <c r="E21" s="19"/>
      <c r="F21" s="20"/>
      <c r="G21" s="33"/>
    </row>
    <row r="22" spans="2:7" s="4" customFormat="1" ht="18.75" x14ac:dyDescent="0.25">
      <c r="B22" s="5">
        <v>15</v>
      </c>
      <c r="C22" s="65" t="s">
        <v>150</v>
      </c>
      <c r="D22" s="21" t="s">
        <v>258</v>
      </c>
      <c r="E22" s="19"/>
      <c r="F22" s="20"/>
      <c r="G22" s="33"/>
    </row>
    <row r="23" spans="2:7" s="4" customFormat="1" ht="19.5" thickBot="1" x14ac:dyDescent="0.3">
      <c r="B23" s="37">
        <v>16</v>
      </c>
      <c r="C23" s="65" t="s">
        <v>151</v>
      </c>
      <c r="D23" s="21" t="s">
        <v>260</v>
      </c>
      <c r="E23" s="19"/>
      <c r="F23" s="20"/>
      <c r="G23" s="33"/>
    </row>
    <row r="24" spans="2:7" s="4" customFormat="1" ht="18.75" x14ac:dyDescent="0.25">
      <c r="B24" s="5">
        <v>17</v>
      </c>
      <c r="C24" s="65" t="s">
        <v>181</v>
      </c>
      <c r="D24" s="21" t="s">
        <v>261</v>
      </c>
      <c r="E24" s="19"/>
      <c r="F24" s="20"/>
      <c r="G24" s="33"/>
    </row>
    <row r="25" spans="2:7" s="4" customFormat="1" ht="19.5" thickBot="1" x14ac:dyDescent="0.3">
      <c r="B25" s="37">
        <v>18</v>
      </c>
      <c r="C25" s="65" t="s">
        <v>209</v>
      </c>
      <c r="D25" s="21" t="s">
        <v>263</v>
      </c>
      <c r="E25" s="19"/>
      <c r="F25" s="20"/>
      <c r="G25" s="33"/>
    </row>
    <row r="26" spans="2:7" s="4" customFormat="1" ht="18.75" x14ac:dyDescent="0.25">
      <c r="B26" s="5">
        <v>19</v>
      </c>
      <c r="C26" s="65" t="s">
        <v>236</v>
      </c>
      <c r="D26" s="21" t="s">
        <v>264</v>
      </c>
      <c r="E26" s="19"/>
      <c r="F26" s="20"/>
      <c r="G26" s="33"/>
    </row>
    <row r="27" spans="2:7" s="4" customFormat="1" ht="19.5" thickBot="1" x14ac:dyDescent="0.3">
      <c r="B27" s="37">
        <v>20</v>
      </c>
      <c r="C27" s="65" t="s">
        <v>190</v>
      </c>
      <c r="D27" s="21" t="s">
        <v>263</v>
      </c>
      <c r="E27" s="19"/>
      <c r="F27" s="20"/>
      <c r="G27" s="33"/>
    </row>
    <row r="28" spans="2:7" s="4" customFormat="1" ht="18.75" x14ac:dyDescent="0.25">
      <c r="B28" s="5">
        <v>21</v>
      </c>
      <c r="C28" s="65" t="s">
        <v>152</v>
      </c>
      <c r="D28" s="21" t="s">
        <v>260</v>
      </c>
      <c r="E28" s="19"/>
      <c r="F28" s="20"/>
      <c r="G28" s="33"/>
    </row>
    <row r="29" spans="2:7" s="4" customFormat="1" ht="19.5" thickBot="1" x14ac:dyDescent="0.3">
      <c r="B29" s="37">
        <v>22</v>
      </c>
      <c r="C29" s="65" t="s">
        <v>208</v>
      </c>
      <c r="D29" s="47" t="s">
        <v>259</v>
      </c>
      <c r="E29" s="19"/>
      <c r="F29" s="20"/>
      <c r="G29" s="33"/>
    </row>
    <row r="30" spans="2:7" s="4" customFormat="1" ht="18.75" x14ac:dyDescent="0.25">
      <c r="B30" s="5">
        <v>23</v>
      </c>
      <c r="C30" s="82" t="s">
        <v>234</v>
      </c>
      <c r="D30" s="47" t="s">
        <v>265</v>
      </c>
      <c r="E30" s="19"/>
      <c r="F30" s="20"/>
      <c r="G30" s="33"/>
    </row>
    <row r="31" spans="2:7" s="4" customFormat="1" ht="19.5" thickBot="1" x14ac:dyDescent="0.3">
      <c r="B31" s="37">
        <v>24</v>
      </c>
      <c r="C31" s="82" t="s">
        <v>216</v>
      </c>
      <c r="D31" s="47" t="s">
        <v>260</v>
      </c>
      <c r="E31" s="19"/>
      <c r="F31" s="20"/>
      <c r="G31" s="33"/>
    </row>
    <row r="32" spans="2:7" s="4" customFormat="1" ht="19.5" thickBot="1" x14ac:dyDescent="0.3">
      <c r="B32" s="5">
        <v>25</v>
      </c>
      <c r="C32" s="82" t="s">
        <v>244</v>
      </c>
      <c r="D32" s="47" t="s">
        <v>262</v>
      </c>
      <c r="E32" s="19"/>
      <c r="F32" s="20"/>
      <c r="G32" s="33"/>
    </row>
    <row r="33" spans="2:11" s="4" customFormat="1" ht="18.75" x14ac:dyDescent="0.25">
      <c r="B33" s="5">
        <v>26</v>
      </c>
      <c r="C33" s="82" t="s">
        <v>157</v>
      </c>
      <c r="D33" s="47" t="s">
        <v>260</v>
      </c>
      <c r="E33" s="19"/>
      <c r="F33" s="20"/>
      <c r="G33" s="33"/>
    </row>
    <row r="34" spans="2:11" s="4" customFormat="1" ht="19.5" thickBot="1" x14ac:dyDescent="0.3">
      <c r="B34" s="37">
        <v>27</v>
      </c>
      <c r="C34" s="82"/>
      <c r="D34" s="47"/>
      <c r="E34" s="19"/>
      <c r="F34" s="20"/>
      <c r="G34" s="33"/>
    </row>
    <row r="35" spans="2:11" ht="19.5" thickBot="1" x14ac:dyDescent="0.3">
      <c r="B35" s="151" t="s">
        <v>13</v>
      </c>
      <c r="C35" s="152"/>
      <c r="D35" s="121" t="s">
        <v>7</v>
      </c>
      <c r="E35" s="122"/>
      <c r="F35" s="123"/>
      <c r="G35" s="67" t="s">
        <v>8</v>
      </c>
    </row>
    <row r="36" spans="2:11" x14ac:dyDescent="0.25">
      <c r="B36" s="153"/>
      <c r="C36" s="142"/>
      <c r="D36" s="142"/>
      <c r="E36" s="142"/>
      <c r="F36" s="142"/>
      <c r="G36" s="145"/>
      <c r="K36" s="55" t="s">
        <v>257</v>
      </c>
    </row>
    <row r="37" spans="2:11" x14ac:dyDescent="0.25">
      <c r="B37" s="154"/>
      <c r="C37" s="143"/>
      <c r="D37" s="143"/>
      <c r="E37" s="143"/>
      <c r="F37" s="143"/>
      <c r="G37" s="146"/>
    </row>
    <row r="38" spans="2:11" ht="14.25" customHeight="1" x14ac:dyDescent="0.25">
      <c r="B38" s="154"/>
      <c r="C38" s="143"/>
      <c r="D38" s="143"/>
      <c r="E38" s="143"/>
      <c r="F38" s="143"/>
      <c r="G38" s="146"/>
    </row>
    <row r="39" spans="2:11" hidden="1" x14ac:dyDescent="0.25">
      <c r="B39" s="154"/>
      <c r="C39" s="143"/>
      <c r="D39" s="143"/>
      <c r="E39" s="143"/>
      <c r="F39" s="143"/>
      <c r="G39" s="146"/>
    </row>
    <row r="40" spans="2:11" ht="15.75" hidden="1" thickBot="1" x14ac:dyDescent="0.3">
      <c r="B40" s="155"/>
      <c r="C40" s="144"/>
      <c r="D40" s="144"/>
      <c r="E40" s="144"/>
      <c r="F40" s="144"/>
      <c r="G40" s="147"/>
    </row>
  </sheetData>
  <sheetProtection selectLockedCells="1"/>
  <mergeCells count="8">
    <mergeCell ref="B36:C40"/>
    <mergeCell ref="D36:F40"/>
    <mergeCell ref="G36:G40"/>
    <mergeCell ref="B3:F3"/>
    <mergeCell ref="D4:F4"/>
    <mergeCell ref="E6:F6"/>
    <mergeCell ref="B35:C35"/>
    <mergeCell ref="D35:F35"/>
  </mergeCells>
  <conditionalFormatting sqref="D8:D34">
    <cfRule type="cellIs" dxfId="35" priority="3" operator="equal">
      <formula>3</formula>
    </cfRule>
    <cfRule type="cellIs" dxfId="34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B1:K56"/>
  <sheetViews>
    <sheetView view="pageBreakPreview" topLeftCell="A39" zoomScale="90" zoomScaleNormal="55" zoomScaleSheetLayoutView="90" zoomScalePageLayoutView="70" workbookViewId="0">
      <selection activeCell="D35" sqref="D35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45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8.75" x14ac:dyDescent="0.25">
      <c r="B8" s="6">
        <v>1</v>
      </c>
      <c r="C8" s="65" t="s">
        <v>90</v>
      </c>
      <c r="D8" s="21"/>
      <c r="E8" s="19"/>
      <c r="F8" s="20"/>
      <c r="G8" s="33"/>
    </row>
    <row r="9" spans="2:7" s="4" customFormat="1" ht="18.75" x14ac:dyDescent="0.25">
      <c r="B9" s="6">
        <v>2</v>
      </c>
      <c r="C9" s="65" t="s">
        <v>91</v>
      </c>
      <c r="D9" s="21"/>
      <c r="E9" s="19"/>
      <c r="F9" s="20"/>
      <c r="G9" s="33"/>
    </row>
    <row r="10" spans="2:7" s="4" customFormat="1" ht="18.75" x14ac:dyDescent="0.25">
      <c r="B10" s="6">
        <v>3</v>
      </c>
      <c r="C10" s="65" t="s">
        <v>92</v>
      </c>
      <c r="D10" s="21"/>
      <c r="E10" s="19"/>
      <c r="F10" s="20"/>
      <c r="G10" s="33"/>
    </row>
    <row r="11" spans="2:7" s="4" customFormat="1" ht="18.75" x14ac:dyDescent="0.25">
      <c r="B11" s="6">
        <v>4</v>
      </c>
      <c r="C11" s="65" t="s">
        <v>93</v>
      </c>
      <c r="D11" s="21"/>
      <c r="E11" s="19"/>
      <c r="F11" s="20"/>
      <c r="G11" s="33"/>
    </row>
    <row r="12" spans="2:7" s="4" customFormat="1" ht="18.75" x14ac:dyDescent="0.25">
      <c r="B12" s="6">
        <v>5</v>
      </c>
      <c r="C12" s="65" t="s">
        <v>94</v>
      </c>
      <c r="D12" s="21"/>
      <c r="E12" s="19"/>
      <c r="F12" s="20"/>
      <c r="G12" s="33"/>
    </row>
    <row r="13" spans="2:7" s="4" customFormat="1" ht="18.75" x14ac:dyDescent="0.25">
      <c r="B13" s="6">
        <v>6</v>
      </c>
      <c r="C13" s="65" t="s">
        <v>95</v>
      </c>
      <c r="D13" s="21"/>
      <c r="E13" s="19"/>
      <c r="F13" s="20"/>
      <c r="G13" s="33"/>
    </row>
    <row r="14" spans="2:7" s="4" customFormat="1" ht="18.75" x14ac:dyDescent="0.25">
      <c r="B14" s="6">
        <v>7</v>
      </c>
      <c r="C14" s="65" t="s">
        <v>96</v>
      </c>
      <c r="D14" s="21"/>
      <c r="E14" s="19"/>
      <c r="F14" s="20"/>
      <c r="G14" s="33"/>
    </row>
    <row r="15" spans="2:7" s="4" customFormat="1" ht="18.75" x14ac:dyDescent="0.25">
      <c r="B15" s="6">
        <v>8</v>
      </c>
      <c r="C15" s="65" t="s">
        <v>97</v>
      </c>
      <c r="D15" s="21"/>
      <c r="E15" s="19"/>
      <c r="F15" s="20"/>
      <c r="G15" s="33"/>
    </row>
    <row r="16" spans="2:7" s="4" customFormat="1" ht="18.75" x14ac:dyDescent="0.25">
      <c r="B16" s="6">
        <v>9</v>
      </c>
      <c r="C16" s="65" t="s">
        <v>98</v>
      </c>
      <c r="D16" s="21"/>
      <c r="E16" s="19"/>
      <c r="F16" s="20"/>
      <c r="G16" s="33"/>
    </row>
    <row r="17" spans="2:7" s="4" customFormat="1" ht="18.75" x14ac:dyDescent="0.25">
      <c r="B17" s="6">
        <v>10</v>
      </c>
      <c r="C17" s="65" t="s">
        <v>99</v>
      </c>
      <c r="D17" s="21"/>
      <c r="E17" s="19"/>
      <c r="F17" s="20"/>
      <c r="G17" s="33"/>
    </row>
    <row r="18" spans="2:7" s="4" customFormat="1" ht="31.5" x14ac:dyDescent="0.25">
      <c r="B18" s="6">
        <v>11</v>
      </c>
      <c r="C18" s="65" t="s">
        <v>100</v>
      </c>
      <c r="D18" s="21"/>
      <c r="E18" s="19"/>
      <c r="F18" s="20"/>
      <c r="G18" s="33"/>
    </row>
    <row r="19" spans="2:7" s="4" customFormat="1" ht="18.75" x14ac:dyDescent="0.25">
      <c r="B19" s="6">
        <v>12</v>
      </c>
      <c r="C19" s="65" t="s">
        <v>101</v>
      </c>
      <c r="D19" s="21"/>
      <c r="E19" s="19"/>
      <c r="F19" s="20"/>
      <c r="G19" s="33"/>
    </row>
    <row r="20" spans="2:7" s="4" customFormat="1" ht="18.75" x14ac:dyDescent="0.25">
      <c r="B20" s="6">
        <v>13</v>
      </c>
      <c r="C20" s="65" t="s">
        <v>102</v>
      </c>
      <c r="D20" s="21"/>
      <c r="E20" s="19"/>
      <c r="F20" s="20"/>
      <c r="G20" s="33"/>
    </row>
    <row r="21" spans="2:7" s="4" customFormat="1" ht="18.75" x14ac:dyDescent="0.25">
      <c r="B21" s="6">
        <v>14</v>
      </c>
      <c r="C21" s="65" t="s">
        <v>103</v>
      </c>
      <c r="D21" s="21"/>
      <c r="E21" s="19"/>
      <c r="F21" s="20"/>
      <c r="G21" s="33"/>
    </row>
    <row r="22" spans="2:7" s="4" customFormat="1" ht="18.75" x14ac:dyDescent="0.25">
      <c r="B22" s="6">
        <v>15</v>
      </c>
      <c r="C22" s="65" t="s">
        <v>105</v>
      </c>
      <c r="D22" s="21"/>
      <c r="E22" s="19"/>
      <c r="F22" s="20"/>
      <c r="G22" s="33"/>
    </row>
    <row r="23" spans="2:7" s="4" customFormat="1" ht="18.75" x14ac:dyDescent="0.25">
      <c r="B23" s="6">
        <v>16</v>
      </c>
      <c r="C23" s="65" t="s">
        <v>104</v>
      </c>
      <c r="D23" s="21"/>
      <c r="E23" s="19"/>
      <c r="F23" s="20"/>
      <c r="G23" s="33"/>
    </row>
    <row r="24" spans="2:7" s="4" customFormat="1" ht="33.75" customHeight="1" x14ac:dyDescent="0.25">
      <c r="B24" s="6">
        <v>17</v>
      </c>
      <c r="C24" s="65" t="s">
        <v>106</v>
      </c>
      <c r="D24" s="21"/>
      <c r="E24" s="19"/>
      <c r="F24" s="20"/>
      <c r="G24" s="33"/>
    </row>
    <row r="25" spans="2:7" s="4" customFormat="1" ht="18.75" x14ac:dyDescent="0.25">
      <c r="B25" s="6">
        <v>18</v>
      </c>
      <c r="C25" s="65" t="s">
        <v>107</v>
      </c>
      <c r="D25" s="21"/>
      <c r="E25" s="19"/>
      <c r="F25" s="20"/>
      <c r="G25" s="33"/>
    </row>
    <row r="26" spans="2:7" s="4" customFormat="1" ht="18.75" x14ac:dyDescent="0.25">
      <c r="B26" s="6">
        <v>19</v>
      </c>
      <c r="C26" s="65" t="s">
        <v>108</v>
      </c>
      <c r="D26" s="21"/>
      <c r="E26" s="19"/>
      <c r="F26" s="20"/>
      <c r="G26" s="33"/>
    </row>
    <row r="27" spans="2:7" s="4" customFormat="1" ht="18.75" x14ac:dyDescent="0.25">
      <c r="B27" s="6">
        <v>20</v>
      </c>
      <c r="C27" s="65" t="s">
        <v>109</v>
      </c>
      <c r="D27" s="21"/>
      <c r="E27" s="19"/>
      <c r="F27" s="20"/>
      <c r="G27" s="33"/>
    </row>
    <row r="28" spans="2:7" s="4" customFormat="1" ht="31.5" x14ac:dyDescent="0.25">
      <c r="B28" s="6">
        <v>21</v>
      </c>
      <c r="C28" s="65" t="s">
        <v>110</v>
      </c>
      <c r="D28" s="21"/>
      <c r="E28" s="19"/>
      <c r="F28" s="20"/>
      <c r="G28" s="33"/>
    </row>
    <row r="29" spans="2:7" s="4" customFormat="1" ht="18.75" x14ac:dyDescent="0.25">
      <c r="B29" s="6">
        <v>22</v>
      </c>
      <c r="C29" s="65" t="s">
        <v>46</v>
      </c>
      <c r="D29" s="21"/>
      <c r="E29" s="19"/>
      <c r="F29" s="20"/>
      <c r="G29" s="33"/>
    </row>
    <row r="30" spans="2:7" s="4" customFormat="1" ht="31.5" x14ac:dyDescent="0.25">
      <c r="B30" s="6">
        <v>23</v>
      </c>
      <c r="C30" s="65" t="s">
        <v>111</v>
      </c>
      <c r="D30" s="21"/>
      <c r="E30" s="19"/>
      <c r="F30" s="20"/>
      <c r="G30" s="33"/>
    </row>
    <row r="31" spans="2:7" s="4" customFormat="1" ht="18.75" x14ac:dyDescent="0.25">
      <c r="B31" s="6">
        <v>24</v>
      </c>
      <c r="C31" s="65" t="s">
        <v>112</v>
      </c>
      <c r="D31" s="21"/>
      <c r="E31" s="19"/>
      <c r="F31" s="20"/>
      <c r="G31" s="33"/>
    </row>
    <row r="32" spans="2:7" s="4" customFormat="1" ht="24.75" customHeight="1" x14ac:dyDescent="0.25">
      <c r="B32" s="6">
        <v>25</v>
      </c>
      <c r="C32" s="65" t="s">
        <v>113</v>
      </c>
      <c r="D32" s="21"/>
      <c r="E32" s="19"/>
      <c r="F32" s="20"/>
      <c r="G32" s="33"/>
    </row>
    <row r="33" spans="2:11" s="4" customFormat="1" ht="31.5" x14ac:dyDescent="0.25">
      <c r="B33" s="6">
        <v>26</v>
      </c>
      <c r="C33" s="65" t="s">
        <v>114</v>
      </c>
      <c r="D33" s="21"/>
      <c r="E33" s="19"/>
      <c r="F33" s="20"/>
      <c r="G33" s="33"/>
    </row>
    <row r="34" spans="2:11" s="4" customFormat="1" ht="39.75" customHeight="1" x14ac:dyDescent="0.25">
      <c r="B34" s="6">
        <v>27</v>
      </c>
      <c r="C34" s="65" t="s">
        <v>115</v>
      </c>
      <c r="D34" s="21"/>
      <c r="E34" s="19"/>
      <c r="F34" s="20"/>
      <c r="G34" s="33"/>
    </row>
    <row r="35" spans="2:11" s="4" customFormat="1" ht="18.75" x14ac:dyDescent="0.25">
      <c r="B35" s="6">
        <v>28</v>
      </c>
      <c r="C35" s="65" t="s">
        <v>165</v>
      </c>
      <c r="D35" s="21"/>
      <c r="E35" s="19"/>
      <c r="F35" s="20"/>
      <c r="G35" s="33"/>
    </row>
    <row r="36" spans="2:11" s="4" customFormat="1" ht="31.5" x14ac:dyDescent="0.25">
      <c r="B36" s="6">
        <v>29</v>
      </c>
      <c r="C36" s="65" t="s">
        <v>166</v>
      </c>
      <c r="D36" s="21"/>
      <c r="E36" s="19"/>
      <c r="F36" s="20"/>
      <c r="G36" s="33"/>
      <c r="K36" s="4" t="s">
        <v>257</v>
      </c>
    </row>
    <row r="37" spans="2:11" s="4" customFormat="1" ht="31.5" x14ac:dyDescent="0.25">
      <c r="B37" s="6">
        <v>30</v>
      </c>
      <c r="C37" s="65" t="s">
        <v>164</v>
      </c>
      <c r="D37" s="21"/>
      <c r="E37" s="19"/>
      <c r="F37" s="20"/>
      <c r="G37" s="33"/>
    </row>
    <row r="38" spans="2:11" s="4" customFormat="1" ht="31.5" x14ac:dyDescent="0.25">
      <c r="B38" s="6">
        <v>31</v>
      </c>
      <c r="C38" s="65" t="s">
        <v>116</v>
      </c>
      <c r="D38" s="21"/>
      <c r="E38" s="19"/>
      <c r="F38" s="20"/>
      <c r="G38" s="33"/>
    </row>
    <row r="39" spans="2:11" s="4" customFormat="1" ht="18.75" x14ac:dyDescent="0.25">
      <c r="B39" s="6">
        <v>32</v>
      </c>
      <c r="C39" s="65" t="s">
        <v>117</v>
      </c>
      <c r="D39" s="21"/>
      <c r="E39" s="19"/>
      <c r="F39" s="20"/>
      <c r="G39" s="33"/>
    </row>
    <row r="40" spans="2:11" s="4" customFormat="1" ht="31.5" x14ac:dyDescent="0.25">
      <c r="B40" s="6">
        <v>33</v>
      </c>
      <c r="C40" s="65" t="s">
        <v>118</v>
      </c>
      <c r="D40" s="21"/>
      <c r="E40" s="19"/>
      <c r="F40" s="20"/>
      <c r="G40" s="33"/>
    </row>
    <row r="41" spans="2:11" s="4" customFormat="1" ht="21.75" customHeight="1" x14ac:dyDescent="0.25">
      <c r="B41" s="6">
        <v>34</v>
      </c>
      <c r="C41" s="65" t="s">
        <v>120</v>
      </c>
      <c r="D41" s="21"/>
      <c r="E41" s="19"/>
      <c r="F41" s="20"/>
      <c r="G41" s="33"/>
    </row>
    <row r="42" spans="2:11" s="4" customFormat="1" ht="18.75" x14ac:dyDescent="0.25">
      <c r="B42" s="6">
        <v>35</v>
      </c>
      <c r="C42" s="65" t="s">
        <v>119</v>
      </c>
      <c r="D42" s="21"/>
      <c r="E42" s="19"/>
      <c r="F42" s="20"/>
      <c r="G42" s="33"/>
    </row>
    <row r="43" spans="2:11" s="4" customFormat="1" ht="18.75" x14ac:dyDescent="0.25">
      <c r="B43" s="6">
        <v>36</v>
      </c>
      <c r="C43" s="65" t="s">
        <v>170</v>
      </c>
      <c r="D43" s="21"/>
      <c r="E43" s="19"/>
      <c r="F43" s="20"/>
      <c r="G43" s="33"/>
    </row>
    <row r="44" spans="2:11" s="4" customFormat="1" ht="18.75" x14ac:dyDescent="0.25">
      <c r="B44" s="6">
        <v>37</v>
      </c>
      <c r="C44" s="65" t="s">
        <v>174</v>
      </c>
      <c r="D44" s="21"/>
      <c r="E44" s="19"/>
      <c r="F44" s="20"/>
      <c r="G44" s="33"/>
    </row>
    <row r="45" spans="2:11" s="4" customFormat="1" ht="18.75" x14ac:dyDescent="0.25">
      <c r="B45" s="6">
        <v>38</v>
      </c>
      <c r="C45" s="65" t="s">
        <v>175</v>
      </c>
      <c r="D45" s="21"/>
      <c r="E45" s="19"/>
      <c r="F45" s="20"/>
      <c r="G45" s="33"/>
    </row>
    <row r="46" spans="2:11" s="4" customFormat="1" ht="18.75" x14ac:dyDescent="0.25">
      <c r="B46" s="6">
        <v>39</v>
      </c>
      <c r="C46" s="82" t="s">
        <v>201</v>
      </c>
      <c r="D46" s="21"/>
      <c r="E46" s="19"/>
      <c r="F46" s="20"/>
      <c r="G46" s="33"/>
    </row>
    <row r="47" spans="2:11" s="4" customFormat="1" ht="18.75" x14ac:dyDescent="0.25">
      <c r="B47" s="6">
        <v>40</v>
      </c>
      <c r="C47" s="82" t="s">
        <v>207</v>
      </c>
      <c r="D47" s="21"/>
      <c r="E47" s="19"/>
      <c r="F47" s="20"/>
      <c r="G47" s="33"/>
    </row>
    <row r="48" spans="2:11" s="4" customFormat="1" ht="18.75" x14ac:dyDescent="0.25">
      <c r="B48" s="6">
        <v>41</v>
      </c>
      <c r="C48" s="82" t="s">
        <v>210</v>
      </c>
      <c r="D48" s="21"/>
      <c r="E48" s="19"/>
      <c r="F48" s="20"/>
      <c r="G48" s="33"/>
    </row>
    <row r="49" spans="2:7" s="4" customFormat="1" ht="18.75" x14ac:dyDescent="0.25">
      <c r="B49" s="6">
        <v>42</v>
      </c>
      <c r="C49" s="82" t="s">
        <v>206</v>
      </c>
      <c r="D49" s="21"/>
      <c r="E49" s="19"/>
      <c r="F49" s="20"/>
      <c r="G49" s="33"/>
    </row>
    <row r="50" spans="2:7" s="4" customFormat="1" ht="19.5" thickBot="1" x14ac:dyDescent="0.3">
      <c r="B50" s="6"/>
      <c r="C50" s="82"/>
      <c r="D50" s="21"/>
      <c r="E50" s="19"/>
      <c r="F50" s="20"/>
      <c r="G50" s="33"/>
    </row>
    <row r="51" spans="2:7" ht="19.5" thickBot="1" x14ac:dyDescent="0.3">
      <c r="B51" s="151" t="s">
        <v>13</v>
      </c>
      <c r="C51" s="152"/>
      <c r="D51" s="121" t="s">
        <v>7</v>
      </c>
      <c r="E51" s="122"/>
      <c r="F51" s="123"/>
      <c r="G51" s="67" t="s">
        <v>8</v>
      </c>
    </row>
    <row r="52" spans="2:7" x14ac:dyDescent="0.25">
      <c r="B52" s="136" t="s">
        <v>256</v>
      </c>
      <c r="C52" s="137"/>
      <c r="D52" s="142"/>
      <c r="E52" s="142"/>
      <c r="F52" s="142"/>
      <c r="G52" s="145"/>
    </row>
    <row r="53" spans="2:7" x14ac:dyDescent="0.25">
      <c r="B53" s="138"/>
      <c r="C53" s="139"/>
      <c r="D53" s="143"/>
      <c r="E53" s="143"/>
      <c r="F53" s="143"/>
      <c r="G53" s="146"/>
    </row>
    <row r="54" spans="2:7" x14ac:dyDescent="0.25">
      <c r="B54" s="138"/>
      <c r="C54" s="139"/>
      <c r="D54" s="143"/>
      <c r="E54" s="143"/>
      <c r="F54" s="143"/>
      <c r="G54" s="146"/>
    </row>
    <row r="55" spans="2:7" x14ac:dyDescent="0.25">
      <c r="B55" s="138"/>
      <c r="C55" s="139"/>
      <c r="D55" s="143"/>
      <c r="E55" s="143"/>
      <c r="F55" s="143"/>
      <c r="G55" s="146"/>
    </row>
    <row r="56" spans="2:7" ht="15.75" thickBot="1" x14ac:dyDescent="0.3">
      <c r="B56" s="140"/>
      <c r="C56" s="141"/>
      <c r="D56" s="144"/>
      <c r="E56" s="144"/>
      <c r="F56" s="144"/>
      <c r="G56" s="147"/>
    </row>
  </sheetData>
  <sheetProtection selectLockedCells="1"/>
  <mergeCells count="8">
    <mergeCell ref="B52:C56"/>
    <mergeCell ref="D52:F56"/>
    <mergeCell ref="G52:G56"/>
    <mergeCell ref="B3:F3"/>
    <mergeCell ref="D4:F4"/>
    <mergeCell ref="E6:F6"/>
    <mergeCell ref="B51:C51"/>
    <mergeCell ref="D51:F51"/>
  </mergeCells>
  <conditionalFormatting sqref="D8:D50">
    <cfRule type="cellIs" dxfId="33" priority="3" operator="equal">
      <formula>3</formula>
    </cfRule>
    <cfRule type="cellIs" dxfId="3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fitToHeight="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36"/>
  <sheetViews>
    <sheetView view="pageBreakPreview" zoomScaleNormal="55" zoomScaleSheetLayoutView="100" zoomScalePageLayoutView="70" workbookViewId="0">
      <selection activeCell="K49" sqref="K49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</row>
    <row r="4" spans="2:7" ht="24" thickBot="1" x14ac:dyDescent="0.3">
      <c r="B4" s="14"/>
      <c r="C4" s="57" t="s">
        <v>135</v>
      </c>
      <c r="D4" s="114" t="s">
        <v>40</v>
      </c>
      <c r="E4" s="115"/>
      <c r="F4" s="115"/>
      <c r="G4" s="58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17" t="s">
        <v>0</v>
      </c>
      <c r="F6" s="118"/>
    </row>
    <row r="7" spans="2:7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7" s="4" customFormat="1" ht="19.5" thickBot="1" x14ac:dyDescent="0.3">
      <c r="B8" s="5">
        <v>1</v>
      </c>
      <c r="C8" s="65" t="s">
        <v>121</v>
      </c>
      <c r="D8" s="21"/>
      <c r="E8" s="19"/>
      <c r="F8" s="20"/>
      <c r="G8" s="33"/>
    </row>
    <row r="9" spans="2:7" s="4" customFormat="1" ht="19.5" thickBot="1" x14ac:dyDescent="0.3">
      <c r="B9" s="5">
        <v>2</v>
      </c>
      <c r="C9" s="65" t="s">
        <v>122</v>
      </c>
      <c r="D9" s="21"/>
      <c r="E9" s="19"/>
      <c r="F9" s="20"/>
      <c r="G9" s="33"/>
    </row>
    <row r="10" spans="2:7" s="4" customFormat="1" ht="19.5" thickBot="1" x14ac:dyDescent="0.3">
      <c r="B10" s="5">
        <v>3</v>
      </c>
      <c r="C10" s="65" t="s">
        <v>123</v>
      </c>
      <c r="D10" s="21"/>
      <c r="E10" s="19"/>
      <c r="F10" s="20"/>
      <c r="G10" s="33"/>
    </row>
    <row r="11" spans="2:7" s="4" customFormat="1" ht="19.5" thickBot="1" x14ac:dyDescent="0.3">
      <c r="B11" s="5">
        <v>4</v>
      </c>
      <c r="C11" s="65" t="s">
        <v>124</v>
      </c>
      <c r="D11" s="21"/>
      <c r="E11" s="19"/>
      <c r="F11" s="20"/>
      <c r="G11" s="33"/>
    </row>
    <row r="12" spans="2:7" s="4" customFormat="1" ht="19.5" thickBot="1" x14ac:dyDescent="0.3">
      <c r="B12" s="5">
        <v>5</v>
      </c>
      <c r="C12" s="65" t="s">
        <v>131</v>
      </c>
      <c r="D12" s="21"/>
      <c r="E12" s="19"/>
      <c r="F12" s="20"/>
      <c r="G12" s="33"/>
    </row>
    <row r="13" spans="2:7" s="4" customFormat="1" ht="19.5" thickBot="1" x14ac:dyDescent="0.3">
      <c r="B13" s="5">
        <v>6</v>
      </c>
      <c r="C13" s="65" t="s">
        <v>97</v>
      </c>
      <c r="D13" s="21"/>
      <c r="E13" s="19"/>
      <c r="F13" s="20"/>
      <c r="G13" s="33"/>
    </row>
    <row r="14" spans="2:7" s="4" customFormat="1" ht="19.5" thickBot="1" x14ac:dyDescent="0.3">
      <c r="B14" s="5">
        <v>7</v>
      </c>
      <c r="C14" s="65" t="s">
        <v>138</v>
      </c>
      <c r="D14" s="21"/>
      <c r="E14" s="19"/>
      <c r="F14" s="20"/>
      <c r="G14" s="33"/>
    </row>
    <row r="15" spans="2:7" s="4" customFormat="1" ht="19.5" thickBot="1" x14ac:dyDescent="0.3">
      <c r="B15" s="5">
        <v>8</v>
      </c>
      <c r="C15" s="65" t="s">
        <v>125</v>
      </c>
      <c r="D15" s="21"/>
      <c r="E15" s="19"/>
      <c r="F15" s="20"/>
      <c r="G15" s="33"/>
    </row>
    <row r="16" spans="2:7" s="4" customFormat="1" ht="19.5" thickBot="1" x14ac:dyDescent="0.3">
      <c r="B16" s="5">
        <v>9</v>
      </c>
      <c r="C16" s="65" t="s">
        <v>167</v>
      </c>
      <c r="D16" s="21"/>
      <c r="E16" s="19"/>
      <c r="F16" s="20"/>
      <c r="G16" s="33"/>
    </row>
    <row r="17" spans="2:7" s="4" customFormat="1" ht="19.5" thickBot="1" x14ac:dyDescent="0.3">
      <c r="B17" s="5">
        <v>10</v>
      </c>
      <c r="C17" s="65" t="s">
        <v>126</v>
      </c>
      <c r="D17" s="21"/>
      <c r="E17" s="19"/>
      <c r="F17" s="20"/>
      <c r="G17" s="33"/>
    </row>
    <row r="18" spans="2:7" s="4" customFormat="1" ht="19.5" thickBot="1" x14ac:dyDescent="0.3">
      <c r="B18" s="5">
        <v>11</v>
      </c>
      <c r="C18" s="65" t="s">
        <v>139</v>
      </c>
      <c r="D18" s="21"/>
      <c r="E18" s="19"/>
      <c r="F18" s="20"/>
      <c r="G18" s="33"/>
    </row>
    <row r="19" spans="2:7" s="4" customFormat="1" ht="30" customHeight="1" thickBot="1" x14ac:dyDescent="0.3">
      <c r="B19" s="5">
        <v>12</v>
      </c>
      <c r="C19" s="65" t="s">
        <v>127</v>
      </c>
      <c r="D19" s="21"/>
      <c r="E19" s="19"/>
      <c r="F19" s="20"/>
      <c r="G19" s="33"/>
    </row>
    <row r="20" spans="2:7" s="4" customFormat="1" ht="19.5" thickBot="1" x14ac:dyDescent="0.3">
      <c r="B20" s="5">
        <v>13</v>
      </c>
      <c r="C20" s="65" t="s">
        <v>132</v>
      </c>
      <c r="D20" s="21"/>
      <c r="E20" s="19"/>
      <c r="F20" s="20"/>
      <c r="G20" s="33"/>
    </row>
    <row r="21" spans="2:7" s="4" customFormat="1" ht="19.5" hidden="1" thickBot="1" x14ac:dyDescent="0.3">
      <c r="B21" s="5">
        <v>14</v>
      </c>
      <c r="C21" s="65" t="s">
        <v>168</v>
      </c>
      <c r="D21" s="21"/>
      <c r="E21" s="19"/>
      <c r="F21" s="20"/>
      <c r="G21" s="33"/>
    </row>
    <row r="22" spans="2:7" s="4" customFormat="1" ht="19.5" hidden="1" thickBot="1" x14ac:dyDescent="0.3">
      <c r="B22" s="5">
        <v>15</v>
      </c>
      <c r="C22" s="65" t="s">
        <v>128</v>
      </c>
      <c r="D22" s="21"/>
      <c r="E22" s="19"/>
      <c r="F22" s="20"/>
      <c r="G22" s="33"/>
    </row>
    <row r="23" spans="2:7" s="4" customFormat="1" ht="30" hidden="1" customHeight="1" x14ac:dyDescent="0.25">
      <c r="B23" s="5">
        <v>16</v>
      </c>
      <c r="C23" s="65" t="s">
        <v>129</v>
      </c>
      <c r="D23" s="21"/>
      <c r="E23" s="19"/>
      <c r="F23" s="20"/>
      <c r="G23" s="33"/>
    </row>
    <row r="24" spans="2:7" s="4" customFormat="1" ht="19.5" hidden="1" thickBot="1" x14ac:dyDescent="0.3">
      <c r="B24" s="5">
        <v>17</v>
      </c>
      <c r="C24" s="65" t="s">
        <v>130</v>
      </c>
      <c r="D24" s="21"/>
      <c r="E24" s="19"/>
      <c r="F24" s="20"/>
      <c r="G24" s="33"/>
    </row>
    <row r="25" spans="2:7" s="4" customFormat="1" ht="18.75" hidden="1" customHeight="1" x14ac:dyDescent="0.25">
      <c r="B25" s="5">
        <v>18</v>
      </c>
      <c r="C25" s="65" t="s">
        <v>133</v>
      </c>
      <c r="D25" s="21"/>
      <c r="E25" s="19"/>
      <c r="F25" s="20"/>
      <c r="G25" s="33"/>
    </row>
    <row r="26" spans="2:7" s="4" customFormat="1" ht="18.75" hidden="1" customHeight="1" x14ac:dyDescent="0.25">
      <c r="B26" s="5">
        <v>19</v>
      </c>
      <c r="C26" s="65" t="s">
        <v>47</v>
      </c>
      <c r="D26" s="21"/>
      <c r="E26" s="19"/>
      <c r="F26" s="20"/>
      <c r="G26" s="33"/>
    </row>
    <row r="27" spans="2:7" s="4" customFormat="1" ht="18.75" hidden="1" customHeight="1" x14ac:dyDescent="0.25">
      <c r="B27" s="5">
        <v>20</v>
      </c>
      <c r="C27" s="65" t="s">
        <v>134</v>
      </c>
      <c r="D27" s="21"/>
      <c r="E27" s="19"/>
      <c r="F27" s="20"/>
      <c r="G27" s="33"/>
    </row>
    <row r="28" spans="2:7" s="4" customFormat="1" ht="18.75" customHeight="1" thickBot="1" x14ac:dyDescent="0.3">
      <c r="B28" s="5">
        <v>14</v>
      </c>
      <c r="C28" s="65" t="s">
        <v>176</v>
      </c>
      <c r="D28" s="21"/>
      <c r="E28" s="19"/>
      <c r="F28" s="20"/>
      <c r="G28" s="33"/>
    </row>
    <row r="29" spans="2:7" s="4" customFormat="1" ht="18" customHeight="1" thickBot="1" x14ac:dyDescent="0.3">
      <c r="B29" s="5">
        <v>15</v>
      </c>
      <c r="C29" s="66" t="s">
        <v>157</v>
      </c>
      <c r="D29" s="21"/>
      <c r="E29" s="19"/>
      <c r="F29" s="20"/>
      <c r="G29" s="33"/>
    </row>
    <row r="30" spans="2:7" s="4" customFormat="1" ht="19.5" customHeight="1" thickBot="1" x14ac:dyDescent="0.3">
      <c r="B30" s="5">
        <v>16</v>
      </c>
      <c r="C30" s="66"/>
      <c r="D30" s="21"/>
      <c r="E30" s="19"/>
      <c r="F30" s="20"/>
      <c r="G30" s="33"/>
    </row>
    <row r="31" spans="2:7" ht="19.5" thickBot="1" x14ac:dyDescent="0.3">
      <c r="B31" s="151" t="s">
        <v>13</v>
      </c>
      <c r="C31" s="152"/>
      <c r="D31" s="121" t="s">
        <v>7</v>
      </c>
      <c r="E31" s="122"/>
      <c r="F31" s="123"/>
      <c r="G31" s="67" t="s">
        <v>8</v>
      </c>
    </row>
    <row r="32" spans="2:7" x14ac:dyDescent="0.25">
      <c r="B32" s="153"/>
      <c r="C32" s="142"/>
      <c r="D32" s="142"/>
      <c r="E32" s="142"/>
      <c r="F32" s="142"/>
      <c r="G32" s="145"/>
    </row>
    <row r="33" spans="2:11" x14ac:dyDescent="0.25">
      <c r="B33" s="154"/>
      <c r="C33" s="143"/>
      <c r="D33" s="143"/>
      <c r="E33" s="143"/>
      <c r="F33" s="143"/>
      <c r="G33" s="146"/>
    </row>
    <row r="34" spans="2:11" x14ac:dyDescent="0.25">
      <c r="B34" s="154"/>
      <c r="C34" s="143"/>
      <c r="D34" s="143"/>
      <c r="E34" s="143"/>
      <c r="F34" s="143"/>
      <c r="G34" s="146"/>
    </row>
    <row r="35" spans="2:11" x14ac:dyDescent="0.25">
      <c r="B35" s="154"/>
      <c r="C35" s="143"/>
      <c r="D35" s="143"/>
      <c r="E35" s="143"/>
      <c r="F35" s="143"/>
      <c r="G35" s="146"/>
    </row>
    <row r="36" spans="2:11" ht="15.75" thickBot="1" x14ac:dyDescent="0.3">
      <c r="B36" s="155"/>
      <c r="C36" s="144"/>
      <c r="D36" s="144"/>
      <c r="E36" s="144"/>
      <c r="F36" s="144"/>
      <c r="G36" s="147"/>
      <c r="K36" s="55" t="s">
        <v>257</v>
      </c>
    </row>
  </sheetData>
  <sheetProtection selectLockedCells="1"/>
  <mergeCells count="8">
    <mergeCell ref="B32:C36"/>
    <mergeCell ref="D32:F36"/>
    <mergeCell ref="G32:G36"/>
    <mergeCell ref="B3:F3"/>
    <mergeCell ref="D4:F4"/>
    <mergeCell ref="E6:F6"/>
    <mergeCell ref="B31:C31"/>
    <mergeCell ref="D31:F31"/>
  </mergeCells>
  <conditionalFormatting sqref="D8:D30">
    <cfRule type="cellIs" dxfId="31" priority="3" operator="equal">
      <formula>3</formula>
    </cfRule>
    <cfRule type="cellIs" dxfId="3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2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K36"/>
  <sheetViews>
    <sheetView view="pageBreakPreview" topLeftCell="A4" zoomScaleNormal="55" zoomScaleSheetLayoutView="100" zoomScalePageLayoutView="70" workbookViewId="0">
      <selection activeCell="K49" sqref="K49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54.85546875" style="55" bestFit="1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9" ht="1.5" customHeight="1" x14ac:dyDescent="0.25"/>
    <row r="2" spans="2:9" ht="1.5" customHeight="1" thickBot="1" x14ac:dyDescent="0.3"/>
    <row r="3" spans="2:9" ht="62.25" customHeight="1" thickBot="1" x14ac:dyDescent="0.3">
      <c r="B3" s="148" t="s">
        <v>11</v>
      </c>
      <c r="C3" s="149"/>
      <c r="D3" s="149"/>
      <c r="E3" s="149"/>
      <c r="F3" s="150"/>
      <c r="G3" s="56" t="s">
        <v>187</v>
      </c>
      <c r="H3" s="88"/>
      <c r="I3" s="89"/>
    </row>
    <row r="4" spans="2:9" ht="24" thickBot="1" x14ac:dyDescent="0.3">
      <c r="B4" s="14"/>
      <c r="C4" s="57" t="s">
        <v>51</v>
      </c>
      <c r="D4" s="114" t="s">
        <v>40</v>
      </c>
      <c r="E4" s="115"/>
      <c r="F4" s="115"/>
      <c r="G4" s="58" t="str">
        <f>+'Line &amp; frequency'!C2</f>
        <v>HEBDOMADAIRE</v>
      </c>
    </row>
    <row r="5" spans="2:9" ht="8.25" customHeight="1" thickBot="1" x14ac:dyDescent="0.3">
      <c r="B5" s="2"/>
      <c r="C5" s="2"/>
      <c r="D5" s="3"/>
      <c r="E5" s="3"/>
      <c r="F5" s="3"/>
      <c r="G5" s="3"/>
    </row>
    <row r="6" spans="2:9" ht="20.25" customHeight="1" thickBot="1" x14ac:dyDescent="0.3">
      <c r="E6" s="117" t="s">
        <v>0</v>
      </c>
      <c r="F6" s="118"/>
    </row>
    <row r="7" spans="2:9" s="4" customFormat="1" ht="24" customHeight="1" thickBot="1" x14ac:dyDescent="0.3">
      <c r="B7" s="59" t="s">
        <v>1</v>
      </c>
      <c r="C7" s="60" t="s">
        <v>2</v>
      </c>
      <c r="D7" s="61" t="s">
        <v>3</v>
      </c>
      <c r="E7" s="62" t="s">
        <v>4</v>
      </c>
      <c r="F7" s="63" t="s">
        <v>5</v>
      </c>
      <c r="G7" s="64" t="s">
        <v>6</v>
      </c>
    </row>
    <row r="8" spans="2:9" s="4" customFormat="1" ht="19.5" thickBot="1" x14ac:dyDescent="0.3">
      <c r="B8" s="5">
        <v>1</v>
      </c>
      <c r="C8" s="65" t="s">
        <v>48</v>
      </c>
      <c r="D8" s="21"/>
      <c r="E8" s="19"/>
      <c r="F8" s="20"/>
      <c r="G8" s="33"/>
    </row>
    <row r="9" spans="2:9" s="4" customFormat="1" ht="19.5" thickBot="1" x14ac:dyDescent="0.3">
      <c r="B9" s="5">
        <v>2</v>
      </c>
      <c r="C9" s="65" t="s">
        <v>49</v>
      </c>
      <c r="D9" s="21"/>
      <c r="E9" s="19"/>
      <c r="F9" s="20"/>
      <c r="G9" s="33"/>
    </row>
    <row r="10" spans="2:9" s="4" customFormat="1" ht="19.5" thickBot="1" x14ac:dyDescent="0.3">
      <c r="B10" s="5">
        <v>3</v>
      </c>
      <c r="C10" s="65" t="s">
        <v>50</v>
      </c>
      <c r="D10" s="47"/>
      <c r="E10" s="19"/>
      <c r="F10" s="20"/>
      <c r="G10" s="33"/>
    </row>
    <row r="11" spans="2:9" s="4" customFormat="1" ht="19.5" thickBot="1" x14ac:dyDescent="0.3">
      <c r="B11" s="5">
        <v>4</v>
      </c>
      <c r="C11" s="65" t="s">
        <v>180</v>
      </c>
      <c r="D11" s="47"/>
      <c r="E11" s="19"/>
      <c r="F11" s="20"/>
      <c r="G11" s="33"/>
    </row>
    <row r="12" spans="2:9" s="4" customFormat="1" ht="19.5" thickBot="1" x14ac:dyDescent="0.3">
      <c r="B12" s="5">
        <v>5</v>
      </c>
      <c r="C12" s="69" t="s">
        <v>169</v>
      </c>
      <c r="D12" s="21"/>
      <c r="E12" s="19"/>
      <c r="F12" s="20"/>
      <c r="G12" s="33"/>
    </row>
    <row r="13" spans="2:9" s="4" customFormat="1" ht="19.5" thickBot="1" x14ac:dyDescent="0.3">
      <c r="B13" s="5">
        <v>6</v>
      </c>
      <c r="C13" s="69" t="s">
        <v>182</v>
      </c>
      <c r="D13" s="21"/>
      <c r="E13" s="19"/>
      <c r="F13" s="20"/>
      <c r="G13" s="33"/>
    </row>
    <row r="14" spans="2:9" s="4" customFormat="1" ht="21.75" customHeight="1" thickBot="1" x14ac:dyDescent="0.3">
      <c r="B14" s="5">
        <v>7</v>
      </c>
      <c r="C14" s="69" t="s">
        <v>183</v>
      </c>
      <c r="D14" s="21"/>
      <c r="E14" s="19"/>
      <c r="F14" s="20"/>
      <c r="G14" s="33"/>
    </row>
    <row r="15" spans="2:9" s="4" customFormat="1" ht="19.5" thickBot="1" x14ac:dyDescent="0.3">
      <c r="B15" s="5">
        <v>8</v>
      </c>
      <c r="C15" s="66" t="s">
        <v>161</v>
      </c>
      <c r="D15" s="21"/>
      <c r="E15" s="19"/>
      <c r="F15" s="20"/>
      <c r="G15" s="33"/>
    </row>
    <row r="16" spans="2:9" s="4" customFormat="1" ht="19.5" thickBot="1" x14ac:dyDescent="0.3">
      <c r="B16" s="5">
        <v>9</v>
      </c>
      <c r="C16" s="66"/>
      <c r="D16" s="21"/>
      <c r="E16" s="19"/>
      <c r="F16" s="20"/>
      <c r="G16" s="33"/>
    </row>
    <row r="17" spans="2:7" s="4" customFormat="1" ht="21.75" thickBot="1" x14ac:dyDescent="0.3">
      <c r="B17" s="5">
        <v>10</v>
      </c>
      <c r="C17" s="90"/>
      <c r="D17" s="21"/>
      <c r="E17" s="19"/>
      <c r="F17" s="20"/>
      <c r="G17" s="33"/>
    </row>
    <row r="18" spans="2:7" ht="19.5" thickBot="1" x14ac:dyDescent="0.3">
      <c r="B18" s="151" t="s">
        <v>13</v>
      </c>
      <c r="C18" s="152"/>
      <c r="D18" s="121" t="s">
        <v>7</v>
      </c>
      <c r="E18" s="122"/>
      <c r="F18" s="123"/>
      <c r="G18" s="67" t="s">
        <v>8</v>
      </c>
    </row>
    <row r="19" spans="2:7" x14ac:dyDescent="0.25">
      <c r="B19" s="153"/>
      <c r="C19" s="142"/>
      <c r="D19" s="142"/>
      <c r="E19" s="142"/>
      <c r="F19" s="142"/>
      <c r="G19" s="145"/>
    </row>
    <row r="20" spans="2:7" x14ac:dyDescent="0.25">
      <c r="B20" s="154"/>
      <c r="C20" s="143"/>
      <c r="D20" s="143"/>
      <c r="E20" s="143"/>
      <c r="F20" s="143"/>
      <c r="G20" s="146"/>
    </row>
    <row r="21" spans="2:7" x14ac:dyDescent="0.25">
      <c r="B21" s="154"/>
      <c r="C21" s="143"/>
      <c r="D21" s="143"/>
      <c r="E21" s="143"/>
      <c r="F21" s="143"/>
      <c r="G21" s="146"/>
    </row>
    <row r="22" spans="2:7" x14ac:dyDescent="0.25">
      <c r="B22" s="154"/>
      <c r="C22" s="143"/>
      <c r="D22" s="143"/>
      <c r="E22" s="143"/>
      <c r="F22" s="143"/>
      <c r="G22" s="146"/>
    </row>
    <row r="23" spans="2:7" ht="15.75" thickBot="1" x14ac:dyDescent="0.3">
      <c r="B23" s="155"/>
      <c r="C23" s="144"/>
      <c r="D23" s="144"/>
      <c r="E23" s="144"/>
      <c r="F23" s="144"/>
      <c r="G23" s="147"/>
    </row>
    <row r="36" spans="11:11" x14ac:dyDescent="0.25">
      <c r="K36" s="55" t="s">
        <v>257</v>
      </c>
    </row>
  </sheetData>
  <sheetProtection selectLockedCells="1"/>
  <mergeCells count="8">
    <mergeCell ref="B19:C23"/>
    <mergeCell ref="D19:F23"/>
    <mergeCell ref="G19:G23"/>
    <mergeCell ref="B3:F3"/>
    <mergeCell ref="D4:F4"/>
    <mergeCell ref="E6:F6"/>
    <mergeCell ref="B18:C18"/>
    <mergeCell ref="D18:F18"/>
  </mergeCells>
  <conditionalFormatting sqref="D8:D17">
    <cfRule type="cellIs" dxfId="29" priority="3" operator="equal">
      <formula>3</formula>
    </cfRule>
    <cfRule type="cellIs" dxfId="28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18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/>
      <c r="D8" s="21"/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75" t="s">
        <v>13</v>
      </c>
      <c r="C108" s="176"/>
      <c r="D108" s="177" t="s">
        <v>7</v>
      </c>
      <c r="E108" s="178"/>
      <c r="F108" s="179"/>
      <c r="G108" s="24" t="s">
        <v>8</v>
      </c>
    </row>
    <row r="109" spans="2:7" x14ac:dyDescent="0.25">
      <c r="B109" s="159"/>
      <c r="C109" s="160"/>
      <c r="D109" s="160"/>
      <c r="E109" s="160"/>
      <c r="F109" s="160"/>
      <c r="G109" s="165"/>
    </row>
    <row r="110" spans="2:7" x14ac:dyDescent="0.25">
      <c r="B110" s="161"/>
      <c r="C110" s="162"/>
      <c r="D110" s="162"/>
      <c r="E110" s="162"/>
      <c r="F110" s="162"/>
      <c r="G110" s="166"/>
    </row>
    <row r="111" spans="2:7" x14ac:dyDescent="0.25">
      <c r="B111" s="161"/>
      <c r="C111" s="162"/>
      <c r="D111" s="162"/>
      <c r="E111" s="162"/>
      <c r="F111" s="162"/>
      <c r="G111" s="166"/>
    </row>
    <row r="112" spans="2:7" x14ac:dyDescent="0.25">
      <c r="B112" s="161"/>
      <c r="C112" s="162"/>
      <c r="D112" s="162"/>
      <c r="E112" s="162"/>
      <c r="F112" s="162"/>
      <c r="G112" s="166"/>
    </row>
    <row r="113" spans="2:7" ht="15.75" thickBot="1" x14ac:dyDescent="0.3">
      <c r="B113" s="163"/>
      <c r="C113" s="164"/>
      <c r="D113" s="164"/>
      <c r="E113" s="164"/>
      <c r="F113" s="164"/>
      <c r="G113" s="167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7" priority="3" operator="equal">
      <formula>3</formula>
    </cfRule>
    <cfRule type="cellIs" dxfId="26" priority="4" operator="equal">
      <formula>4</formula>
    </cfRule>
  </conditionalFormatting>
  <conditionalFormatting sqref="D89">
    <cfRule type="cellIs" dxfId="25" priority="1" operator="equal">
      <formula>3</formula>
    </cfRule>
    <cfRule type="cellIs" dxfId="2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20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 t="s">
        <v>19</v>
      </c>
      <c r="D34" s="21">
        <v>10</v>
      </c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 t="s">
        <v>21</v>
      </c>
      <c r="D35" s="21">
        <v>30</v>
      </c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 t="s">
        <v>28</v>
      </c>
      <c r="D36" s="21">
        <v>30</v>
      </c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 t="s">
        <v>29</v>
      </c>
      <c r="D37" s="21">
        <v>30</v>
      </c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 t="s">
        <v>23</v>
      </c>
      <c r="D38" s="21">
        <v>30</v>
      </c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 t="s">
        <v>26</v>
      </c>
      <c r="D39" s="21">
        <v>30</v>
      </c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 t="s">
        <v>27</v>
      </c>
      <c r="D40" s="21">
        <v>25</v>
      </c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 t="s">
        <v>30</v>
      </c>
      <c r="D41" s="21">
        <v>120</v>
      </c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 t="s">
        <v>31</v>
      </c>
      <c r="D42" s="21">
        <v>60</v>
      </c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 t="s">
        <v>19</v>
      </c>
      <c r="D43" s="21">
        <v>10</v>
      </c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 t="s">
        <v>32</v>
      </c>
      <c r="D44" s="21">
        <v>30</v>
      </c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75" t="s">
        <v>13</v>
      </c>
      <c r="C108" s="176"/>
      <c r="D108" s="177" t="s">
        <v>7</v>
      </c>
      <c r="E108" s="178"/>
      <c r="F108" s="179"/>
      <c r="G108" s="24" t="s">
        <v>8</v>
      </c>
    </row>
    <row r="109" spans="2:7" x14ac:dyDescent="0.25">
      <c r="B109" s="159"/>
      <c r="C109" s="160"/>
      <c r="D109" s="160"/>
      <c r="E109" s="160"/>
      <c r="F109" s="160"/>
      <c r="G109" s="165"/>
    </row>
    <row r="110" spans="2:7" x14ac:dyDescent="0.25">
      <c r="B110" s="161"/>
      <c r="C110" s="162"/>
      <c r="D110" s="162"/>
      <c r="E110" s="162"/>
      <c r="F110" s="162"/>
      <c r="G110" s="166"/>
    </row>
    <row r="111" spans="2:7" x14ac:dyDescent="0.25">
      <c r="B111" s="161"/>
      <c r="C111" s="162"/>
      <c r="D111" s="162"/>
      <c r="E111" s="162"/>
      <c r="F111" s="162"/>
      <c r="G111" s="166"/>
    </row>
    <row r="112" spans="2:7" x14ac:dyDescent="0.25">
      <c r="B112" s="161"/>
      <c r="C112" s="162"/>
      <c r="D112" s="162"/>
      <c r="E112" s="162"/>
      <c r="F112" s="162"/>
      <c r="G112" s="166"/>
    </row>
    <row r="113" spans="2:7" ht="15.75" thickBot="1" x14ac:dyDescent="0.3">
      <c r="B113" s="163"/>
      <c r="C113" s="164"/>
      <c r="D113" s="164"/>
      <c r="E113" s="164"/>
      <c r="F113" s="164"/>
      <c r="G113" s="167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33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75" t="s">
        <v>13</v>
      </c>
      <c r="C108" s="176"/>
      <c r="D108" s="177" t="s">
        <v>7</v>
      </c>
      <c r="E108" s="178"/>
      <c r="F108" s="179"/>
      <c r="G108" s="24" t="s">
        <v>8</v>
      </c>
    </row>
    <row r="109" spans="2:7" x14ac:dyDescent="0.25">
      <c r="B109" s="159"/>
      <c r="C109" s="160"/>
      <c r="D109" s="160"/>
      <c r="E109" s="160"/>
      <c r="F109" s="160"/>
      <c r="G109" s="165"/>
    </row>
    <row r="110" spans="2:7" x14ac:dyDescent="0.25">
      <c r="B110" s="161"/>
      <c r="C110" s="162"/>
      <c r="D110" s="162"/>
      <c r="E110" s="162"/>
      <c r="F110" s="162"/>
      <c r="G110" s="166"/>
    </row>
    <row r="111" spans="2:7" x14ac:dyDescent="0.25">
      <c r="B111" s="161"/>
      <c r="C111" s="162"/>
      <c r="D111" s="162"/>
      <c r="E111" s="162"/>
      <c r="F111" s="162"/>
      <c r="G111" s="166"/>
    </row>
    <row r="112" spans="2:7" x14ac:dyDescent="0.25">
      <c r="B112" s="161"/>
      <c r="C112" s="162"/>
      <c r="D112" s="162"/>
      <c r="E112" s="162"/>
      <c r="F112" s="162"/>
      <c r="G112" s="166"/>
    </row>
    <row r="113" spans="2:7" ht="15.75" thickBot="1" x14ac:dyDescent="0.3">
      <c r="B113" s="163"/>
      <c r="C113" s="164"/>
      <c r="D113" s="164"/>
      <c r="E113" s="164"/>
      <c r="F113" s="164"/>
      <c r="G113" s="167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35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 x14ac:dyDescent="0.3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 x14ac:dyDescent="0.3">
      <c r="B33" s="175" t="s">
        <v>13</v>
      </c>
      <c r="C33" s="176"/>
      <c r="D33" s="177" t="s">
        <v>7</v>
      </c>
      <c r="E33" s="178"/>
      <c r="F33" s="179"/>
      <c r="G33" s="24" t="s">
        <v>8</v>
      </c>
    </row>
    <row r="34" spans="2:7" x14ac:dyDescent="0.25">
      <c r="B34" s="159"/>
      <c r="C34" s="160"/>
      <c r="D34" s="160"/>
      <c r="E34" s="160"/>
      <c r="F34" s="160"/>
      <c r="G34" s="165"/>
    </row>
    <row r="35" spans="2:7" x14ac:dyDescent="0.25">
      <c r="B35" s="161"/>
      <c r="C35" s="162"/>
      <c r="D35" s="162"/>
      <c r="E35" s="162"/>
      <c r="F35" s="162"/>
      <c r="G35" s="166"/>
    </row>
    <row r="36" spans="2:7" x14ac:dyDescent="0.25">
      <c r="B36" s="161"/>
      <c r="C36" s="162"/>
      <c r="D36" s="162"/>
      <c r="E36" s="162"/>
      <c r="F36" s="162"/>
      <c r="G36" s="166"/>
    </row>
    <row r="37" spans="2:7" x14ac:dyDescent="0.25">
      <c r="B37" s="161"/>
      <c r="C37" s="162"/>
      <c r="D37" s="162"/>
      <c r="E37" s="162"/>
      <c r="F37" s="162"/>
      <c r="G37" s="166"/>
    </row>
    <row r="38" spans="2:7" ht="15.75" thickBot="1" x14ac:dyDescent="0.3">
      <c r="B38" s="163"/>
      <c r="C38" s="164"/>
      <c r="D38" s="164"/>
      <c r="E38" s="164"/>
      <c r="F38" s="164"/>
      <c r="G38" s="167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5" priority="3" operator="equal">
      <formula>3</formula>
    </cfRule>
    <cfRule type="cellIs" dxfId="14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34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75" t="s">
        <v>13</v>
      </c>
      <c r="C38" s="176"/>
      <c r="D38" s="177" t="s">
        <v>7</v>
      </c>
      <c r="E38" s="178"/>
      <c r="F38" s="179"/>
      <c r="G38" s="24" t="s">
        <v>8</v>
      </c>
    </row>
    <row r="39" spans="2:7" x14ac:dyDescent="0.25">
      <c r="B39" s="159"/>
      <c r="C39" s="160"/>
      <c r="D39" s="160"/>
      <c r="E39" s="160"/>
      <c r="F39" s="160"/>
      <c r="G39" s="165"/>
    </row>
    <row r="40" spans="2:7" x14ac:dyDescent="0.25">
      <c r="B40" s="161"/>
      <c r="C40" s="162"/>
      <c r="D40" s="162"/>
      <c r="E40" s="162"/>
      <c r="F40" s="162"/>
      <c r="G40" s="166"/>
    </row>
    <row r="41" spans="2:7" x14ac:dyDescent="0.25">
      <c r="B41" s="161"/>
      <c r="C41" s="162"/>
      <c r="D41" s="162"/>
      <c r="E41" s="162"/>
      <c r="F41" s="162"/>
      <c r="G41" s="166"/>
    </row>
    <row r="42" spans="2:7" x14ac:dyDescent="0.25">
      <c r="B42" s="161"/>
      <c r="C42" s="162"/>
      <c r="D42" s="162"/>
      <c r="E42" s="162"/>
      <c r="F42" s="162"/>
      <c r="G42" s="166"/>
    </row>
    <row r="43" spans="2:7" ht="15.75" thickBot="1" x14ac:dyDescent="0.3">
      <c r="B43" s="163"/>
      <c r="C43" s="164"/>
      <c r="D43" s="164"/>
      <c r="E43" s="164"/>
      <c r="F43" s="164"/>
      <c r="G43" s="1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36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75" t="s">
        <v>13</v>
      </c>
      <c r="C38" s="176"/>
      <c r="D38" s="177" t="s">
        <v>7</v>
      </c>
      <c r="E38" s="178"/>
      <c r="F38" s="179"/>
      <c r="G38" s="24" t="s">
        <v>8</v>
      </c>
    </row>
    <row r="39" spans="2:7" x14ac:dyDescent="0.25">
      <c r="B39" s="159"/>
      <c r="C39" s="160"/>
      <c r="D39" s="160"/>
      <c r="E39" s="160"/>
      <c r="F39" s="160"/>
      <c r="G39" s="165"/>
    </row>
    <row r="40" spans="2:7" x14ac:dyDescent="0.25">
      <c r="B40" s="161"/>
      <c r="C40" s="162"/>
      <c r="D40" s="162"/>
      <c r="E40" s="162"/>
      <c r="F40" s="162"/>
      <c r="G40" s="166"/>
    </row>
    <row r="41" spans="2:7" x14ac:dyDescent="0.25">
      <c r="B41" s="161"/>
      <c r="C41" s="162"/>
      <c r="D41" s="162"/>
      <c r="E41" s="162"/>
      <c r="F41" s="162"/>
      <c r="G41" s="166"/>
    </row>
    <row r="42" spans="2:7" x14ac:dyDescent="0.25">
      <c r="B42" s="161"/>
      <c r="C42" s="162"/>
      <c r="D42" s="162"/>
      <c r="E42" s="162"/>
      <c r="F42" s="162"/>
      <c r="G42" s="166"/>
    </row>
    <row r="43" spans="2:7" ht="15.75" thickBot="1" x14ac:dyDescent="0.3">
      <c r="B43" s="163"/>
      <c r="C43" s="164"/>
      <c r="D43" s="164"/>
      <c r="E43" s="164"/>
      <c r="F43" s="164"/>
      <c r="G43" s="1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37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75" t="s">
        <v>13</v>
      </c>
      <c r="C38" s="176"/>
      <c r="D38" s="177" t="s">
        <v>7</v>
      </c>
      <c r="E38" s="178"/>
      <c r="F38" s="179"/>
      <c r="G38" s="24" t="s">
        <v>8</v>
      </c>
    </row>
    <row r="39" spans="2:7" x14ac:dyDescent="0.25">
      <c r="B39" s="159"/>
      <c r="C39" s="160"/>
      <c r="D39" s="160"/>
      <c r="E39" s="160"/>
      <c r="F39" s="160"/>
      <c r="G39" s="165"/>
    </row>
    <row r="40" spans="2:7" x14ac:dyDescent="0.25">
      <c r="B40" s="161"/>
      <c r="C40" s="162"/>
      <c r="D40" s="162"/>
      <c r="E40" s="162"/>
      <c r="F40" s="162"/>
      <c r="G40" s="166"/>
    </row>
    <row r="41" spans="2:7" x14ac:dyDescent="0.25">
      <c r="B41" s="161"/>
      <c r="C41" s="162"/>
      <c r="D41" s="162"/>
      <c r="E41" s="162"/>
      <c r="F41" s="162"/>
      <c r="G41" s="166"/>
    </row>
    <row r="42" spans="2:7" x14ac:dyDescent="0.25">
      <c r="B42" s="161"/>
      <c r="C42" s="162"/>
      <c r="D42" s="162"/>
      <c r="E42" s="162"/>
      <c r="F42" s="162"/>
      <c r="G42" s="166"/>
    </row>
    <row r="43" spans="2:7" ht="15.75" thickBot="1" x14ac:dyDescent="0.3">
      <c r="B43" s="163"/>
      <c r="C43" s="164"/>
      <c r="D43" s="164"/>
      <c r="E43" s="164"/>
      <c r="F43" s="164"/>
      <c r="G43" s="1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38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75" t="s">
        <v>13</v>
      </c>
      <c r="C38" s="176"/>
      <c r="D38" s="177" t="s">
        <v>7</v>
      </c>
      <c r="E38" s="178"/>
      <c r="F38" s="179"/>
      <c r="G38" s="24" t="s">
        <v>8</v>
      </c>
    </row>
    <row r="39" spans="2:7" x14ac:dyDescent="0.25">
      <c r="B39" s="159"/>
      <c r="C39" s="160"/>
      <c r="D39" s="160"/>
      <c r="E39" s="160"/>
      <c r="F39" s="160"/>
      <c r="G39" s="165"/>
    </row>
    <row r="40" spans="2:7" x14ac:dyDescent="0.25">
      <c r="B40" s="161"/>
      <c r="C40" s="162"/>
      <c r="D40" s="162"/>
      <c r="E40" s="162"/>
      <c r="F40" s="162"/>
      <c r="G40" s="166"/>
    </row>
    <row r="41" spans="2:7" x14ac:dyDescent="0.25">
      <c r="B41" s="161"/>
      <c r="C41" s="162"/>
      <c r="D41" s="162"/>
      <c r="E41" s="162"/>
      <c r="F41" s="162"/>
      <c r="G41" s="166"/>
    </row>
    <row r="42" spans="2:7" x14ac:dyDescent="0.25">
      <c r="B42" s="161"/>
      <c r="C42" s="162"/>
      <c r="D42" s="162"/>
      <c r="E42" s="162"/>
      <c r="F42" s="162"/>
      <c r="G42" s="166"/>
    </row>
    <row r="43" spans="2:7" ht="15.75" thickBot="1" x14ac:dyDescent="0.3">
      <c r="B43" s="163"/>
      <c r="C43" s="164"/>
      <c r="D43" s="164"/>
      <c r="E43" s="164"/>
      <c r="F43" s="164"/>
      <c r="G43" s="1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68" t="s">
        <v>11</v>
      </c>
      <c r="C3" s="169"/>
      <c r="D3" s="169"/>
      <c r="E3" s="169"/>
      <c r="F3" s="170"/>
      <c r="G3" s="31" t="s">
        <v>12</v>
      </c>
    </row>
    <row r="4" spans="2:7" ht="24" thickBot="1" x14ac:dyDescent="0.3">
      <c r="B4" s="14"/>
      <c r="C4" s="15" t="s">
        <v>39</v>
      </c>
      <c r="D4" s="171" t="str">
        <f>+'Line &amp; frequency'!C1</f>
        <v>CHAINE 4</v>
      </c>
      <c r="E4" s="172"/>
      <c r="F4" s="172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73" t="s">
        <v>0</v>
      </c>
      <c r="F6" s="174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21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28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29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23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27</v>
      </c>
      <c r="D22" s="21">
        <v>25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30</v>
      </c>
      <c r="D23" s="21">
        <v>120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31</v>
      </c>
      <c r="D24" s="21">
        <v>60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75" t="s">
        <v>13</v>
      </c>
      <c r="C38" s="176"/>
      <c r="D38" s="177" t="s">
        <v>7</v>
      </c>
      <c r="E38" s="178"/>
      <c r="F38" s="179"/>
      <c r="G38" s="24" t="s">
        <v>8</v>
      </c>
    </row>
    <row r="39" spans="2:7" x14ac:dyDescent="0.25">
      <c r="B39" s="159"/>
      <c r="C39" s="160"/>
      <c r="D39" s="160"/>
      <c r="E39" s="160"/>
      <c r="F39" s="160"/>
      <c r="G39" s="165"/>
    </row>
    <row r="40" spans="2:7" x14ac:dyDescent="0.25">
      <c r="B40" s="161"/>
      <c r="C40" s="162"/>
      <c r="D40" s="162"/>
      <c r="E40" s="162"/>
      <c r="F40" s="162"/>
      <c r="G40" s="166"/>
    </row>
    <row r="41" spans="2:7" x14ac:dyDescent="0.25">
      <c r="B41" s="161"/>
      <c r="C41" s="162"/>
      <c r="D41" s="162"/>
      <c r="E41" s="162"/>
      <c r="F41" s="162"/>
      <c r="G41" s="166"/>
    </row>
    <row r="42" spans="2:7" x14ac:dyDescent="0.25">
      <c r="B42" s="161"/>
      <c r="C42" s="162"/>
      <c r="D42" s="162"/>
      <c r="E42" s="162"/>
      <c r="F42" s="162"/>
      <c r="G42" s="166"/>
    </row>
    <row r="43" spans="2:7" ht="15.75" thickBot="1" x14ac:dyDescent="0.3">
      <c r="B43" s="163"/>
      <c r="C43" s="164"/>
      <c r="D43" s="164"/>
      <c r="E43" s="164"/>
      <c r="F43" s="164"/>
      <c r="G43" s="167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 x14ac:dyDescent="0.25"/>
  <cols>
    <col min="3" max="3" width="15.42578125" bestFit="1" customWidth="1"/>
    <col min="7" max="7" width="46.28515625" bestFit="1" customWidth="1"/>
  </cols>
  <sheetData>
    <row r="1" spans="2:7" x14ac:dyDescent="0.25">
      <c r="B1" t="s">
        <v>9</v>
      </c>
      <c r="C1" s="13" t="s">
        <v>14</v>
      </c>
    </row>
    <row r="2" spans="2:7" x14ac:dyDescent="0.25">
      <c r="B2" t="s">
        <v>10</v>
      </c>
      <c r="C2" s="13" t="s">
        <v>15</v>
      </c>
    </row>
    <row r="3" spans="2:7" ht="26.25" x14ac:dyDescent="0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6"/>
  <sheetViews>
    <sheetView view="pageBreakPreview" topLeftCell="B4" zoomScale="85" zoomScaleNormal="80" zoomScaleSheetLayoutView="85" workbookViewId="0">
      <selection activeCell="C24" sqref="C24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23.7109375" style="55" customWidth="1"/>
    <col min="7" max="7" width="72.140625" style="55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5.25" customHeight="1" x14ac:dyDescent="0.25"/>
    <row r="2" spans="2:7" ht="0.75" customHeight="1" x14ac:dyDescent="0.25"/>
    <row r="3" spans="2:7" ht="47.25" customHeight="1" x14ac:dyDescent="0.25">
      <c r="B3" s="156" t="s">
        <v>11</v>
      </c>
      <c r="C3" s="156"/>
      <c r="D3" s="156"/>
      <c r="E3" s="156"/>
      <c r="F3" s="180"/>
      <c r="G3" s="72" t="s">
        <v>187</v>
      </c>
    </row>
    <row r="4" spans="2:7" ht="23.25" x14ac:dyDescent="0.25">
      <c r="B4" s="48"/>
      <c r="C4" s="73" t="s">
        <v>140</v>
      </c>
      <c r="D4" s="157" t="s">
        <v>40</v>
      </c>
      <c r="E4" s="157"/>
      <c r="F4" s="181"/>
      <c r="G4" s="84" t="str">
        <f>+'Line &amp; frequency'!C2</f>
        <v>HEBDOMADAIRE</v>
      </c>
    </row>
    <row r="5" spans="2:7" ht="18.75" x14ac:dyDescent="0.25">
      <c r="B5" s="75"/>
      <c r="C5" s="75"/>
      <c r="D5" s="75"/>
      <c r="E5" s="158" t="s">
        <v>0</v>
      </c>
      <c r="F5" s="158"/>
      <c r="G5" s="75"/>
    </row>
    <row r="6" spans="2:7" s="4" customFormat="1" ht="15.75" x14ac:dyDescent="0.25">
      <c r="B6" s="85" t="s">
        <v>1</v>
      </c>
      <c r="C6" s="85" t="s">
        <v>2</v>
      </c>
      <c r="D6" s="85" t="s">
        <v>3</v>
      </c>
      <c r="E6" s="86" t="s">
        <v>4</v>
      </c>
      <c r="F6" s="86" t="s">
        <v>5</v>
      </c>
      <c r="G6" s="87" t="s">
        <v>6</v>
      </c>
    </row>
    <row r="7" spans="2:7" s="4" customFormat="1" ht="21" customHeight="1" x14ac:dyDescent="0.25">
      <c r="B7" s="49">
        <v>1</v>
      </c>
      <c r="C7" s="65" t="s">
        <v>154</v>
      </c>
      <c r="D7" s="50"/>
      <c r="E7" s="51"/>
      <c r="F7" s="52"/>
      <c r="G7" s="53"/>
    </row>
    <row r="8" spans="2:7" s="4" customFormat="1" ht="21" customHeight="1" x14ac:dyDescent="0.25">
      <c r="B8" s="54">
        <v>2</v>
      </c>
      <c r="C8" s="65" t="s">
        <v>203</v>
      </c>
      <c r="D8" s="50"/>
      <c r="E8" s="51"/>
      <c r="F8" s="52"/>
      <c r="G8" s="53"/>
    </row>
    <row r="9" spans="2:7" s="4" customFormat="1" ht="24.75" customHeight="1" x14ac:dyDescent="0.25">
      <c r="B9" s="98">
        <v>3</v>
      </c>
      <c r="C9" s="69" t="s">
        <v>204</v>
      </c>
      <c r="D9" s="50"/>
      <c r="E9" s="51"/>
      <c r="F9" s="52"/>
      <c r="G9" s="53" t="s">
        <v>202</v>
      </c>
    </row>
    <row r="10" spans="2:7" s="4" customFormat="1" ht="19.5" customHeight="1" x14ac:dyDescent="0.25">
      <c r="B10" s="54">
        <v>4</v>
      </c>
      <c r="C10" s="69" t="s">
        <v>157</v>
      </c>
      <c r="D10" s="50"/>
      <c r="E10" s="51"/>
      <c r="F10" s="52"/>
      <c r="G10" s="53"/>
    </row>
    <row r="11" spans="2:7" s="4" customFormat="1" ht="18.75" x14ac:dyDescent="0.25">
      <c r="B11" s="98">
        <v>5</v>
      </c>
      <c r="C11" s="69"/>
      <c r="D11" s="50"/>
      <c r="E11" s="51"/>
      <c r="F11" s="52"/>
      <c r="G11" s="53"/>
    </row>
    <row r="12" spans="2:7" s="4" customFormat="1" ht="15.75" customHeight="1" x14ac:dyDescent="0.25">
      <c r="B12" s="54">
        <v>6</v>
      </c>
      <c r="C12" s="91"/>
      <c r="D12" s="50"/>
      <c r="E12" s="51"/>
      <c r="F12" s="52"/>
      <c r="G12" s="53"/>
    </row>
    <row r="13" spans="2:7" s="4" customFormat="1" ht="18.75" customHeight="1" x14ac:dyDescent="0.25">
      <c r="B13" s="98">
        <v>7</v>
      </c>
      <c r="C13" s="91"/>
      <c r="D13" s="50"/>
      <c r="E13" s="51"/>
      <c r="F13" s="52"/>
      <c r="G13" s="53"/>
    </row>
    <row r="14" spans="2:7" ht="30.75" customHeight="1" x14ac:dyDescent="0.25">
      <c r="B14" s="182" t="s">
        <v>13</v>
      </c>
      <c r="C14" s="182"/>
      <c r="D14" s="183" t="s">
        <v>7</v>
      </c>
      <c r="E14" s="183"/>
      <c r="F14" s="183"/>
      <c r="G14" s="92" t="s">
        <v>8</v>
      </c>
    </row>
    <row r="15" spans="2:7" x14ac:dyDescent="0.25">
      <c r="B15" s="143"/>
      <c r="C15" s="143"/>
      <c r="D15" s="143"/>
      <c r="E15" s="143"/>
      <c r="F15" s="143"/>
      <c r="G15" s="143"/>
    </row>
    <row r="16" spans="2:7" x14ac:dyDescent="0.25">
      <c r="B16" s="143"/>
      <c r="C16" s="143"/>
      <c r="D16" s="143"/>
      <c r="E16" s="143"/>
      <c r="F16" s="143"/>
      <c r="G16" s="143"/>
    </row>
    <row r="17" spans="2:7" x14ac:dyDescent="0.25">
      <c r="B17" s="143"/>
      <c r="C17" s="143"/>
      <c r="D17" s="143"/>
      <c r="E17" s="143"/>
      <c r="F17" s="143"/>
      <c r="G17" s="143"/>
    </row>
    <row r="18" spans="2:7" x14ac:dyDescent="0.25">
      <c r="B18" s="143"/>
      <c r="C18" s="143"/>
      <c r="D18" s="143"/>
      <c r="E18" s="143"/>
      <c r="F18" s="143"/>
      <c r="G18" s="143"/>
    </row>
    <row r="19" spans="2:7" ht="22.5" customHeight="1" x14ac:dyDescent="0.25">
      <c r="B19" s="143"/>
      <c r="C19" s="143"/>
      <c r="D19" s="143"/>
      <c r="E19" s="143"/>
      <c r="F19" s="143"/>
      <c r="G19" s="143"/>
    </row>
    <row r="36" spans="11:11" x14ac:dyDescent="0.25">
      <c r="K36" s="55" t="s">
        <v>257</v>
      </c>
    </row>
  </sheetData>
  <mergeCells count="8">
    <mergeCell ref="G15:G19"/>
    <mergeCell ref="B3:F3"/>
    <mergeCell ref="D4:F4"/>
    <mergeCell ref="E5:F5"/>
    <mergeCell ref="B14:C14"/>
    <mergeCell ref="D14:F14"/>
    <mergeCell ref="B15:C19"/>
    <mergeCell ref="D15:F19"/>
  </mergeCells>
  <conditionalFormatting sqref="D7:D13">
    <cfRule type="cellIs" dxfId="3" priority="1" operator="equal">
      <formula>3</formula>
    </cfRule>
    <cfRule type="cellIs" dxfId="2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54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6"/>
  <sheetViews>
    <sheetView view="pageLayout" topLeftCell="A4" zoomScaleNormal="80" zoomScaleSheetLayoutView="85" workbookViewId="0">
      <selection activeCell="C21" sqref="B16:C21"/>
    </sheetView>
  </sheetViews>
  <sheetFormatPr baseColWidth="10" defaultColWidth="11.42578125" defaultRowHeight="15" x14ac:dyDescent="0.25"/>
  <cols>
    <col min="1" max="1" width="0.28515625" style="55" customWidth="1"/>
    <col min="2" max="2" width="5.7109375" style="55" customWidth="1"/>
    <col min="3" max="3" width="88.28515625" style="55" customWidth="1"/>
    <col min="4" max="4" width="9.7109375" style="55" bestFit="1" customWidth="1"/>
    <col min="5" max="5" width="8.42578125" style="55" customWidth="1"/>
    <col min="6" max="6" width="10.5703125" style="55" customWidth="1"/>
    <col min="7" max="7" width="46.85546875" style="55" customWidth="1"/>
    <col min="8" max="8" width="6.5703125" style="55" customWidth="1"/>
    <col min="9" max="9" width="7.85546875" style="55" customWidth="1"/>
    <col min="10" max="11" width="8.140625" style="55" customWidth="1"/>
    <col min="12" max="13" width="11.42578125" style="55" customWidth="1"/>
    <col min="14" max="14" width="8.85546875" style="55" customWidth="1"/>
    <col min="15" max="17" width="11.42578125" style="55" customWidth="1"/>
    <col min="18" max="18" width="2.140625" style="55" customWidth="1"/>
    <col min="19" max="16384" width="11.42578125" style="55"/>
  </cols>
  <sheetData>
    <row r="1" spans="2:7" ht="5.25" customHeight="1" x14ac:dyDescent="0.25"/>
    <row r="2" spans="2:7" ht="0.75" customHeight="1" x14ac:dyDescent="0.25"/>
    <row r="3" spans="2:7" ht="47.25" customHeight="1" x14ac:dyDescent="0.25">
      <c r="B3" s="156" t="s">
        <v>11</v>
      </c>
      <c r="C3" s="156"/>
      <c r="D3" s="156"/>
      <c r="E3" s="156"/>
      <c r="F3" s="180"/>
      <c r="G3" s="72" t="s">
        <v>187</v>
      </c>
    </row>
    <row r="4" spans="2:7" ht="23.25" x14ac:dyDescent="0.25">
      <c r="B4" s="48"/>
      <c r="C4" s="73" t="s">
        <v>218</v>
      </c>
      <c r="D4" s="157" t="s">
        <v>40</v>
      </c>
      <c r="E4" s="157"/>
      <c r="F4" s="181"/>
      <c r="G4" s="94" t="str">
        <f>+'Line &amp; frequency'!C2</f>
        <v>HEBDOMADAIRE</v>
      </c>
    </row>
    <row r="5" spans="2:7" ht="18.75" x14ac:dyDescent="0.25">
      <c r="B5" s="75"/>
      <c r="C5" s="75"/>
      <c r="D5" s="75"/>
      <c r="E5" s="158" t="s">
        <v>0</v>
      </c>
      <c r="F5" s="158"/>
      <c r="G5" s="75"/>
    </row>
    <row r="6" spans="2:7" s="4" customFormat="1" ht="15.75" x14ac:dyDescent="0.25">
      <c r="B6" s="85" t="s">
        <v>1</v>
      </c>
      <c r="C6" s="85" t="s">
        <v>2</v>
      </c>
      <c r="D6" s="85" t="s">
        <v>3</v>
      </c>
      <c r="E6" s="86" t="s">
        <v>4</v>
      </c>
      <c r="F6" s="86" t="s">
        <v>5</v>
      </c>
      <c r="G6" s="87" t="s">
        <v>6</v>
      </c>
    </row>
    <row r="7" spans="2:7" s="4" customFormat="1" ht="18.75" x14ac:dyDescent="0.25">
      <c r="B7" s="95">
        <v>1</v>
      </c>
      <c r="C7" s="97" t="s">
        <v>219</v>
      </c>
      <c r="D7" s="50" t="s">
        <v>261</v>
      </c>
      <c r="E7" s="51"/>
      <c r="F7" s="52"/>
      <c r="G7" s="53"/>
    </row>
    <row r="8" spans="2:7" s="4" customFormat="1" ht="18.75" x14ac:dyDescent="0.25">
      <c r="B8" s="54">
        <f>B7+1</f>
        <v>2</v>
      </c>
      <c r="C8" s="97" t="s">
        <v>220</v>
      </c>
      <c r="D8" s="50" t="s">
        <v>260</v>
      </c>
      <c r="E8" s="51"/>
      <c r="F8" s="52"/>
      <c r="G8" s="53"/>
    </row>
    <row r="9" spans="2:7" s="4" customFormat="1" ht="18.75" x14ac:dyDescent="0.25">
      <c r="B9" s="54">
        <f t="shared" ref="B9:B14" si="0">B8+1</f>
        <v>3</v>
      </c>
      <c r="C9" s="97" t="s">
        <v>221</v>
      </c>
      <c r="D9" s="50" t="s">
        <v>261</v>
      </c>
      <c r="E9" s="51"/>
      <c r="F9" s="52"/>
      <c r="G9" s="53"/>
    </row>
    <row r="10" spans="2:7" s="4" customFormat="1" ht="18.75" x14ac:dyDescent="0.25">
      <c r="B10" s="54">
        <f t="shared" si="0"/>
        <v>4</v>
      </c>
      <c r="C10" s="97" t="s">
        <v>223</v>
      </c>
      <c r="D10" s="50" t="s">
        <v>261</v>
      </c>
      <c r="E10" s="51"/>
      <c r="F10" s="52"/>
      <c r="G10" s="53"/>
    </row>
    <row r="11" spans="2:7" s="4" customFormat="1" ht="18.75" x14ac:dyDescent="0.25">
      <c r="B11" s="54">
        <f t="shared" si="0"/>
        <v>5</v>
      </c>
      <c r="C11" s="97" t="s">
        <v>222</v>
      </c>
      <c r="D11" s="50" t="s">
        <v>263</v>
      </c>
      <c r="E11" s="51"/>
      <c r="F11" s="52"/>
      <c r="G11" s="53"/>
    </row>
    <row r="12" spans="2:7" s="4" customFormat="1" ht="18.75" x14ac:dyDescent="0.25">
      <c r="B12" s="54">
        <f t="shared" si="0"/>
        <v>6</v>
      </c>
      <c r="C12" s="97" t="s">
        <v>224</v>
      </c>
      <c r="D12" s="50" t="s">
        <v>263</v>
      </c>
      <c r="E12" s="51"/>
      <c r="F12" s="52"/>
      <c r="G12" s="53"/>
    </row>
    <row r="13" spans="2:7" s="4" customFormat="1" ht="18.75" x14ac:dyDescent="0.25">
      <c r="B13" s="54">
        <f t="shared" si="0"/>
        <v>7</v>
      </c>
      <c r="C13" s="91"/>
      <c r="D13" s="50"/>
      <c r="E13" s="51"/>
      <c r="F13" s="52"/>
      <c r="G13" s="53"/>
    </row>
    <row r="14" spans="2:7" s="4" customFormat="1" ht="18.75" x14ac:dyDescent="0.25">
      <c r="B14" s="54">
        <f t="shared" si="0"/>
        <v>8</v>
      </c>
      <c r="C14" s="91"/>
      <c r="D14" s="50"/>
      <c r="E14" s="51"/>
      <c r="F14" s="52"/>
      <c r="G14" s="53"/>
    </row>
    <row r="15" spans="2:7" ht="18.75" x14ac:dyDescent="0.25">
      <c r="B15" s="182" t="s">
        <v>13</v>
      </c>
      <c r="C15" s="182"/>
      <c r="D15" s="183" t="s">
        <v>7</v>
      </c>
      <c r="E15" s="183"/>
      <c r="F15" s="183"/>
      <c r="G15" s="96" t="s">
        <v>8</v>
      </c>
    </row>
    <row r="16" spans="2:7" x14ac:dyDescent="0.25">
      <c r="B16" s="143"/>
      <c r="C16" s="143"/>
      <c r="D16" s="143"/>
      <c r="E16" s="143"/>
      <c r="F16" s="143"/>
      <c r="G16" s="143"/>
    </row>
    <row r="17" spans="2:7" x14ac:dyDescent="0.25">
      <c r="B17" s="143"/>
      <c r="C17" s="143"/>
      <c r="D17" s="143"/>
      <c r="E17" s="143"/>
      <c r="F17" s="143"/>
      <c r="G17" s="143"/>
    </row>
    <row r="18" spans="2:7" x14ac:dyDescent="0.25">
      <c r="B18" s="143"/>
      <c r="C18" s="143"/>
      <c r="D18" s="143"/>
      <c r="E18" s="143"/>
      <c r="F18" s="143"/>
      <c r="G18" s="143"/>
    </row>
    <row r="19" spans="2:7" x14ac:dyDescent="0.25">
      <c r="B19" s="143"/>
      <c r="C19" s="143"/>
      <c r="D19" s="143"/>
      <c r="E19" s="143"/>
      <c r="F19" s="143"/>
      <c r="G19" s="143"/>
    </row>
    <row r="20" spans="2:7" x14ac:dyDescent="0.25">
      <c r="B20" s="143"/>
      <c r="C20" s="143"/>
      <c r="D20" s="143"/>
      <c r="E20" s="143"/>
      <c r="F20" s="143"/>
      <c r="G20" s="143"/>
    </row>
    <row r="36" spans="11:11" x14ac:dyDescent="0.25">
      <c r="K36" s="55" t="s">
        <v>257</v>
      </c>
    </row>
  </sheetData>
  <mergeCells count="8">
    <mergeCell ref="G16:G20"/>
    <mergeCell ref="B3:F3"/>
    <mergeCell ref="D4:F4"/>
    <mergeCell ref="E5:F5"/>
    <mergeCell ref="B15:C15"/>
    <mergeCell ref="D15:F15"/>
    <mergeCell ref="B16:C20"/>
    <mergeCell ref="D16:F20"/>
  </mergeCells>
  <conditionalFormatting sqref="D7:D14">
    <cfRule type="cellIs" dxfId="1" priority="1" operator="equal">
      <formula>3</formula>
    </cfRule>
    <cfRule type="cellIs" dxfId="0" priority="2" operator="equal">
      <formula>4</formula>
    </cfRule>
  </conditionalFormatting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16</vt:i4>
      </vt:variant>
    </vt:vector>
  </HeadingPairs>
  <TitlesOfParts>
    <vt:vector size="38" baseType="lpstr">
      <vt:lpstr>AF Ccompressor</vt:lpstr>
      <vt:lpstr>Blomax</vt:lpstr>
      <vt:lpstr>Soutireuse  </vt:lpstr>
      <vt:lpstr>Gassnerr</vt:lpstr>
      <vt:lpstr>Paramix</vt:lpstr>
      <vt:lpstr>CIP</vt:lpstr>
      <vt:lpstr>Etiqueteuse</vt:lpstr>
      <vt:lpstr>Kisters</vt:lpstr>
      <vt:lpstr>Handle applicator</vt:lpstr>
      <vt:lpstr>Convoyeurs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Cooling towers</vt:lpstr>
      <vt:lpstr>Blower</vt:lpstr>
      <vt:lpstr>'AF Ccompressor'!Zone_d_impression</vt:lpstr>
      <vt:lpstr>Blomax!Zone_d_impression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Convoyeurs!Zone_d_impression</vt:lpstr>
      <vt:lpstr>'Cvyr Btles'!Zone_d_impression</vt:lpstr>
      <vt:lpstr>Etiqueteuse!Zone_d_impression</vt:lpstr>
      <vt:lpstr>Gassnerr!Zone_d_impression</vt:lpstr>
      <vt:lpstr>'Handle applicator'!Zone_d_impression</vt:lpstr>
      <vt:lpstr>Kisters!Zone_d_impression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2024-08-29T12:41:42Z</cp:lastPrinted>
  <dcterms:created xsi:type="dcterms:W3CDTF">2021-01-06T16:50:41Z</dcterms:created>
  <dcterms:modified xsi:type="dcterms:W3CDTF">2025-01-28T09:03:32Z</dcterms:modified>
</cp:coreProperties>
</file>