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ureau New line\PACKAGING MAINTENANCE\Line 6 Maintenance Cycle\Maintenace\Check List\Méca\Semestrielle\"/>
    </mc:Choice>
  </mc:AlternateContent>
  <bookViews>
    <workbookView xWindow="0" yWindow="0" windowWidth="11490" windowHeight="4035" tabRatio="949" activeTab="2"/>
  </bookViews>
  <sheets>
    <sheet name="Compresseur à air," sheetId="32" r:id="rId1"/>
    <sheet name="Blomax" sheetId="1" r:id="rId2"/>
    <sheet name="Paramix" sheetId="29" r:id="rId3"/>
    <sheet name="CIP " sheetId="30" r:id="rId4"/>
    <sheet name="Kisters " sheetId="9" r:id="rId5"/>
    <sheet name="Handle applicator" sheetId="10" r:id="rId6"/>
    <sheet name="Cvyr Btles" sheetId="12" state="hidden" r:id="rId7"/>
    <sheet name="CC C1" sheetId="13" state="hidden" r:id="rId8"/>
    <sheet name="CC C2" sheetId="15" state="hidden" r:id="rId9"/>
    <sheet name="CC C3" sheetId="16" state="hidden" r:id="rId10"/>
    <sheet name="CC C4" sheetId="17" state="hidden" r:id="rId11"/>
    <sheet name="CC C5" sheetId="18" state="hidden" r:id="rId12"/>
    <sheet name="CC C6" sheetId="19" state="hidden" r:id="rId13"/>
    <sheet name="CC C7" sheetId="20" state="hidden" r:id="rId14"/>
    <sheet name="CC C8" sheetId="21" state="hidden" r:id="rId15"/>
    <sheet name="Line &amp; frequency" sheetId="2" state="hidden" r:id="rId16"/>
  </sheets>
  <definedNames>
    <definedName name="_xlnm.Print_Area" localSheetId="1">Blomax!$B$3:$G$28</definedName>
    <definedName name="_xlnm.Print_Area" localSheetId="7">'CC C1'!$B$3:$G$63</definedName>
    <definedName name="_xlnm.Print_Area" localSheetId="8">'CC C2'!$B$3:$G$63</definedName>
    <definedName name="_xlnm.Print_Area" localSheetId="9">'CC C3'!$B$3:$G$32</definedName>
    <definedName name="_xlnm.Print_Area" localSheetId="10">'CC C4'!$B$3:$G$37</definedName>
    <definedName name="_xlnm.Print_Area" localSheetId="11">'CC C5'!$B$3:$G$37</definedName>
    <definedName name="_xlnm.Print_Area" localSheetId="12">'CC C6'!$B$3:$G$37</definedName>
    <definedName name="_xlnm.Print_Area" localSheetId="13">'CC C7'!$B$3:$G$37</definedName>
    <definedName name="_xlnm.Print_Area" localSheetId="14">'CC C8'!$B$3:$G$37</definedName>
    <definedName name="_xlnm.Print_Area" localSheetId="0">'Compresseur à air,'!$B$3:$G$24</definedName>
    <definedName name="_xlnm.Print_Area" localSheetId="6">'Cvyr Btles'!$B$3:$G$63</definedName>
    <definedName name="_xlnm.Print_Area" localSheetId="5">'Handle applicator'!$B$1:$G$25</definedName>
    <definedName name="_xlnm.Print_Area" localSheetId="4">'Kisters '!$B$3:$G$21</definedName>
  </definedNames>
  <calcPr calcId="152511"/>
</workbook>
</file>

<file path=xl/calcChain.xml><?xml version="1.0" encoding="utf-8"?>
<calcChain xmlns="http://schemas.openxmlformats.org/spreadsheetml/2006/main">
  <c r="B9" i="32" l="1"/>
  <c r="B10" i="32" s="1"/>
  <c r="B11" i="32" s="1"/>
  <c r="B12" i="32" s="1"/>
  <c r="B13" i="32" s="1"/>
  <c r="B14" i="32" s="1"/>
  <c r="B15" i="32" s="1"/>
  <c r="B16" i="32" s="1"/>
  <c r="B17" i="32" s="1"/>
  <c r="B18" i="32" s="1"/>
  <c r="B8" i="30" l="1"/>
  <c r="B9" i="30" s="1"/>
  <c r="B8" i="29" l="1"/>
  <c r="B9" i="29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10"/>
  <c r="B10" i="10" s="1"/>
  <c r="B11" i="10" s="1"/>
  <c r="B12" i="10" s="1"/>
  <c r="B14" i="10" s="1"/>
  <c r="B17" i="10" s="1"/>
  <c r="B18" i="10" s="1"/>
  <c r="B19" i="10" s="1"/>
  <c r="B9" i="9"/>
  <c r="B10" i="9" s="1"/>
  <c r="B11" i="9" s="1"/>
  <c r="B12" i="9" s="1"/>
  <c r="B13" i="9" s="1"/>
  <c r="B14" i="9" s="1"/>
  <c r="G4" i="13" l="1"/>
  <c r="D4" i="13"/>
  <c r="G4" i="12"/>
  <c r="D4" i="12"/>
</calcChain>
</file>

<file path=xl/sharedStrings.xml><?xml version="1.0" encoding="utf-8"?>
<sst xmlns="http://schemas.openxmlformats.org/spreadsheetml/2006/main" count="446" uniqueCount="84">
  <si>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</si>
  <si>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</si>
  <si>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</si>
  <si>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</si>
  <si>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</si>
  <si>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</si>
  <si>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</si>
  <si>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</si>
  <si>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</si>
  <si>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</si>
  <si>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</si>
  <si>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</si>
  <si>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</si>
  <si>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</si>
  <si>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</si>
  <si>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</si>
  <si>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</si>
  <si>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</si>
  <si>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</si>
  <si>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</si>
  <si>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</si>
  <si>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</si>
  <si>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</si>
  <si>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</si>
  <si>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</si>
  <si>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</si>
  <si>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</si>
  <si>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</si>
  <si>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</si>
  <si>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</si>
  <si>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</si>
  <si>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</si>
  <si>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</si>
  <si>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</si>
  <si>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</si>
  <si>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</si>
  <si>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</si>
  <si>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</si>
  <si>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Compresseur à air</t>
  </si>
  <si>
    <t>New PET line</t>
  </si>
  <si>
    <t>PARAMIX</t>
  </si>
  <si>
    <t>CIP</t>
  </si>
  <si>
    <t>KISTERS</t>
  </si>
  <si>
    <t>Contrôler le système de refroidissement d'eau</t>
  </si>
  <si>
    <t>Opérez le commutateur TEST au purgeur automatique</t>
  </si>
  <si>
    <t>HANDLE APPLICATOR</t>
  </si>
  <si>
    <t>Controler le niveau d'huile</t>
  </si>
  <si>
    <t>Contrôler le bon fonctionnement de l'élimination du condensat</t>
  </si>
  <si>
    <t>Nettoyer les moteurs</t>
  </si>
  <si>
    <t>Nettoyer le Air dryer</t>
  </si>
  <si>
    <t>Contrôler et/ou nettoyer le système de refroidissement du sécheur</t>
  </si>
  <si>
    <t>Controler  le filtre d'huile et nettoyer si besoin</t>
  </si>
  <si>
    <t>Tester la machine à la fin de la maintenance</t>
  </si>
  <si>
    <t>Controler l'état du filtre d'air d'alimentation sur le verre indicateur et nettoyer si besoin</t>
  </si>
  <si>
    <t>Chercher le bruit anormal et eliminer</t>
  </si>
  <si>
    <t>SEMESTRIELLE</t>
  </si>
  <si>
    <t>Nettoyer le collecteur d'impuretés et contrôler les joints</t>
  </si>
  <si>
    <t xml:space="preserve"> Remplacer le Palier en cas de jeu de roulement important</t>
  </si>
  <si>
    <t xml:space="preserve"> Remplacer le Palier en cas d'écoulement de grandes quantités de graisse</t>
  </si>
  <si>
    <t xml:space="preserve">Remplacer le Palier en cas de bruits de roulement. </t>
  </si>
  <si>
    <t>Vérifier le fonctionnement du Palier</t>
  </si>
  <si>
    <t xml:space="preserve"> Vérifier tout changement visible survenu sur les pièces des capots. </t>
  </si>
  <si>
    <t>Contrôler le bon fonctionnement des pièces mobiles des capots</t>
  </si>
  <si>
    <t>Contrôler la corroson sur les contacts et les connexions des Connecteurs</t>
  </si>
  <si>
    <t xml:space="preserve">Contrôler le fonctionnement des ventilateurs des Armoire électrique </t>
  </si>
  <si>
    <t>Remplacer les joints et les joints en U de la Buse soufflante</t>
  </si>
  <si>
    <t>Remplacer l'ensemble des joints des tiges d'étirage</t>
  </si>
  <si>
    <t>Contrôler le tapis filtrant dans le ventilateur des Voies de transport pneumatique</t>
  </si>
  <si>
    <t>Vérifier les flexibles spiralés</t>
  </si>
  <si>
    <t>Controler la Soufflerie du Filtre d'aspiration</t>
  </si>
  <si>
    <t>Remplacer les radiateurs du Caisson chauffant</t>
  </si>
  <si>
    <t>Remplacer les paliers lisses et des galets de came des Postes de transfert</t>
  </si>
  <si>
    <t>Controler les cellules des filtres d'aspiration</t>
  </si>
  <si>
    <t>Vérifier l'étanchéité de l'alimentation en air du Module de soufflage</t>
  </si>
  <si>
    <t>Vérifier l'étanchéité du bloc de soupapes sur le poste de soufflage (bloc de commande)</t>
  </si>
  <si>
    <t>Nettoyer le collecteur d'impuretés et contrôler les joints.
Au besoin, remplacer le tamis (Collecteur d'impuretés dans la conduite de vapeur)</t>
  </si>
  <si>
    <t>Remplacer les inserts de filtre stérile et de filtre à charbon actif de la Paroi pneumatique</t>
  </si>
  <si>
    <t>BLOMAX</t>
  </si>
  <si>
    <t xml:space="preserve">Date: </t>
  </si>
  <si>
    <t>Vérifier tout changement visible survenu sur les pièces mobiles des portes de protection</t>
  </si>
  <si>
    <t>Contrôler le bon fonctionnement des pièces mobiles des portes de protection</t>
  </si>
  <si>
    <t>Introduire de la graisse de lubrification à l'aide d'une presse à graisse via les graisseurs sur les Guidage latéral et unité XY</t>
  </si>
  <si>
    <t>Après avoir graissé les guidage latéraux et unité XY déplacer le guidage linéaire une fois sur toute la longueur</t>
  </si>
  <si>
    <t>Remplacer systèmatiquement toutes les lampes chauffantes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</si>
</sst>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rgb="FF000000"/>
      <name val="ArialUnicodeMS"/>
    </font>
    <font>
      <b/>
      <i/>
      <sz val="18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Arial Unicode MS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Times New Roman"/>
      <family val="1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6" fillId="0" borderId="0"/>
    <xf numFmtId="0" fontId="23" fillId="0" borderId="0"/>
  </cellStyleXfs>
  <cellXfs count="130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20" fillId="2" borderId="13" xfId="0" applyFont="1" applyFill="1" applyBorder="1" applyAlignment="1">
      <alignment horizontal="left" vertical="center" wrapText="1"/>
    </xf>
    <xf numFmtId="0" fontId="20" fillId="2" borderId="14" xfId="0" applyFont="1" applyFill="1" applyBorder="1" applyAlignment="1">
      <alignment horizontal="left" vertical="center" wrapText="1"/>
    </xf>
    <xf numFmtId="0" fontId="21" fillId="0" borderId="20" xfId="0" applyFont="1" applyBorder="1" applyAlignment="1">
      <alignment vertical="center" wrapText="1"/>
    </xf>
    <xf numFmtId="0" fontId="22" fillId="2" borderId="14" xfId="0" applyFont="1" applyFill="1" applyBorder="1" applyAlignment="1">
      <alignment horizontal="left" vertical="center" wrapText="1"/>
    </xf>
    <xf numFmtId="164" fontId="24" fillId="0" borderId="36" xfId="2" applyNumberFormat="1" applyFont="1" applyBorder="1" applyAlignment="1" applyProtection="1">
      <alignment horizontal="center" vertical="center" wrapText="1"/>
      <protection locked="0"/>
    </xf>
    <xf numFmtId="0" fontId="25" fillId="2" borderId="14" xfId="0" applyFont="1" applyFill="1" applyBorder="1" applyAlignment="1">
      <alignment horizontal="left" vertical="center" wrapText="1"/>
    </xf>
    <xf numFmtId="0" fontId="27" fillId="2" borderId="6" xfId="0" applyFont="1" applyFill="1" applyBorder="1" applyAlignment="1" applyProtection="1">
      <alignment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alignment horizontal="left"/>
      <protection locked="0"/>
    </xf>
    <xf numFmtId="0" fontId="27" fillId="2" borderId="0" xfId="0" applyFont="1" applyFill="1" applyBorder="1" applyAlignment="1" applyProtection="1">
      <alignment horizontal="center" vertic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 applyProtection="1">
      <alignment horizontal="center" vertical="center"/>
      <protection locked="0"/>
    </xf>
    <xf numFmtId="0" fontId="27" fillId="2" borderId="14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 vertical="center"/>
      <protection hidden="1"/>
    </xf>
    <xf numFmtId="0" fontId="6" fillId="2" borderId="33" xfId="0" applyFont="1" applyFill="1" applyBorder="1" applyAlignment="1" applyProtection="1">
      <alignment horizontal="left" vertical="center"/>
      <protection locked="0"/>
    </xf>
    <xf numFmtId="0" fontId="27" fillId="2" borderId="14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locked="0"/>
    </xf>
    <xf numFmtId="164" fontId="24" fillId="0" borderId="20" xfId="2" applyNumberFormat="1" applyFont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19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vertical="center" wrapText="1"/>
    </xf>
    <xf numFmtId="0" fontId="20" fillId="2" borderId="20" xfId="0" applyFont="1" applyFill="1" applyBorder="1" applyAlignment="1">
      <alignment horizontal="left" vertical="center" wrapText="1"/>
    </xf>
    <xf numFmtId="0" fontId="20" fillId="0" borderId="20" xfId="0" applyFont="1" applyBorder="1" applyAlignment="1">
      <alignment vertical="center" wrapText="1"/>
    </xf>
    <xf numFmtId="164" fontId="24" fillId="0" borderId="36" xfId="2" applyNumberFormat="1" applyFont="1" applyBorder="1" applyAlignment="1" applyProtection="1">
      <alignment horizontal="left" vertical="center" wrapText="1"/>
      <protection locked="0"/>
    </xf>
    <xf numFmtId="164" fontId="24" fillId="0" borderId="20" xfId="2" applyNumberFormat="1" applyFont="1" applyBorder="1" applyAlignment="1" applyProtection="1">
      <alignment horizontal="left" vertical="center" wrapText="1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0" fontId="6" fillId="2" borderId="19" xfId="0" applyFont="1" applyFill="1" applyBorder="1" applyAlignment="1" applyProtection="1">
      <alignment horizontal="center"/>
      <protection locked="0"/>
    </xf>
    <xf numFmtId="0" fontId="6" fillId="2" borderId="20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22" xfId="0" applyFont="1" applyFill="1" applyBorder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6" fillId="2" borderId="18" xfId="0" applyFont="1" applyFill="1" applyBorder="1" applyAlignment="1" applyProtection="1">
      <alignment horizontal="center"/>
      <protection locked="0"/>
    </xf>
    <xf numFmtId="0" fontId="6" fillId="2" borderId="23" xfId="0" applyFont="1" applyFill="1" applyBorder="1" applyAlignment="1" applyProtection="1">
      <alignment horizontal="center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26" fillId="5" borderId="2" xfId="0" applyFont="1" applyFill="1" applyBorder="1" applyAlignment="1" applyProtection="1">
      <alignment horizontal="center" vertical="center"/>
      <protection locked="0"/>
    </xf>
    <xf numFmtId="0" fontId="26" fillId="5" borderId="3" xfId="0" applyFont="1" applyFill="1" applyBorder="1" applyAlignment="1" applyProtection="1">
      <alignment horizontal="center" vertical="center"/>
      <protection locked="0"/>
    </xf>
    <xf numFmtId="0" fontId="26" fillId="5" borderId="4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 applyProtection="1">
      <alignment horizontal="center" vertical="center"/>
      <protection locked="0"/>
    </xf>
    <xf numFmtId="0" fontId="13" fillId="3" borderId="26" xfId="0" applyFont="1" applyFill="1" applyBorder="1" applyAlignment="1" applyProtection="1">
      <alignment horizontal="center" vertical="center"/>
      <protection locked="0"/>
    </xf>
    <xf numFmtId="0" fontId="13" fillId="3" borderId="2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 wrapText="1"/>
      <protection locked="0"/>
    </xf>
    <xf numFmtId="0" fontId="13" fillId="3" borderId="8" xfId="0" applyFont="1" applyFill="1" applyBorder="1" applyAlignment="1" applyProtection="1">
      <alignment horizontal="center" vertical="center" wrapText="1"/>
      <protection locked="0"/>
    </xf>
    <xf numFmtId="0" fontId="13" fillId="3" borderId="35" xfId="0" applyFont="1" applyFill="1" applyBorder="1" applyAlignment="1" applyProtection="1">
      <alignment horizontal="center" vertical="center" wrapText="1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2" xfId="2"/>
    <cellStyle name="Normal 3" xfId="1"/>
  </cellStyles>
  <dxfs count="3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21166</xdr:colOff>
      <xdr:row>3</xdr:row>
      <xdr:rowOff>31750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7"/>
          <a:ext cx="423333" cy="3506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23812</xdr:colOff>
      <xdr:row>3</xdr:row>
      <xdr:rowOff>35718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6"/>
          <a:ext cx="428625" cy="3492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4"/>
  <sheetViews>
    <sheetView view="pageBreakPreview" zoomScaleNormal="55" zoomScaleSheetLayoutView="100" zoomScalePageLayoutView="70" workbookViewId="0">
      <selection activeCell="G4" sqref="G4"/>
    </sheetView>
  </sheetViews>
  <sheetFormatPr baseColWidth="10"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52"/>
    </row>
    <row r="4" spans="2:7" ht="24" thickBot="1">
      <c r="B4" s="14"/>
      <c r="C4" s="15" t="s">
        <v>38</v>
      </c>
      <c r="D4" s="92" t="s">
        <v>39</v>
      </c>
      <c r="E4" s="93"/>
      <c r="F4" s="93"/>
      <c r="G4" s="56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8" t="s">
        <v>43</v>
      </c>
      <c r="D8" s="21"/>
      <c r="E8" s="19"/>
      <c r="F8" s="20"/>
      <c r="G8" s="33"/>
    </row>
    <row r="9" spans="2:7" s="4" customFormat="1" ht="18.75">
      <c r="B9" s="6">
        <f>B8+1</f>
        <v>2</v>
      </c>
      <c r="C9" s="49" t="s">
        <v>50</v>
      </c>
      <c r="D9" s="21"/>
      <c r="E9" s="19"/>
      <c r="F9" s="20"/>
      <c r="G9" s="33"/>
    </row>
    <row r="10" spans="2:7" s="4" customFormat="1" ht="18.75">
      <c r="B10" s="37">
        <f>+B9+1</f>
        <v>3</v>
      </c>
      <c r="C10" s="49" t="s">
        <v>51</v>
      </c>
      <c r="D10" s="21"/>
      <c r="E10" s="19"/>
      <c r="F10" s="20"/>
      <c r="G10" s="33"/>
    </row>
    <row r="11" spans="2:7" s="4" customFormat="1" ht="18.75">
      <c r="B11" s="6">
        <f t="shared" ref="B11" si="0">B10+1</f>
        <v>4</v>
      </c>
      <c r="C11" s="49" t="s">
        <v>53</v>
      </c>
      <c r="D11" s="21"/>
      <c r="E11" s="19"/>
      <c r="F11" s="20"/>
      <c r="G11" s="33"/>
    </row>
    <row r="12" spans="2:7" s="4" customFormat="1" ht="18.75">
      <c r="B12" s="37">
        <f t="shared" ref="B12" si="1">+B11+1</f>
        <v>5</v>
      </c>
      <c r="C12" s="49" t="s">
        <v>46</v>
      </c>
      <c r="D12" s="21"/>
      <c r="E12" s="19"/>
      <c r="F12" s="20"/>
      <c r="G12" s="33"/>
    </row>
    <row r="13" spans="2:7" s="4" customFormat="1" ht="18.75">
      <c r="B13" s="6">
        <f t="shared" ref="B13:B18" si="2">B12+1</f>
        <v>6</v>
      </c>
      <c r="C13" s="49" t="s">
        <v>44</v>
      </c>
      <c r="D13" s="21"/>
      <c r="E13" s="19"/>
      <c r="F13" s="20"/>
      <c r="G13" s="33"/>
    </row>
    <row r="14" spans="2:7" s="4" customFormat="1" ht="18.75">
      <c r="B14" s="6">
        <f t="shared" si="2"/>
        <v>7</v>
      </c>
      <c r="C14" s="49" t="s">
        <v>47</v>
      </c>
      <c r="D14" s="21"/>
      <c r="E14" s="19"/>
      <c r="F14" s="20"/>
      <c r="G14" s="33"/>
    </row>
    <row r="15" spans="2:7" s="4" customFormat="1" ht="18.75">
      <c r="B15" s="6">
        <f t="shared" si="2"/>
        <v>8</v>
      </c>
      <c r="C15" s="49" t="s">
        <v>49</v>
      </c>
      <c r="D15" s="21"/>
      <c r="E15" s="19"/>
      <c r="F15" s="20"/>
      <c r="G15" s="33"/>
    </row>
    <row r="16" spans="2:7" s="4" customFormat="1" ht="18.75">
      <c r="B16" s="6">
        <f t="shared" si="2"/>
        <v>9</v>
      </c>
      <c r="C16" s="49" t="s">
        <v>48</v>
      </c>
      <c r="D16" s="21"/>
      <c r="E16" s="19"/>
      <c r="F16" s="20"/>
      <c r="G16" s="33"/>
    </row>
    <row r="17" spans="2:7" s="4" customFormat="1" ht="18.75">
      <c r="B17" s="6">
        <f t="shared" si="2"/>
        <v>10</v>
      </c>
      <c r="C17" s="53" t="s">
        <v>54</v>
      </c>
      <c r="D17" s="21"/>
      <c r="E17" s="19"/>
      <c r="F17" s="20"/>
      <c r="G17" s="33"/>
    </row>
    <row r="18" spans="2:7" s="4" customFormat="1" ht="19.5" thickBot="1">
      <c r="B18" s="6">
        <f t="shared" si="2"/>
        <v>11</v>
      </c>
      <c r="C18" s="49" t="s">
        <v>52</v>
      </c>
      <c r="D18" s="21"/>
      <c r="E18" s="19"/>
      <c r="F18" s="20"/>
      <c r="G18" s="33"/>
    </row>
    <row r="19" spans="2:7" s="12" customFormat="1" ht="18.75" thickBot="1">
      <c r="B19" s="96" t="s">
        <v>13</v>
      </c>
      <c r="C19" s="97"/>
      <c r="D19" s="98" t="s">
        <v>7</v>
      </c>
      <c r="E19" s="99"/>
      <c r="F19" s="100"/>
      <c r="G19" s="24" t="s">
        <v>8</v>
      </c>
    </row>
    <row r="20" spans="2:7">
      <c r="B20" s="101"/>
      <c r="C20" s="102"/>
      <c r="D20" s="102"/>
      <c r="E20" s="102"/>
      <c r="F20" s="102"/>
      <c r="G20" s="86"/>
    </row>
    <row r="21" spans="2:7">
      <c r="B21" s="103"/>
      <c r="C21" s="104"/>
      <c r="D21" s="104"/>
      <c r="E21" s="104"/>
      <c r="F21" s="104"/>
      <c r="G21" s="87"/>
    </row>
    <row r="22" spans="2:7">
      <c r="B22" s="103"/>
      <c r="C22" s="104"/>
      <c r="D22" s="104"/>
      <c r="E22" s="104"/>
      <c r="F22" s="104"/>
      <c r="G22" s="87"/>
    </row>
    <row r="23" spans="2:7">
      <c r="B23" s="103"/>
      <c r="C23" s="104"/>
      <c r="D23" s="104"/>
      <c r="E23" s="104"/>
      <c r="F23" s="104"/>
      <c r="G23" s="87"/>
    </row>
    <row r="24" spans="2:7" ht="15.75" thickBot="1">
      <c r="B24" s="105"/>
      <c r="C24" s="106"/>
      <c r="D24" s="106"/>
      <c r="E24" s="106"/>
      <c r="F24" s="106"/>
      <c r="G24" s="88"/>
    </row>
  </sheetData>
  <sheetProtection selectLockedCells="1"/>
  <mergeCells count="8">
    <mergeCell ref="G20:G24"/>
    <mergeCell ref="B3:F3"/>
    <mergeCell ref="D4:F4"/>
    <mergeCell ref="E6:F6"/>
    <mergeCell ref="B19:C19"/>
    <mergeCell ref="D19:F19"/>
    <mergeCell ref="B20:C24"/>
    <mergeCell ref="D20:F24"/>
  </mergeCells>
  <conditionalFormatting sqref="D8:D18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8"/>
  <sheetViews>
    <sheetView view="pageBreakPreview" topLeftCell="B1" zoomScale="90" zoomScaleNormal="55" zoomScaleSheetLayoutView="90" zoomScalePageLayoutView="70" workbookViewId="0">
      <selection activeCell="G4" sqref="G4"/>
    </sheetView>
  </sheetViews>
  <sheetFormatPr baseColWidth="10" defaultColWidth="11.42578125" defaultRowHeight="15.75"/>
  <cols>
    <col min="1" max="1" width="0.28515625" style="4" customWidth="1"/>
    <col min="2" max="2" width="7.85546875" style="4" customWidth="1"/>
    <col min="3" max="3" width="88.28515625" style="4" customWidth="1"/>
    <col min="4" max="4" width="9.7109375" style="4" bestFit="1" customWidth="1"/>
    <col min="5" max="5" width="8.42578125" style="4" customWidth="1"/>
    <col min="6" max="6" width="10.5703125" style="4" customWidth="1"/>
    <col min="7" max="7" width="55.42578125" style="4" bestFit="1" customWidth="1"/>
    <col min="8" max="8" width="6.5703125" style="4" customWidth="1"/>
    <col min="9" max="9" width="7.85546875" style="4" customWidth="1"/>
    <col min="10" max="11" width="8.140625" style="4" customWidth="1"/>
    <col min="12" max="13" width="11.42578125" style="4" customWidth="1"/>
    <col min="14" max="14" width="8.85546875" style="4" customWidth="1"/>
    <col min="15" max="17" width="11.42578125" style="4" customWidth="1"/>
    <col min="18" max="18" width="2.140625" style="4" customWidth="1"/>
    <col min="19" max="16384" width="11.42578125" style="4"/>
  </cols>
  <sheetData>
    <row r="1" spans="2:7" ht="1.5" customHeight="1"/>
    <row r="2" spans="2:7" ht="1.5" customHeight="1" thickBot="1"/>
    <row r="3" spans="2:7" ht="62.25" customHeight="1" thickBot="1">
      <c r="B3" s="118" t="s">
        <v>11</v>
      </c>
      <c r="C3" s="119"/>
      <c r="D3" s="119"/>
      <c r="E3" s="119"/>
      <c r="F3" s="120"/>
      <c r="G3" s="84" t="s">
        <v>78</v>
      </c>
    </row>
    <row r="4" spans="2:7" ht="16.5" thickBot="1">
      <c r="B4" s="54"/>
      <c r="C4" s="55" t="s">
        <v>77</v>
      </c>
      <c r="D4" s="116" t="s">
        <v>39</v>
      </c>
      <c r="E4" s="121"/>
      <c r="F4" s="121"/>
      <c r="G4" s="56" t="s">
        <v>55</v>
      </c>
    </row>
    <row r="5" spans="2:7" ht="8.25" customHeight="1" thickBot="1">
      <c r="B5" s="57"/>
      <c r="C5" s="57"/>
      <c r="D5" s="58"/>
      <c r="E5" s="58"/>
      <c r="F5" s="58"/>
      <c r="G5" s="58"/>
    </row>
    <row r="6" spans="2:7" ht="20.25" customHeight="1" thickBot="1">
      <c r="E6" s="116" t="s">
        <v>0</v>
      </c>
      <c r="F6" s="117"/>
    </row>
    <row r="7" spans="2:7" ht="24" customHeight="1" thickBot="1">
      <c r="B7" s="25" t="s">
        <v>1</v>
      </c>
      <c r="C7" s="26" t="s">
        <v>2</v>
      </c>
      <c r="D7" s="27" t="s">
        <v>3</v>
      </c>
      <c r="E7" s="59" t="s">
        <v>4</v>
      </c>
      <c r="F7" s="60" t="s">
        <v>5</v>
      </c>
      <c r="G7" s="28" t="s">
        <v>6</v>
      </c>
    </row>
    <row r="8" spans="2:7">
      <c r="B8" s="61">
        <v>1</v>
      </c>
      <c r="C8" s="81" t="s">
        <v>73</v>
      </c>
      <c r="D8" s="62"/>
      <c r="E8" s="19"/>
      <c r="F8" s="20"/>
      <c r="G8" s="63"/>
    </row>
    <row r="9" spans="2:7">
      <c r="B9" s="64">
        <v>2</v>
      </c>
      <c r="C9" s="81" t="s">
        <v>74</v>
      </c>
      <c r="D9" s="62"/>
      <c r="E9" s="19"/>
      <c r="F9" s="20"/>
      <c r="G9" s="63"/>
    </row>
    <row r="10" spans="2:7">
      <c r="B10" s="64">
        <v>3</v>
      </c>
      <c r="C10" s="81" t="s">
        <v>68</v>
      </c>
      <c r="D10" s="62"/>
      <c r="E10" s="19"/>
      <c r="F10" s="20"/>
      <c r="G10" s="63"/>
    </row>
    <row r="11" spans="2:7">
      <c r="B11" s="61">
        <v>4</v>
      </c>
      <c r="C11" s="81" t="s">
        <v>63</v>
      </c>
      <c r="D11" s="62"/>
      <c r="E11" s="19"/>
      <c r="F11" s="20"/>
      <c r="G11" s="63"/>
    </row>
    <row r="12" spans="2:7">
      <c r="B12" s="64">
        <v>5</v>
      </c>
      <c r="C12" s="81" t="s">
        <v>69</v>
      </c>
      <c r="D12" s="62"/>
      <c r="E12" s="19"/>
      <c r="F12" s="20"/>
      <c r="G12" s="63"/>
    </row>
    <row r="13" spans="2:7">
      <c r="B13" s="64">
        <v>6</v>
      </c>
      <c r="C13" s="81" t="s">
        <v>72</v>
      </c>
      <c r="D13" s="62"/>
      <c r="E13" s="19"/>
      <c r="F13" s="20"/>
      <c r="G13" s="63"/>
    </row>
    <row r="14" spans="2:7">
      <c r="B14" s="61">
        <v>7</v>
      </c>
      <c r="C14" s="81" t="s">
        <v>64</v>
      </c>
      <c r="D14" s="62"/>
      <c r="E14" s="19"/>
      <c r="F14" s="20"/>
      <c r="G14" s="63"/>
    </row>
    <row r="15" spans="2:7">
      <c r="B15" s="64">
        <v>8</v>
      </c>
      <c r="C15" s="81" t="s">
        <v>76</v>
      </c>
      <c r="D15" s="62"/>
      <c r="E15" s="19"/>
      <c r="F15" s="20"/>
      <c r="G15" s="63"/>
    </row>
    <row r="16" spans="2:7">
      <c r="B16" s="64">
        <v>9</v>
      </c>
      <c r="C16" s="82" t="s">
        <v>70</v>
      </c>
      <c r="D16" s="62"/>
      <c r="E16" s="19"/>
      <c r="F16" s="20"/>
      <c r="G16" s="63"/>
    </row>
    <row r="17" spans="2:7">
      <c r="B17" s="61">
        <v>10</v>
      </c>
      <c r="C17" s="82" t="s">
        <v>71</v>
      </c>
      <c r="D17" s="62"/>
      <c r="E17" s="19"/>
      <c r="F17" s="20"/>
      <c r="G17" s="63"/>
    </row>
    <row r="18" spans="2:7">
      <c r="B18" s="64">
        <v>11</v>
      </c>
      <c r="C18" s="82" t="s">
        <v>65</v>
      </c>
      <c r="D18" s="62"/>
      <c r="E18" s="19"/>
      <c r="F18" s="20"/>
      <c r="G18" s="63"/>
    </row>
    <row r="19" spans="2:7">
      <c r="B19" s="64">
        <v>12</v>
      </c>
      <c r="C19" s="82" t="s">
        <v>66</v>
      </c>
      <c r="D19" s="62"/>
      <c r="E19" s="19"/>
      <c r="F19" s="20"/>
      <c r="G19" s="63"/>
    </row>
    <row r="20" spans="2:7">
      <c r="B20" s="61">
        <v>13</v>
      </c>
      <c r="C20" s="82" t="s">
        <v>67</v>
      </c>
      <c r="D20" s="62"/>
      <c r="E20" s="19"/>
      <c r="F20" s="20"/>
      <c r="G20" s="63"/>
    </row>
    <row r="21" spans="2:7">
      <c r="B21" s="64">
        <v>14</v>
      </c>
      <c r="C21" s="51" t="s">
        <v>83</v>
      </c>
      <c r="D21" s="62"/>
      <c r="E21" s="19"/>
      <c r="F21" s="20"/>
      <c r="G21" s="63"/>
    </row>
    <row r="22" spans="2:7" ht="16.5" thickBot="1">
      <c r="B22" s="64">
        <v>15</v>
      </c>
      <c r="C22" s="51"/>
      <c r="D22" s="62"/>
      <c r="E22" s="19"/>
      <c r="F22" s="20"/>
      <c r="G22" s="63"/>
    </row>
    <row r="23" spans="2:7" s="65" customFormat="1" ht="16.5" thickBot="1">
      <c r="B23" s="122" t="s">
        <v>13</v>
      </c>
      <c r="C23" s="123"/>
      <c r="D23" s="124" t="s">
        <v>7</v>
      </c>
      <c r="E23" s="125"/>
      <c r="F23" s="126"/>
      <c r="G23" s="60" t="s">
        <v>8</v>
      </c>
    </row>
    <row r="24" spans="2:7">
      <c r="B24" s="107"/>
      <c r="C24" s="108"/>
      <c r="D24" s="108"/>
      <c r="E24" s="108"/>
      <c r="F24" s="108"/>
      <c r="G24" s="113"/>
    </row>
    <row r="25" spans="2:7">
      <c r="B25" s="109"/>
      <c r="C25" s="110"/>
      <c r="D25" s="110"/>
      <c r="E25" s="110"/>
      <c r="F25" s="110"/>
      <c r="G25" s="114"/>
    </row>
    <row r="26" spans="2:7">
      <c r="B26" s="109"/>
      <c r="C26" s="110"/>
      <c r="D26" s="110"/>
      <c r="E26" s="110"/>
      <c r="F26" s="110"/>
      <c r="G26" s="114"/>
    </row>
    <row r="27" spans="2:7">
      <c r="B27" s="109"/>
      <c r="C27" s="110"/>
      <c r="D27" s="110"/>
      <c r="E27" s="110"/>
      <c r="F27" s="110"/>
      <c r="G27" s="114"/>
    </row>
    <row r="28" spans="2:7" ht="16.5" thickBot="1">
      <c r="B28" s="111"/>
      <c r="C28" s="112"/>
      <c r="D28" s="112"/>
      <c r="E28" s="112"/>
      <c r="F28" s="112"/>
      <c r="G28" s="115"/>
    </row>
  </sheetData>
  <sheetProtection selectLockedCells="1"/>
  <mergeCells count="8">
    <mergeCell ref="B24:C28"/>
    <mergeCell ref="D24:F28"/>
    <mergeCell ref="G24:G28"/>
    <mergeCell ref="E6:F6"/>
    <mergeCell ref="B3:F3"/>
    <mergeCell ref="D4:F4"/>
    <mergeCell ref="B23:C23"/>
    <mergeCell ref="D23:F23"/>
  </mergeCells>
  <conditionalFormatting sqref="D8:D22">
    <cfRule type="cellIs" dxfId="33" priority="3" operator="equal">
      <formula>3</formula>
    </cfRule>
    <cfRule type="cellIs" dxfId="3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3:G15"/>
  <sheetViews>
    <sheetView tabSelected="1" view="pageLayout" topLeftCell="B1" zoomScaleNormal="90" workbookViewId="0">
      <selection activeCell="C7" sqref="C7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3" spans="2:7" ht="26.25">
      <c r="B3" s="127" t="s">
        <v>11</v>
      </c>
      <c r="C3" s="127"/>
      <c r="D3" s="127"/>
      <c r="E3" s="127"/>
      <c r="F3" s="127"/>
      <c r="G3" s="85" t="s">
        <v>78</v>
      </c>
    </row>
    <row r="4" spans="2:7" ht="23.25">
      <c r="B4" s="67"/>
      <c r="C4" s="68" t="s">
        <v>40</v>
      </c>
      <c r="D4" s="128" t="s">
        <v>39</v>
      </c>
      <c r="E4" s="128"/>
      <c r="F4" s="128"/>
      <c r="G4" s="66" t="s">
        <v>55</v>
      </c>
    </row>
    <row r="5" spans="2:7" ht="18">
      <c r="B5" s="69"/>
      <c r="C5" s="69"/>
      <c r="D5" s="69"/>
      <c r="E5" s="129" t="s">
        <v>0</v>
      </c>
      <c r="F5" s="129"/>
      <c r="G5" s="69"/>
    </row>
    <row r="6" spans="2:7" s="4" customFormat="1" ht="15.75">
      <c r="B6" s="70" t="s">
        <v>1</v>
      </c>
      <c r="C6" s="70" t="s">
        <v>2</v>
      </c>
      <c r="D6" s="70" t="s">
        <v>3</v>
      </c>
      <c r="E6" s="71" t="s">
        <v>4</v>
      </c>
      <c r="F6" s="71" t="s">
        <v>5</v>
      </c>
      <c r="G6" s="72" t="s">
        <v>6</v>
      </c>
    </row>
    <row r="7" spans="2:7" s="4" customFormat="1" ht="18.75">
      <c r="B7" s="73">
        <v>1</v>
      </c>
      <c r="C7" s="47" t="s">
        <v>56</v>
      </c>
      <c r="D7" s="74"/>
      <c r="E7" s="75"/>
      <c r="F7" s="76"/>
      <c r="G7" s="77"/>
    </row>
    <row r="8" spans="2:7" s="4" customFormat="1" ht="18.75">
      <c r="B8" s="78">
        <f>B7+1</f>
        <v>2</v>
      </c>
      <c r="C8" s="47"/>
      <c r="D8" s="74"/>
      <c r="E8" s="75"/>
      <c r="F8" s="76"/>
      <c r="G8" s="77"/>
    </row>
    <row r="9" spans="2:7" s="4" customFormat="1" ht="19.5" thickBot="1">
      <c r="B9" s="73">
        <f>+B8+1</f>
        <v>3</v>
      </c>
      <c r="C9" s="47"/>
      <c r="D9" s="74"/>
      <c r="E9" s="75"/>
      <c r="F9" s="76"/>
      <c r="G9" s="77"/>
    </row>
    <row r="10" spans="2:7" ht="18.75" thickBot="1">
      <c r="B10" s="96" t="s">
        <v>13</v>
      </c>
      <c r="C10" s="97"/>
      <c r="D10" s="98" t="s">
        <v>7</v>
      </c>
      <c r="E10" s="99"/>
      <c r="F10" s="100"/>
      <c r="G10" s="24" t="s">
        <v>8</v>
      </c>
    </row>
    <row r="11" spans="2:7">
      <c r="B11" s="101"/>
      <c r="C11" s="102"/>
      <c r="D11" s="102"/>
      <c r="E11" s="102"/>
      <c r="F11" s="102"/>
      <c r="G11" s="86"/>
    </row>
    <row r="12" spans="2:7">
      <c r="B12" s="103"/>
      <c r="C12" s="104"/>
      <c r="D12" s="104"/>
      <c r="E12" s="104"/>
      <c r="F12" s="104"/>
      <c r="G12" s="87"/>
    </row>
    <row r="13" spans="2:7">
      <c r="B13" s="103"/>
      <c r="C13" s="104"/>
      <c r="D13" s="104"/>
      <c r="E13" s="104"/>
      <c r="F13" s="104"/>
      <c r="G13" s="87"/>
    </row>
    <row r="14" spans="2:7">
      <c r="B14" s="103"/>
      <c r="C14" s="104"/>
      <c r="D14" s="104"/>
      <c r="E14" s="104"/>
      <c r="F14" s="104"/>
      <c r="G14" s="87"/>
    </row>
    <row r="15" spans="2:7" ht="15.75" thickBot="1">
      <c r="B15" s="105"/>
      <c r="C15" s="106"/>
      <c r="D15" s="106"/>
      <c r="E15" s="106"/>
      <c r="F15" s="106"/>
      <c r="G15" s="88"/>
    </row>
  </sheetData>
  <mergeCells count="8">
    <mergeCell ref="G11:G15"/>
    <mergeCell ref="B3:F3"/>
    <mergeCell ref="D4:F4"/>
    <mergeCell ref="E5:F5"/>
    <mergeCell ref="B10:C10"/>
    <mergeCell ref="D10:F10"/>
    <mergeCell ref="B11:C15"/>
    <mergeCell ref="D11:F15"/>
  </mergeCells>
  <conditionalFormatting sqref="D7:D9">
    <cfRule type="cellIs" dxfId="31" priority="1" operator="equal">
      <formula>3</formula>
    </cfRule>
    <cfRule type="cellIs" dxfId="30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B3:G15"/>
  <sheetViews>
    <sheetView zoomScale="80" zoomScaleNormal="80" workbookViewId="0">
      <selection activeCell="C7" sqref="C7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3" spans="2:7" ht="26.25">
      <c r="B3" s="127" t="s">
        <v>11</v>
      </c>
      <c r="C3" s="127"/>
      <c r="D3" s="127"/>
      <c r="E3" s="127"/>
      <c r="F3" s="127"/>
      <c r="G3" s="84" t="s">
        <v>78</v>
      </c>
    </row>
    <row r="4" spans="2:7" ht="23.25">
      <c r="B4" s="67"/>
      <c r="C4" s="79" t="s">
        <v>41</v>
      </c>
      <c r="D4" s="128" t="s">
        <v>39</v>
      </c>
      <c r="E4" s="128"/>
      <c r="F4" s="128"/>
      <c r="G4" s="80" t="s">
        <v>55</v>
      </c>
    </row>
    <row r="5" spans="2:7" ht="18">
      <c r="B5" s="69"/>
      <c r="C5" s="69"/>
      <c r="D5" s="69"/>
      <c r="E5" s="129" t="s">
        <v>0</v>
      </c>
      <c r="F5" s="129"/>
      <c r="G5" s="69"/>
    </row>
    <row r="6" spans="2:7" s="4" customFormat="1" ht="15.75">
      <c r="B6" s="70" t="s">
        <v>1</v>
      </c>
      <c r="C6" s="70" t="s">
        <v>2</v>
      </c>
      <c r="D6" s="70" t="s">
        <v>3</v>
      </c>
      <c r="E6" s="71" t="s">
        <v>4</v>
      </c>
      <c r="F6" s="71" t="s">
        <v>5</v>
      </c>
      <c r="G6" s="72" t="s">
        <v>6</v>
      </c>
    </row>
    <row r="7" spans="2:7" s="4" customFormat="1" ht="39" customHeight="1">
      <c r="B7" s="73">
        <v>1</v>
      </c>
      <c r="C7" s="47" t="s">
        <v>75</v>
      </c>
      <c r="D7" s="74"/>
      <c r="E7" s="75"/>
      <c r="F7" s="76"/>
      <c r="G7" s="77"/>
    </row>
    <row r="8" spans="2:7" s="4" customFormat="1" ht="18.75">
      <c r="B8" s="78">
        <f>B7+1</f>
        <v>2</v>
      </c>
      <c r="C8" s="47"/>
      <c r="D8" s="74"/>
      <c r="E8" s="75"/>
      <c r="F8" s="76"/>
      <c r="G8" s="77"/>
    </row>
    <row r="9" spans="2:7" s="4" customFormat="1" ht="19.5" thickBot="1">
      <c r="B9" s="73">
        <f>+B8+1</f>
        <v>3</v>
      </c>
      <c r="C9" s="47"/>
      <c r="D9" s="74"/>
      <c r="E9" s="75"/>
      <c r="F9" s="76"/>
      <c r="G9" s="77"/>
    </row>
    <row r="10" spans="2:7" ht="18.75" thickBot="1">
      <c r="B10" s="96" t="s">
        <v>13</v>
      </c>
      <c r="C10" s="97"/>
      <c r="D10" s="98" t="s">
        <v>7</v>
      </c>
      <c r="E10" s="99"/>
      <c r="F10" s="100"/>
      <c r="G10" s="24" t="s">
        <v>8</v>
      </c>
    </row>
    <row r="11" spans="2:7">
      <c r="B11" s="101"/>
      <c r="C11" s="102"/>
      <c r="D11" s="102"/>
      <c r="E11" s="102"/>
      <c r="F11" s="102"/>
      <c r="G11" s="86"/>
    </row>
    <row r="12" spans="2:7">
      <c r="B12" s="103"/>
      <c r="C12" s="104"/>
      <c r="D12" s="104"/>
      <c r="E12" s="104"/>
      <c r="F12" s="104"/>
      <c r="G12" s="87"/>
    </row>
    <row r="13" spans="2:7">
      <c r="B13" s="103"/>
      <c r="C13" s="104"/>
      <c r="D13" s="104"/>
      <c r="E13" s="104"/>
      <c r="F13" s="104"/>
      <c r="G13" s="87"/>
    </row>
    <row r="14" spans="2:7">
      <c r="B14" s="103"/>
      <c r="C14" s="104"/>
      <c r="D14" s="104"/>
      <c r="E14" s="104"/>
      <c r="F14" s="104"/>
      <c r="G14" s="87"/>
    </row>
    <row r="15" spans="2:7" ht="15.75" thickBot="1">
      <c r="B15" s="105"/>
      <c r="C15" s="106"/>
      <c r="D15" s="106"/>
      <c r="E15" s="106"/>
      <c r="F15" s="106"/>
      <c r="G15" s="88"/>
    </row>
  </sheetData>
  <mergeCells count="8">
    <mergeCell ref="G11:G15"/>
    <mergeCell ref="B3:F3"/>
    <mergeCell ref="D4:F4"/>
    <mergeCell ref="E5:F5"/>
    <mergeCell ref="B10:C10"/>
    <mergeCell ref="D10:F10"/>
    <mergeCell ref="B11:C15"/>
    <mergeCell ref="D11:F15"/>
  </mergeCells>
  <conditionalFormatting sqref="D7:D9">
    <cfRule type="cellIs" dxfId="29" priority="1" operator="equal">
      <formula>3</formula>
    </cfRule>
    <cfRule type="cellIs" dxfId="28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1"/>
  <sheetViews>
    <sheetView view="pageBreakPreview" zoomScale="90" zoomScaleNormal="55" zoomScaleSheetLayoutView="90" zoomScalePageLayoutView="70" workbookViewId="0">
      <selection activeCell="C8" sqref="C8:C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84" t="s">
        <v>78</v>
      </c>
    </row>
    <row r="4" spans="2:7" ht="24" thickBot="1">
      <c r="B4" s="14"/>
      <c r="C4" s="15" t="s">
        <v>42</v>
      </c>
      <c r="D4" s="92" t="s">
        <v>39</v>
      </c>
      <c r="E4" s="93"/>
      <c r="F4" s="93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6">
        <v>1</v>
      </c>
      <c r="C8" s="83" t="s">
        <v>57</v>
      </c>
      <c r="D8" s="21"/>
      <c r="E8" s="19"/>
      <c r="F8" s="20"/>
      <c r="G8" s="33"/>
    </row>
    <row r="9" spans="2:7" s="4" customFormat="1" ht="18.75">
      <c r="B9" s="37">
        <f>+B8+1</f>
        <v>2</v>
      </c>
      <c r="C9" s="83" t="s">
        <v>58</v>
      </c>
      <c r="D9" s="21"/>
      <c r="E9" s="19"/>
      <c r="F9" s="20"/>
      <c r="G9" s="33"/>
    </row>
    <row r="10" spans="2:7" s="4" customFormat="1" ht="18.75">
      <c r="B10" s="6">
        <f t="shared" ref="B10" si="0">B9+1</f>
        <v>3</v>
      </c>
      <c r="C10" s="83" t="s">
        <v>59</v>
      </c>
      <c r="D10" s="21"/>
      <c r="E10" s="19"/>
      <c r="F10" s="20"/>
      <c r="G10" s="33"/>
    </row>
    <row r="11" spans="2:7" s="4" customFormat="1" ht="18.75">
      <c r="B11" s="37">
        <f t="shared" ref="B11" si="1">+B10+1</f>
        <v>4</v>
      </c>
      <c r="C11" s="83" t="s">
        <v>60</v>
      </c>
      <c r="D11" s="21"/>
      <c r="E11" s="19"/>
      <c r="F11" s="20"/>
      <c r="G11" s="33"/>
    </row>
    <row r="12" spans="2:7" s="4" customFormat="1" ht="18.75">
      <c r="B12" s="6">
        <f t="shared" ref="B12" si="2">B11+1</f>
        <v>5</v>
      </c>
      <c r="C12" s="83" t="s">
        <v>61</v>
      </c>
      <c r="D12" s="21"/>
      <c r="E12" s="19"/>
      <c r="F12" s="20"/>
      <c r="G12" s="33"/>
    </row>
    <row r="13" spans="2:7" s="4" customFormat="1" ht="18.75">
      <c r="B13" s="37">
        <f t="shared" ref="B13" si="3">+B12+1</f>
        <v>6</v>
      </c>
      <c r="C13" s="83" t="s">
        <v>62</v>
      </c>
      <c r="D13" s="21"/>
      <c r="E13" s="19"/>
      <c r="F13" s="20"/>
      <c r="G13" s="33"/>
    </row>
    <row r="14" spans="2:7" s="4" customFormat="1" ht="18.75">
      <c r="B14" s="6">
        <f t="shared" ref="B14" si="4">B13+1</f>
        <v>7</v>
      </c>
      <c r="C14" s="47"/>
      <c r="D14" s="21"/>
      <c r="E14" s="19"/>
      <c r="F14" s="20"/>
      <c r="G14" s="33"/>
    </row>
    <row r="15" spans="2:7" s="4" customFormat="1" ht="19.5" thickBot="1">
      <c r="B15" s="6">
        <v>8</v>
      </c>
      <c r="C15" s="47"/>
      <c r="D15" s="21"/>
      <c r="E15" s="19"/>
      <c r="F15" s="20"/>
      <c r="G15" s="33"/>
    </row>
    <row r="16" spans="2:7" ht="18.75" thickBot="1">
      <c r="B16" s="96" t="s">
        <v>13</v>
      </c>
      <c r="C16" s="97"/>
      <c r="D16" s="98" t="s">
        <v>7</v>
      </c>
      <c r="E16" s="99"/>
      <c r="F16" s="100"/>
      <c r="G16" s="24" t="s">
        <v>8</v>
      </c>
    </row>
    <row r="17" spans="2:7">
      <c r="B17" s="101"/>
      <c r="C17" s="102"/>
      <c r="D17" s="102"/>
      <c r="E17" s="102"/>
      <c r="F17" s="102"/>
      <c r="G17" s="86"/>
    </row>
    <row r="18" spans="2:7">
      <c r="B18" s="103"/>
      <c r="C18" s="104"/>
      <c r="D18" s="104"/>
      <c r="E18" s="104"/>
      <c r="F18" s="104"/>
      <c r="G18" s="87"/>
    </row>
    <row r="19" spans="2:7">
      <c r="B19" s="103"/>
      <c r="C19" s="104"/>
      <c r="D19" s="104"/>
      <c r="E19" s="104"/>
      <c r="F19" s="104"/>
      <c r="G19" s="87"/>
    </row>
    <row r="20" spans="2:7">
      <c r="B20" s="103"/>
      <c r="C20" s="104"/>
      <c r="D20" s="104"/>
      <c r="E20" s="104"/>
      <c r="F20" s="104"/>
      <c r="G20" s="87"/>
    </row>
    <row r="21" spans="2:7" ht="15.75" thickBot="1">
      <c r="B21" s="105"/>
      <c r="C21" s="106"/>
      <c r="D21" s="106"/>
      <c r="E21" s="106"/>
      <c r="F21" s="106"/>
      <c r="G21" s="88"/>
    </row>
  </sheetData>
  <sheetProtection selectLockedCells="1"/>
  <mergeCells count="8">
    <mergeCell ref="B17:C21"/>
    <mergeCell ref="D17:F21"/>
    <mergeCell ref="G17:G21"/>
    <mergeCell ref="B3:F3"/>
    <mergeCell ref="D4:F4"/>
    <mergeCell ref="E6:F6"/>
    <mergeCell ref="B16:C16"/>
    <mergeCell ref="D16:F16"/>
  </mergeCells>
  <conditionalFormatting sqref="D8:D15">
    <cfRule type="cellIs" dxfId="27" priority="3" operator="equal">
      <formula>3</formula>
    </cfRule>
    <cfRule type="cellIs" dxfId="2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5"/>
  <sheetViews>
    <sheetView view="pageBreakPreview" topLeftCell="A4" zoomScaleNormal="55" zoomScaleSheetLayoutView="100" zoomScalePageLayoutView="70" workbookViewId="0">
      <selection activeCell="D15" sqref="D15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84" t="s">
        <v>78</v>
      </c>
    </row>
    <row r="4" spans="2:7" ht="24" thickBot="1">
      <c r="B4" s="14"/>
      <c r="C4" s="15" t="s">
        <v>45</v>
      </c>
      <c r="D4" s="92" t="s">
        <v>39</v>
      </c>
      <c r="E4" s="93"/>
      <c r="F4" s="93"/>
      <c r="G4" s="32" t="s">
        <v>55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83" t="s">
        <v>57</v>
      </c>
      <c r="D8" s="21"/>
      <c r="E8" s="19"/>
      <c r="F8" s="20"/>
      <c r="G8" s="33"/>
    </row>
    <row r="9" spans="2:7" s="4" customFormat="1" ht="18.75">
      <c r="B9" s="6">
        <f>B8+1</f>
        <v>2</v>
      </c>
      <c r="C9" s="83" t="s">
        <v>58</v>
      </c>
      <c r="D9" s="21"/>
      <c r="E9" s="19"/>
      <c r="F9" s="20"/>
      <c r="G9" s="33"/>
    </row>
    <row r="10" spans="2:7" s="4" customFormat="1" ht="18.75">
      <c r="B10" s="37">
        <f>+B9+1</f>
        <v>3</v>
      </c>
      <c r="C10" s="83" t="s">
        <v>59</v>
      </c>
      <c r="D10" s="21"/>
      <c r="E10" s="19"/>
      <c r="F10" s="20"/>
      <c r="G10" s="33"/>
    </row>
    <row r="11" spans="2:7" s="4" customFormat="1" ht="18.75">
      <c r="B11" s="6">
        <f t="shared" ref="B11" si="0">B10+1</f>
        <v>4</v>
      </c>
      <c r="C11" s="83" t="s">
        <v>60</v>
      </c>
      <c r="D11" s="21"/>
      <c r="E11" s="19"/>
      <c r="F11" s="20"/>
      <c r="G11" s="33"/>
    </row>
    <row r="12" spans="2:7" s="4" customFormat="1" ht="18.75">
      <c r="B12" s="37">
        <f t="shared" ref="B12" si="1">+B11+1</f>
        <v>5</v>
      </c>
      <c r="C12" s="83" t="s">
        <v>61</v>
      </c>
      <c r="D12" s="21"/>
      <c r="E12" s="19"/>
      <c r="F12" s="20"/>
      <c r="G12" s="33"/>
    </row>
    <row r="13" spans="2:7" s="4" customFormat="1" ht="18.75">
      <c r="B13" s="37">
        <v>6</v>
      </c>
      <c r="C13" s="83" t="s">
        <v>62</v>
      </c>
      <c r="D13" s="21"/>
      <c r="E13" s="19"/>
      <c r="F13" s="20"/>
      <c r="G13" s="33"/>
    </row>
    <row r="14" spans="2:7" s="4" customFormat="1" ht="18.75">
      <c r="B14" s="6">
        <f t="shared" ref="B14" si="2">B13+1</f>
        <v>7</v>
      </c>
      <c r="C14" s="83" t="s">
        <v>79</v>
      </c>
      <c r="D14" s="21"/>
      <c r="E14" s="19"/>
      <c r="F14" s="20"/>
      <c r="G14" s="33"/>
    </row>
    <row r="15" spans="2:7" s="4" customFormat="1" ht="18.75">
      <c r="B15" s="6">
        <v>8</v>
      </c>
      <c r="C15" s="83" t="s">
        <v>80</v>
      </c>
      <c r="D15" s="21"/>
      <c r="E15" s="19"/>
      <c r="F15" s="20"/>
      <c r="G15" s="33"/>
    </row>
    <row r="16" spans="2:7" s="4" customFormat="1" ht="31.5">
      <c r="B16" s="6">
        <v>9</v>
      </c>
      <c r="C16" s="83" t="s">
        <v>81</v>
      </c>
      <c r="D16" s="21"/>
      <c r="E16" s="19"/>
      <c r="F16" s="20"/>
      <c r="G16" s="33"/>
    </row>
    <row r="17" spans="2:7" s="4" customFormat="1" ht="31.5">
      <c r="B17" s="37">
        <f t="shared" ref="B17" si="3">+B16+1</f>
        <v>10</v>
      </c>
      <c r="C17" s="83" t="s">
        <v>82</v>
      </c>
      <c r="D17" s="21"/>
      <c r="E17" s="19"/>
      <c r="F17" s="20"/>
      <c r="G17" s="33"/>
    </row>
    <row r="18" spans="2:7" s="4" customFormat="1" ht="18.75">
      <c r="B18" s="6">
        <f t="shared" ref="B18" si="4">B17+1</f>
        <v>11</v>
      </c>
      <c r="C18" s="50"/>
      <c r="D18" s="21"/>
      <c r="E18" s="19"/>
      <c r="F18" s="20"/>
      <c r="G18" s="33"/>
    </row>
    <row r="19" spans="2:7" s="4" customFormat="1" ht="30" customHeight="1" thickBot="1">
      <c r="B19" s="37">
        <f t="shared" ref="B19" si="5">+B18+1</f>
        <v>12</v>
      </c>
      <c r="C19" s="50"/>
      <c r="D19" s="21"/>
      <c r="E19" s="19"/>
      <c r="F19" s="20"/>
      <c r="G19" s="33"/>
    </row>
    <row r="20" spans="2:7" ht="18.75" thickBot="1">
      <c r="B20" s="96" t="s">
        <v>13</v>
      </c>
      <c r="C20" s="97"/>
      <c r="D20" s="98" t="s">
        <v>7</v>
      </c>
      <c r="E20" s="99"/>
      <c r="F20" s="100"/>
      <c r="G20" s="24" t="s">
        <v>8</v>
      </c>
    </row>
    <row r="21" spans="2:7">
      <c r="B21" s="101"/>
      <c r="C21" s="102"/>
      <c r="D21" s="102"/>
      <c r="E21" s="102"/>
      <c r="F21" s="102"/>
      <c r="G21" s="86"/>
    </row>
    <row r="22" spans="2:7">
      <c r="B22" s="103"/>
      <c r="C22" s="104"/>
      <c r="D22" s="104"/>
      <c r="E22" s="104"/>
      <c r="F22" s="104"/>
      <c r="G22" s="87"/>
    </row>
    <row r="23" spans="2:7">
      <c r="B23" s="103"/>
      <c r="C23" s="104"/>
      <c r="D23" s="104"/>
      <c r="E23" s="104"/>
      <c r="F23" s="104"/>
      <c r="G23" s="87"/>
    </row>
    <row r="24" spans="2:7">
      <c r="B24" s="103"/>
      <c r="C24" s="104"/>
      <c r="D24" s="104"/>
      <c r="E24" s="104"/>
      <c r="F24" s="104"/>
      <c r="G24" s="87"/>
    </row>
    <row r="25" spans="2:7" ht="15.75" thickBot="1">
      <c r="B25" s="105"/>
      <c r="C25" s="106"/>
      <c r="D25" s="106"/>
      <c r="E25" s="106"/>
      <c r="F25" s="106"/>
      <c r="G25" s="88"/>
    </row>
  </sheetData>
  <sheetProtection selectLockedCells="1"/>
  <mergeCells count="8">
    <mergeCell ref="B21:C25"/>
    <mergeCell ref="D21:F25"/>
    <mergeCell ref="G21:G25"/>
    <mergeCell ref="B3:F3"/>
    <mergeCell ref="D4:F4"/>
    <mergeCell ref="E6:F6"/>
    <mergeCell ref="B20:C20"/>
    <mergeCell ref="D20:F20"/>
  </mergeCells>
  <conditionalFormatting sqref="D8:D19">
    <cfRule type="cellIs" dxfId="25" priority="3" operator="equal">
      <formula>3</formula>
    </cfRule>
    <cfRule type="cellIs" dxfId="24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2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16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6" t="s">
        <v>13</v>
      </c>
      <c r="C108" s="97"/>
      <c r="D108" s="98" t="s">
        <v>7</v>
      </c>
      <c r="E108" s="99"/>
      <c r="F108" s="100"/>
      <c r="G108" s="24" t="s">
        <v>8</v>
      </c>
    </row>
    <row r="109" spans="2:7">
      <c r="B109" s="101"/>
      <c r="C109" s="102"/>
      <c r="D109" s="102"/>
      <c r="E109" s="102"/>
      <c r="F109" s="102"/>
      <c r="G109" s="86"/>
    </row>
    <row r="110" spans="2:7">
      <c r="B110" s="103"/>
      <c r="C110" s="104"/>
      <c r="D110" s="104"/>
      <c r="E110" s="104"/>
      <c r="F110" s="104"/>
      <c r="G110" s="87"/>
    </row>
    <row r="111" spans="2:7">
      <c r="B111" s="103"/>
      <c r="C111" s="104"/>
      <c r="D111" s="104"/>
      <c r="E111" s="104"/>
      <c r="F111" s="104"/>
      <c r="G111" s="87"/>
    </row>
    <row r="112" spans="2:7">
      <c r="B112" s="103"/>
      <c r="C112" s="104"/>
      <c r="D112" s="104"/>
      <c r="E112" s="104"/>
      <c r="F112" s="104"/>
      <c r="G112" s="87"/>
    </row>
    <row r="113" spans="2:7" ht="15.75" thickBot="1">
      <c r="B113" s="105"/>
      <c r="C113" s="106"/>
      <c r="D113" s="106"/>
      <c r="E113" s="106"/>
      <c r="F113" s="106"/>
      <c r="G113" s="88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18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6" t="s">
        <v>13</v>
      </c>
      <c r="C108" s="97"/>
      <c r="D108" s="98" t="s">
        <v>7</v>
      </c>
      <c r="E108" s="99"/>
      <c r="F108" s="100"/>
      <c r="G108" s="24" t="s">
        <v>8</v>
      </c>
    </row>
    <row r="109" spans="2:7">
      <c r="B109" s="101"/>
      <c r="C109" s="102"/>
      <c r="D109" s="102"/>
      <c r="E109" s="102"/>
      <c r="F109" s="102"/>
      <c r="G109" s="86"/>
    </row>
    <row r="110" spans="2:7">
      <c r="B110" s="103"/>
      <c r="C110" s="104"/>
      <c r="D110" s="104"/>
      <c r="E110" s="104"/>
      <c r="F110" s="104"/>
      <c r="G110" s="87"/>
    </row>
    <row r="111" spans="2:7">
      <c r="B111" s="103"/>
      <c r="C111" s="104"/>
      <c r="D111" s="104"/>
      <c r="E111" s="104"/>
      <c r="F111" s="104"/>
      <c r="G111" s="87"/>
    </row>
    <row r="112" spans="2:7">
      <c r="B112" s="103"/>
      <c r="C112" s="104"/>
      <c r="D112" s="104"/>
      <c r="E112" s="104"/>
      <c r="F112" s="104"/>
      <c r="G112" s="87"/>
    </row>
    <row r="113" spans="2:7" ht="15.75" thickBot="1">
      <c r="B113" s="105"/>
      <c r="C113" s="106"/>
      <c r="D113" s="106"/>
      <c r="E113" s="106"/>
      <c r="F113" s="106"/>
      <c r="G113" s="88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31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96" t="s">
        <v>13</v>
      </c>
      <c r="C108" s="97"/>
      <c r="D108" s="98" t="s">
        <v>7</v>
      </c>
      <c r="E108" s="99"/>
      <c r="F108" s="100"/>
      <c r="G108" s="24" t="s">
        <v>8</v>
      </c>
    </row>
    <row r="109" spans="2:7">
      <c r="B109" s="101"/>
      <c r="C109" s="102"/>
      <c r="D109" s="102"/>
      <c r="E109" s="102"/>
      <c r="F109" s="102"/>
      <c r="G109" s="86"/>
    </row>
    <row r="110" spans="2:7">
      <c r="B110" s="103"/>
      <c r="C110" s="104"/>
      <c r="D110" s="104"/>
      <c r="E110" s="104"/>
      <c r="F110" s="104"/>
      <c r="G110" s="87"/>
    </row>
    <row r="111" spans="2:7">
      <c r="B111" s="103"/>
      <c r="C111" s="104"/>
      <c r="D111" s="104"/>
      <c r="E111" s="104"/>
      <c r="F111" s="104"/>
      <c r="G111" s="87"/>
    </row>
    <row r="112" spans="2:7">
      <c r="B112" s="103"/>
      <c r="C112" s="104"/>
      <c r="D112" s="104"/>
      <c r="E112" s="104"/>
      <c r="F112" s="104"/>
      <c r="G112" s="87"/>
    </row>
    <row r="113" spans="2:7" ht="15.75" thickBot="1">
      <c r="B113" s="105"/>
      <c r="C113" s="106"/>
      <c r="D113" s="106"/>
      <c r="E113" s="106"/>
      <c r="F113" s="106"/>
      <c r="G113" s="88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33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96" t="s">
        <v>13</v>
      </c>
      <c r="C33" s="97"/>
      <c r="D33" s="98" t="s">
        <v>7</v>
      </c>
      <c r="E33" s="99"/>
      <c r="F33" s="100"/>
      <c r="G33" s="24" t="s">
        <v>8</v>
      </c>
    </row>
    <row r="34" spans="2:7">
      <c r="B34" s="101"/>
      <c r="C34" s="102"/>
      <c r="D34" s="102"/>
      <c r="E34" s="102"/>
      <c r="F34" s="102"/>
      <c r="G34" s="86"/>
    </row>
    <row r="35" spans="2:7">
      <c r="B35" s="103"/>
      <c r="C35" s="104"/>
      <c r="D35" s="104"/>
      <c r="E35" s="104"/>
      <c r="F35" s="104"/>
      <c r="G35" s="87"/>
    </row>
    <row r="36" spans="2:7">
      <c r="B36" s="103"/>
      <c r="C36" s="104"/>
      <c r="D36" s="104"/>
      <c r="E36" s="104"/>
      <c r="F36" s="104"/>
      <c r="G36" s="87"/>
    </row>
    <row r="37" spans="2:7">
      <c r="B37" s="103"/>
      <c r="C37" s="104"/>
      <c r="D37" s="104"/>
      <c r="E37" s="104"/>
      <c r="F37" s="104"/>
      <c r="G37" s="87"/>
    </row>
    <row r="38" spans="2:7" ht="15.75" thickBot="1">
      <c r="B38" s="105"/>
      <c r="C38" s="106"/>
      <c r="D38" s="106"/>
      <c r="E38" s="106"/>
      <c r="F38" s="106"/>
      <c r="G38" s="88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32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6" t="s">
        <v>13</v>
      </c>
      <c r="C38" s="97"/>
      <c r="D38" s="98" t="s">
        <v>7</v>
      </c>
      <c r="E38" s="99"/>
      <c r="F38" s="100"/>
      <c r="G38" s="24" t="s">
        <v>8</v>
      </c>
    </row>
    <row r="39" spans="2:7">
      <c r="B39" s="101"/>
      <c r="C39" s="102"/>
      <c r="D39" s="102"/>
      <c r="E39" s="102"/>
      <c r="F39" s="102"/>
      <c r="G39" s="86"/>
    </row>
    <row r="40" spans="2:7">
      <c r="B40" s="103"/>
      <c r="C40" s="104"/>
      <c r="D40" s="104"/>
      <c r="E40" s="104"/>
      <c r="F40" s="104"/>
      <c r="G40" s="87"/>
    </row>
    <row r="41" spans="2:7">
      <c r="B41" s="103"/>
      <c r="C41" s="104"/>
      <c r="D41" s="104"/>
      <c r="E41" s="104"/>
      <c r="F41" s="104"/>
      <c r="G41" s="87"/>
    </row>
    <row r="42" spans="2:7">
      <c r="B42" s="103"/>
      <c r="C42" s="104"/>
      <c r="D42" s="104"/>
      <c r="E42" s="104"/>
      <c r="F42" s="104"/>
      <c r="G42" s="87"/>
    </row>
    <row r="43" spans="2:7" ht="15.75" thickBot="1">
      <c r="B43" s="105"/>
      <c r="C43" s="106"/>
      <c r="D43" s="106"/>
      <c r="E43" s="106"/>
      <c r="F43" s="106"/>
      <c r="G43" s="8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34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6" t="s">
        <v>13</v>
      </c>
      <c r="C38" s="97"/>
      <c r="D38" s="98" t="s">
        <v>7</v>
      </c>
      <c r="E38" s="99"/>
      <c r="F38" s="100"/>
      <c r="G38" s="24" t="s">
        <v>8</v>
      </c>
    </row>
    <row r="39" spans="2:7">
      <c r="B39" s="101"/>
      <c r="C39" s="102"/>
      <c r="D39" s="102"/>
      <c r="E39" s="102"/>
      <c r="F39" s="102"/>
      <c r="G39" s="86"/>
    </row>
    <row r="40" spans="2:7">
      <c r="B40" s="103"/>
      <c r="C40" s="104"/>
      <c r="D40" s="104"/>
      <c r="E40" s="104"/>
      <c r="F40" s="104"/>
      <c r="G40" s="87"/>
    </row>
    <row r="41" spans="2:7">
      <c r="B41" s="103"/>
      <c r="C41" s="104"/>
      <c r="D41" s="104"/>
      <c r="E41" s="104"/>
      <c r="F41" s="104"/>
      <c r="G41" s="87"/>
    </row>
    <row r="42" spans="2:7">
      <c r="B42" s="103"/>
      <c r="C42" s="104"/>
      <c r="D42" s="104"/>
      <c r="E42" s="104"/>
      <c r="F42" s="104"/>
      <c r="G42" s="87"/>
    </row>
    <row r="43" spans="2:7" ht="15.75" thickBot="1">
      <c r="B43" s="105"/>
      <c r="C43" s="106"/>
      <c r="D43" s="106"/>
      <c r="E43" s="106"/>
      <c r="F43" s="106"/>
      <c r="G43" s="8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35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6" t="s">
        <v>13</v>
      </c>
      <c r="C38" s="97"/>
      <c r="D38" s="98" t="s">
        <v>7</v>
      </c>
      <c r="E38" s="99"/>
      <c r="F38" s="100"/>
      <c r="G38" s="24" t="s">
        <v>8</v>
      </c>
    </row>
    <row r="39" spans="2:7">
      <c r="B39" s="101"/>
      <c r="C39" s="102"/>
      <c r="D39" s="102"/>
      <c r="E39" s="102"/>
      <c r="F39" s="102"/>
      <c r="G39" s="86"/>
    </row>
    <row r="40" spans="2:7">
      <c r="B40" s="103"/>
      <c r="C40" s="104"/>
      <c r="D40" s="104"/>
      <c r="E40" s="104"/>
      <c r="F40" s="104"/>
      <c r="G40" s="87"/>
    </row>
    <row r="41" spans="2:7">
      <c r="B41" s="103"/>
      <c r="C41" s="104"/>
      <c r="D41" s="104"/>
      <c r="E41" s="104"/>
      <c r="F41" s="104"/>
      <c r="G41" s="87"/>
    </row>
    <row r="42" spans="2:7">
      <c r="B42" s="103"/>
      <c r="C42" s="104"/>
      <c r="D42" s="104"/>
      <c r="E42" s="104"/>
      <c r="F42" s="104"/>
      <c r="G42" s="87"/>
    </row>
    <row r="43" spans="2:7" ht="15.75" thickBot="1">
      <c r="B43" s="105"/>
      <c r="C43" s="106"/>
      <c r="D43" s="106"/>
      <c r="E43" s="106"/>
      <c r="F43" s="106"/>
      <c r="G43" s="8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36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6" t="s">
        <v>13</v>
      </c>
      <c r="C38" s="97"/>
      <c r="D38" s="98" t="s">
        <v>7</v>
      </c>
      <c r="E38" s="99"/>
      <c r="F38" s="100"/>
      <c r="G38" s="24" t="s">
        <v>8</v>
      </c>
    </row>
    <row r="39" spans="2:7">
      <c r="B39" s="101"/>
      <c r="C39" s="102"/>
      <c r="D39" s="102"/>
      <c r="E39" s="102"/>
      <c r="F39" s="102"/>
      <c r="G39" s="86"/>
    </row>
    <row r="40" spans="2:7">
      <c r="B40" s="103"/>
      <c r="C40" s="104"/>
      <c r="D40" s="104"/>
      <c r="E40" s="104"/>
      <c r="F40" s="104"/>
      <c r="G40" s="87"/>
    </row>
    <row r="41" spans="2:7">
      <c r="B41" s="103"/>
      <c r="C41" s="104"/>
      <c r="D41" s="104"/>
      <c r="E41" s="104"/>
      <c r="F41" s="104"/>
      <c r="G41" s="87"/>
    </row>
    <row r="42" spans="2:7">
      <c r="B42" s="103"/>
      <c r="C42" s="104"/>
      <c r="D42" s="104"/>
      <c r="E42" s="104"/>
      <c r="F42" s="104"/>
      <c r="G42" s="87"/>
    </row>
    <row r="43" spans="2:7" ht="15.75" thickBot="1">
      <c r="B43" s="105"/>
      <c r="C43" s="106"/>
      <c r="D43" s="106"/>
      <c r="E43" s="106"/>
      <c r="F43" s="106"/>
      <c r="G43" s="8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89" t="s">
        <v>11</v>
      </c>
      <c r="C3" s="90"/>
      <c r="D3" s="90"/>
      <c r="E3" s="90"/>
      <c r="F3" s="91"/>
      <c r="G3" s="31" t="s">
        <v>12</v>
      </c>
    </row>
    <row r="4" spans="2:7" ht="24" thickBot="1">
      <c r="B4" s="14"/>
      <c r="C4" s="15" t="s">
        <v>37</v>
      </c>
      <c r="D4" s="92" t="str">
        <f>+'Line &amp; frequency'!C1</f>
        <v>CHAINE 4</v>
      </c>
      <c r="E4" s="93"/>
      <c r="F4" s="9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94" t="s">
        <v>0</v>
      </c>
      <c r="F6" s="9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96" t="s">
        <v>13</v>
      </c>
      <c r="C38" s="97"/>
      <c r="D38" s="98" t="s">
        <v>7</v>
      </c>
      <c r="E38" s="99"/>
      <c r="F38" s="100"/>
      <c r="G38" s="24" t="s">
        <v>8</v>
      </c>
    </row>
    <row r="39" spans="2:7">
      <c r="B39" s="101"/>
      <c r="C39" s="102"/>
      <c r="D39" s="102"/>
      <c r="E39" s="102"/>
      <c r="F39" s="102"/>
      <c r="G39" s="86"/>
    </row>
    <row r="40" spans="2:7">
      <c r="B40" s="103"/>
      <c r="C40" s="104"/>
      <c r="D40" s="104"/>
      <c r="E40" s="104"/>
      <c r="F40" s="104"/>
      <c r="G40" s="87"/>
    </row>
    <row r="41" spans="2:7">
      <c r="B41" s="103"/>
      <c r="C41" s="104"/>
      <c r="D41" s="104"/>
      <c r="E41" s="104"/>
      <c r="F41" s="104"/>
      <c r="G41" s="87"/>
    </row>
    <row r="42" spans="2:7">
      <c r="B42" s="103"/>
      <c r="C42" s="104"/>
      <c r="D42" s="104"/>
      <c r="E42" s="104"/>
      <c r="F42" s="104"/>
      <c r="G42" s="87"/>
    </row>
    <row r="43" spans="2:7" ht="15.75" thickBot="1">
      <c r="B43" s="105"/>
      <c r="C43" s="106"/>
      <c r="D43" s="106"/>
      <c r="E43" s="106"/>
      <c r="F43" s="106"/>
      <c r="G43" s="8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13</vt:i4>
      </vt:variant>
    </vt:vector>
  </HeadingPairs>
  <TitlesOfParts>
    <vt:vector size="29" baseType="lpstr">
      <vt:lpstr>Compresseur à air,</vt:lpstr>
      <vt:lpstr>Blomax</vt:lpstr>
      <vt:lpstr>Paramix</vt:lpstr>
      <vt:lpstr>CIP </vt:lpstr>
      <vt:lpstr>Kisters </vt:lpstr>
      <vt:lpstr>Handle applicator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Blomax!Zone_d_impression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'Compresseur à air,'!Zone_d_impression</vt:lpstr>
      <vt:lpstr>'Cvyr Btles'!Zone_d_impression</vt:lpstr>
      <vt:lpstr>'Handle applicator'!Zone_d_impression</vt:lpstr>
      <vt:lpstr>'Kisters 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sidel</cp:lastModifiedBy>
  <cp:lastPrinted>2024-01-31T07:09:28Z</cp:lastPrinted>
  <dcterms:created xsi:type="dcterms:W3CDTF">2021-01-06T16:50:41Z</dcterms:created>
  <dcterms:modified xsi:type="dcterms:W3CDTF">2024-01-31T07:10:18Z</dcterms:modified>
</cp:coreProperties>
</file>