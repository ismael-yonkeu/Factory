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essie.tuete\Desktop\"/>
    </mc:Choice>
  </mc:AlternateContent>
  <xr:revisionPtr revIDLastSave="0" documentId="8_{E6ED1DB8-4785-41F9-85EF-A059487C9C5B}" xr6:coauthVersionLast="47" xr6:coauthVersionMax="47" xr10:uidLastSave="{00000000-0000-0000-0000-000000000000}"/>
  <bookViews>
    <workbookView xWindow="-120" yWindow="-120" windowWidth="29040" windowHeight="15840" tabRatio="873" firstSheet="1" activeTab="18" xr2:uid="{00000000-000D-0000-FFFF-FFFF00000000}"/>
  </bookViews>
  <sheets>
    <sheet name="Convoyeur casiers" sheetId="37" state="hidden" r:id="rId1"/>
    <sheet name="Décaisseuse " sheetId="47" r:id="rId2"/>
    <sheet name="Encaisseuse" sheetId="46" r:id="rId3"/>
    <sheet name="Soutireuse" sheetId="31" r:id="rId4"/>
    <sheet name="Lave-caisses Ancien" sheetId="9" state="hidden" r:id="rId5"/>
    <sheet name="Laveuse - EBI" sheetId="38" state="hidden" r:id="rId6"/>
    <sheet name="Convoyeur bouteilles" sheetId="33" state="hidden" r:id="rId7"/>
    <sheet name="Pasteurisateur" sheetId="7" r:id="rId8"/>
    <sheet name="Crater - Apollo 3" sheetId="40" state="hidden" r:id="rId9"/>
    <sheet name="Apollo 4 - Palletizer" sheetId="42" state="hidden" r:id="rId10"/>
    <sheet name="Etiqueteuse" sheetId="8" r:id="rId11"/>
    <sheet name="Palettiseur" sheetId="11" r:id="rId12"/>
    <sheet name="Dépalettiseur" sheetId="1" r:id="rId13"/>
    <sheet name="Apollo1 - Apollo2" sheetId="45" state="hidden" r:id="rId14"/>
    <sheet name="Apollo2 - Decaisseuse" sheetId="44" state="hidden" r:id="rId15"/>
    <sheet name="Depal - Apollo 1" sheetId="43" state="hidden" r:id="rId16"/>
    <sheet name=" Laveuse L4" sheetId="28" r:id="rId17"/>
    <sheet name="Laveuse L5" sheetId="26" r:id="rId18"/>
    <sheet name="Apollos" sheetId="48" r:id="rId19"/>
    <sheet name="Cvyr Btles" sheetId="12" state="hidden" r:id="rId20"/>
    <sheet name="CC C1" sheetId="13" state="hidden" r:id="rId21"/>
    <sheet name="CC C2" sheetId="15" state="hidden" r:id="rId22"/>
    <sheet name="CC C3" sheetId="16" state="hidden" r:id="rId23"/>
    <sheet name="CC C4" sheetId="17" state="hidden" r:id="rId24"/>
    <sheet name="CC C5" sheetId="18" state="hidden" r:id="rId25"/>
    <sheet name="CC C6" sheetId="19" state="hidden" r:id="rId26"/>
    <sheet name="CC C7" sheetId="20" state="hidden" r:id="rId27"/>
    <sheet name="CC C8" sheetId="21" state="hidden" r:id="rId28"/>
    <sheet name="Line &amp; frequency" sheetId="2" state="hidden" r:id="rId29"/>
    <sheet name="Feuil2" sheetId="32" state="hidden" r:id="rId30"/>
    <sheet name="Feuil1" sheetId="25" state="hidden" r:id="rId31"/>
  </sheets>
  <definedNames>
    <definedName name="_xlnm.Print_Area" localSheetId="16">' Laveuse L4'!$B$3:$G$30</definedName>
    <definedName name="_xlnm.Print_Area" localSheetId="9">'Apollo 4 - Palletizer'!$B$3:$G$22</definedName>
    <definedName name="_xlnm.Print_Area" localSheetId="13">'Apollo1 - Apollo2'!$B$3:$G$22</definedName>
    <definedName name="_xlnm.Print_Area" localSheetId="14">'Apollo2 - Decaisseuse'!$B$3:$G$22</definedName>
    <definedName name="_xlnm.Print_Area" localSheetId="18">Apollos!$B$3:$G$23</definedName>
    <definedName name="_xlnm.Print_Area" localSheetId="20">'CC C1'!$B$3:$G$63</definedName>
    <definedName name="_xlnm.Print_Area" localSheetId="21">'CC C2'!$B$3:$G$63</definedName>
    <definedName name="_xlnm.Print_Area" localSheetId="22">'CC C3'!$B$3:$G$32</definedName>
    <definedName name="_xlnm.Print_Area" localSheetId="23">'CC C4'!$B$3:$G$37</definedName>
    <definedName name="_xlnm.Print_Area" localSheetId="24">'CC C5'!$B$3:$G$37</definedName>
    <definedName name="_xlnm.Print_Area" localSheetId="25">'CC C6'!$B$3:$G$37</definedName>
    <definedName name="_xlnm.Print_Area" localSheetId="26">'CC C7'!$B$3:$G$37</definedName>
    <definedName name="_xlnm.Print_Area" localSheetId="27">'CC C8'!$B$3:$G$37</definedName>
    <definedName name="_xlnm.Print_Area" localSheetId="6">'Convoyeur bouteilles'!$B$3:$G$24</definedName>
    <definedName name="_xlnm.Print_Area" localSheetId="0">'Convoyeur casiers'!$B$3:$G$21</definedName>
    <definedName name="_xlnm.Print_Area" localSheetId="8">'Crater - Apollo 3'!$B$3:$G$22</definedName>
    <definedName name="_xlnm.Print_Area" localSheetId="19">'Cvyr Btles'!$B$3:$G$63</definedName>
    <definedName name="_xlnm.Print_Area" localSheetId="1">'Décaisseuse '!$B$3:$G$25</definedName>
    <definedName name="_xlnm.Print_Area" localSheetId="15">'Depal - Apollo 1'!$B$3:$G$22</definedName>
    <definedName name="_xlnm.Print_Area" localSheetId="12">Dépalettiseur!$B$3:$G$32</definedName>
    <definedName name="_xlnm.Print_Area" localSheetId="2">Encaisseuse!$B$1:$G$27</definedName>
    <definedName name="_xlnm.Print_Area" localSheetId="10">Etiqueteuse!$B$3:$G$33</definedName>
    <definedName name="_xlnm.Print_Area" localSheetId="4">'Lave-caisses Ancien'!$B$3:$G$21</definedName>
    <definedName name="_xlnm.Print_Area" localSheetId="5">'Laveuse - EBI'!$B$3:$G$23</definedName>
    <definedName name="_xlnm.Print_Area" localSheetId="17">'Laveuse L5'!$B$3:$G$39</definedName>
    <definedName name="_xlnm.Print_Area" localSheetId="11">Palettiseur!$B$1:$G$51</definedName>
    <definedName name="_xlnm.Print_Area" localSheetId="7">Pasteurisateur!$B$3:$G$22</definedName>
    <definedName name="_xlnm.Print_Area" localSheetId="3">Soutireuse!$B$3:$G$36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48" l="1"/>
  <c r="B9" i="48"/>
  <c r="B10" i="48" s="1"/>
  <c r="D4" i="28" l="1"/>
  <c r="D4" i="47"/>
  <c r="D4" i="46"/>
  <c r="D4" i="11"/>
  <c r="A35" i="45"/>
  <c r="D4" i="45"/>
  <c r="A35" i="44" l="1"/>
  <c r="D4" i="44"/>
  <c r="A35" i="43" l="1"/>
  <c r="D4" i="43"/>
  <c r="A35" i="42"/>
  <c r="D4" i="42"/>
  <c r="A35" i="40"/>
  <c r="D4" i="40"/>
  <c r="A36" i="38"/>
  <c r="D4" i="38"/>
  <c r="D4" i="37"/>
  <c r="A37" i="33"/>
  <c r="D4" i="33"/>
  <c r="A34" i="37" l="1"/>
  <c r="B9" i="31" l="1"/>
  <c r="B10" i="31" s="1"/>
  <c r="D4" i="31"/>
  <c r="B9" i="26" l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G4" i="26"/>
  <c r="D4" i="26"/>
  <c r="G3" i="26"/>
  <c r="D4" i="25"/>
  <c r="I7" i="25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" i="9"/>
  <c r="G4" i="13" l="1"/>
  <c r="D4" i="13"/>
  <c r="G4" i="12"/>
  <c r="D4" i="12"/>
  <c r="D4" i="9"/>
  <c r="D4" i="8"/>
  <c r="D4" i="7"/>
  <c r="D4" i="1"/>
</calcChain>
</file>

<file path=xl/sharedStrings.xml><?xml version="1.0" encoding="utf-8"?>
<sst xmlns="http://schemas.openxmlformats.org/spreadsheetml/2006/main" count="948" uniqueCount="305">
  <si>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</si>
  <si>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</si>
  <si>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</si>
  <si>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</si>
  <si>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</si>
  <si>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</si>
  <si>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</si>
  <si>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</si>
  <si>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</si>
  <si>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</si>
  <si>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</si>
  <si>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</si>
  <si>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</si>
  <si>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>DEPALETTISEUR</t>
  </si>
  <si>
    <t xml:space="preserve">Commentaire </t>
  </si>
  <si>
    <t>DECAISSEUSE</t>
  </si>
  <si>
    <t>LAVEUSE BOUTEILLES</t>
  </si>
  <si>
    <t>SOUTIREUSE</t>
  </si>
  <si>
    <t>PASTEURISATEUR</t>
  </si>
  <si>
    <t>ETIQUETEUSE</t>
  </si>
  <si>
    <t>LAVE-CAISSES</t>
  </si>
  <si>
    <t>ENCAISSEUSE</t>
  </si>
  <si>
    <t>PALETTISEUR</t>
  </si>
  <si>
    <t>controler l'arret d'huile et le remplacé au besoin. Aucune fuite d'huile n'est acceptable.</t>
  </si>
  <si>
    <t>controler les fuites au niveau des vérins de guidage des grappins A et remedier au problèmes rencontrés.</t>
  </si>
  <si>
    <t>controler les fuites au niveau des flexibles et remplacer ceux qui sont percés.</t>
  </si>
  <si>
    <t>ajuster les guides casiers et se rassurer du passage des casiers à l'interieur du convoyeur interne.</t>
  </si>
  <si>
    <t>controler le fonctionnement du guide bouteilles à l'intérieur des casiers, leur fixation et surtout remedier aux problèmes de fissures rencontrés</t>
  </si>
  <si>
    <t>vérifier la présence des guides bouteilles au dessus du guide frame et remplacer ceux qui sont absents. Tous ces guides doivent etre présents.</t>
  </si>
  <si>
    <t>Contrôler axes branleurs table d'accumulation Infeed et vérifier qu'ils sont bien soudés</t>
  </si>
  <si>
    <t>Contrôler ressorts Infeed et vérifier serrage supports</t>
  </si>
  <si>
    <t>Contrôler ressorts Décharge et vérifier serrage supports</t>
  </si>
  <si>
    <t>Contrôler les 2 courroies de l'Infeed et vérifier serrage accouplement / Contrôler aussi serrage bielle</t>
  </si>
  <si>
    <t>S'assurer que les bains de soude ne sont pas chauffés à plus de 80°C (risque d'endommagement des joints)</t>
  </si>
  <si>
    <t>Vérifier que les joints de tulipes sont encore en bon état</t>
  </si>
  <si>
    <t>Contrôler que les porte-joints de tulipes sont encore intacts</t>
  </si>
  <si>
    <t>Vérifier que les petites bagues de guidage des axes sont en place</t>
  </si>
  <si>
    <t>Vérifier que les axes de guidage des robinets sont droits</t>
  </si>
  <si>
    <t>Contrôler fuite, fixation et usure des cames d'ouverture V005 et VS26</t>
  </si>
  <si>
    <t>Vérifier si tous les boutons de sniftage jouent librement</t>
  </si>
  <si>
    <t>Vérifier si tous les boutons de soupape de sécurité jouent librement</t>
  </si>
  <si>
    <t>Rechercher fuites d'air sur vérin étoile de blocage et les étancher</t>
  </si>
  <si>
    <t>Commander manuellement le vérin de l'étoile de blocage des bouteilles et vérifier si le blocage et le relâchement sont effectifs</t>
  </si>
  <si>
    <t>Contrôler l'usure des encoches de l'étoile de blocage et voir si elle est encore acceptable (blocage ferme)</t>
  </si>
  <si>
    <t>Contrôler l'usure des guides et glissières de guides droits et circulaire de la vis de sélection à la sortie boucheuse</t>
  </si>
  <si>
    <t>S'assurer que la pression d'alimentation des pistons est normale</t>
  </si>
  <si>
    <t>Contrôler que les buses de nettoyage des casses d'explosion fonctionnent bien et qu'elles sont actives</t>
  </si>
  <si>
    <t>S'assurer que toutes les plaques de séparation des robinets de remplissage sont en place</t>
  </si>
  <si>
    <t xml:space="preserve">S'assurer que le souffleur de capsules fonctionne bien et automatiquement </t>
  </si>
  <si>
    <t>Contrôler le module de vibration du retourneur de capsules / Simuler distributeur module</t>
  </si>
  <si>
    <t>Contrôler vannes - CV01 et PV01 prioritaires - raccords, détendeur et manomètres sur la conduite de bière et éliminer toutes les fuites</t>
  </si>
  <si>
    <t>Vérifier le fonctionnement des 10 pompes d'injection</t>
  </si>
  <si>
    <t>Contrôler les flotteurs des différents bains</t>
  </si>
  <si>
    <t>Faire une inpection d'étanchéité de la pompe d'eau chaude</t>
  </si>
  <si>
    <t>Faire une inpection d'étanchéité de la pompe d'eau froide</t>
  </si>
  <si>
    <t>Faire une inspection générale des manomètres de la machine/Vérifier présence huile cadrant</t>
  </si>
  <si>
    <t>S'assurer que la vanne à volant d'arrivée vapeur DN100 s'ouvre et se ferme normalement</t>
  </si>
  <si>
    <t>Faire une inspection générale du circuit vapeur et éliminer les fuites éventuelles / Contrôler aussi purgeurs</t>
  </si>
  <si>
    <t>Contrôler et ajuster la position des tôles de transfert externes à l'entrée et à la sortie</t>
  </si>
  <si>
    <t>Contrôler et ajuster la position des tôles de transfert internes à l'entrée et à la sortie</t>
  </si>
  <si>
    <t>Contrôler, ajuster et réparer guides et glissières bouteilles entrée et sortie pasteurisateur</t>
  </si>
  <si>
    <t>Contrôler portières de sécurité et fenêtres d'inspection de la machine</t>
  </si>
  <si>
    <t>Contrôler usure des sellettes et les remplacer au besoin</t>
  </si>
  <si>
    <t>Contrôler les colliers à ergot de fixation des têtes de pression</t>
  </si>
  <si>
    <t>S'assurer de la présence des embouts de protection au bout des têtes de pression</t>
  </si>
  <si>
    <t>Contrôler galets coniques et cylindriques étoile de sortie et remplacer si défectueux</t>
  </si>
  <si>
    <t>Contrôler et renforcer fixation des glissières du guide central</t>
  </si>
  <si>
    <t>Contrôler et ajuster l'alignement de la tôle de transfert avec les sellettes à l'entrée et à la sortie</t>
  </si>
  <si>
    <t>Contrôler boulons de fixation des tôles de transfert à l'entrée et à la sortie</t>
  </si>
  <si>
    <t>Contrôler usure vis de sélection et la remplacer si usée</t>
  </si>
  <si>
    <t>S'assurer de l'absence de jeu au niveau du manchon de la vis de sélection</t>
  </si>
  <si>
    <t>S'assurer du bon serrage de la vis de fixation du manchon de la vis de sélection</t>
  </si>
  <si>
    <t>Ajuster la position des pignons coniques du renvoi d'angle et serrer les vis de blocage en translation</t>
  </si>
  <si>
    <t xml:space="preserve">Inspecter courroie de transmission principale et nettoyer casses présentes sur le poulie et la couronne </t>
  </si>
  <si>
    <t>Vérifier tension de la courroie de transmission principale</t>
  </si>
  <si>
    <t>Contrôler état et tension courroies trapézoïdales de lissage des stagnoles à la sortie</t>
  </si>
  <si>
    <t>Inspecter et ajuster couteau avec brosses rondes</t>
  </si>
  <si>
    <t>Inspecter brosses rondes et ajuster leur position pour rattraper leur usure</t>
  </si>
  <si>
    <t>Se rassurer que le dispositif de lubrification à l'eau des brosses rondes fonctionne normalement</t>
  </si>
  <si>
    <t xml:space="preserve">Contrôler usure étoile d'entrée  </t>
  </si>
  <si>
    <t>Contrôler le serrage des entretoises des étoiles d'entrée et de sortie</t>
  </si>
  <si>
    <t>Contrôler ressort de rappel des pistons et leur raideur</t>
  </si>
  <si>
    <t xml:space="preserve">Vérifier le serrage et la position des supports de brosses </t>
  </si>
  <si>
    <t xml:space="preserve">S'assurer que l'injection d'eau d'arrosage est fonctionnelle sur les brosses de lissage </t>
  </si>
  <si>
    <t>Couper, nettoyer, inspecter et réparer chaine à palettes qui traverse la machine</t>
  </si>
  <si>
    <t>Contrôler étanchéité et serrage sur support du réducteur du convoyeur à chaine à palettes qui traverse la machine</t>
  </si>
  <si>
    <t xml:space="preserve">Contrôler état et ajuster position glissières guides à l'entrée de la machine </t>
  </si>
  <si>
    <t>Contrôler ressorts commandes de came et les remplacer au besoin sur tambour étiquettes</t>
  </si>
  <si>
    <t>Contrôler usure coussinet en bronze des axes de commande et remplacer au besoin sur tambour étiquettes</t>
  </si>
  <si>
    <t>Contrôler le jeu entre cames et axe support sur tambour étiquettes</t>
  </si>
  <si>
    <t>Contrôler les galets sur tambour stagnoles/collerettes et les remplacer si usés</t>
  </si>
  <si>
    <t>Contrôler ressorts commandes de came et les remplacer au besoin sur tambour stagnoles/collerettes</t>
  </si>
  <si>
    <t>Contrôler usure coussinet en bronze des axes de commande et remplacer au besoin sur tambour stagnoles/collerettes</t>
  </si>
  <si>
    <t>Contrôler le jeu entre cames et axe support sur tambour stagnoles/collerettes</t>
  </si>
  <si>
    <t>Contrôler barres de supports de griffes, redresser et/ou remplacer  sur tous les tambours de la station 1</t>
  </si>
  <si>
    <t>Redresser les griffes et ajuster leurs postion par rapport aux barres supports sur tous les tambours de la station 1</t>
  </si>
  <si>
    <t>Contrôler les éponges du cylindre de transfert et remplacer si nécessaire et/ou recoller sur tous les tambours de la station 1</t>
  </si>
  <si>
    <t>S'assurer que l'injection d'eau d'arrosage est fonctionnelle sur la brosse des éponges du cylindre de transfert sur les tambours de la station 1</t>
  </si>
  <si>
    <t>Contrôler les ressorts de rappel dispositif de pose si stagnole et remplacer si nécessaire  sur les tambours de la station 1</t>
  </si>
  <si>
    <t>S'assurer que la rotation du rouleau encoleur s'effectue sans battement sur la station 1</t>
  </si>
  <si>
    <t xml:space="preserve">S'assurer du bon état de l'élément d'entrainement en rotation du rouleau encoleur (clavette,rainure, etc.) station 1 </t>
  </si>
  <si>
    <t>Ajuster la position des racleurs étiquettes et stagnoles à l'aide des tambours de réglage station 1</t>
  </si>
  <si>
    <t xml:space="preserve">Vérifier que les raccords et flexibles de la pompe à colle de la station 1 ne fuient pas et sont bien serrés  </t>
  </si>
  <si>
    <t>Contrôler que le caroussel à segments tourne sans battements station 1</t>
  </si>
  <si>
    <t xml:space="preserve">Contrôler le revêtement en caoutchouc des segments station 1 et le renforcer si début de décollement </t>
  </si>
  <si>
    <t>Contrôler degré d'usure des segments station 1 et remplacer si nécessaire</t>
  </si>
  <si>
    <t>Contrôler le serrage des segments de la station 1 sur leurs axes et ajuster au besoin</t>
  </si>
  <si>
    <t>Ajuster la position des griffes des magasins à étiquettes et stagnoles de la station 1</t>
  </si>
  <si>
    <t>Contrôler état et raideur des ressorts des griffes des tambours de la station 1</t>
  </si>
  <si>
    <t>Contrôler la corde des poussoirs à étiquettes/stagnoles station 1, tendre et/ou remplacer au besoin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</si>
  <si>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</si>
  <si>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</si>
  <si>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</si>
  <si>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</si>
  <si>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</si>
  <si>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</si>
  <si>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</si>
  <si>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</si>
  <si>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</si>
  <si>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</si>
  <si>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</si>
  <si>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</si>
  <si>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</si>
  <si>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</si>
  <si>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</si>
  <si>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</si>
  <si>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</si>
  <si>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</si>
  <si>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</si>
  <si>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</si>
  <si>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Prélever un échantillon des huiles des blocs d'agrégat et de la table et s'assurer qu'elles ne sont pas mélangées à de l'eau</t>
  </si>
  <si>
    <t>Vérifier systématiquement les roulements de la décharge</t>
  </si>
  <si>
    <t xml:space="preserve"> </t>
  </si>
  <si>
    <t>Contrôler le support du moto-réducteur et s'assurer qu'il n'est pas fissuré</t>
  </si>
  <si>
    <t xml:space="preserve">Heure début:………………………………………………        Heure fin : ………………………………………                                     </t>
  </si>
  <si>
    <t>TACHES</t>
  </si>
  <si>
    <t>DUREE</t>
  </si>
  <si>
    <t>Controler les brides de serrage et remplacer au besoin</t>
  </si>
  <si>
    <t xml:space="preserve">Controler la fixation de la tige (haut et bas) et bien serrer au besoin. </t>
  </si>
  <si>
    <t>Controler la fixation de la courroie sur le chariot et ameliorer sa fixation si necessaire.</t>
  </si>
  <si>
    <t>Controler l'etanchéité du disributeur et le remplacer au besoin. Aucune fuite n'est acceptable</t>
  </si>
  <si>
    <t xml:space="preserve">Controler la pression d'air sur le pressostat du bloc regualteur </t>
  </si>
  <si>
    <t>Controler l'état du raccord à la sortie</t>
  </si>
  <si>
    <t>Controler l'usure de la courroie</t>
  </si>
  <si>
    <t xml:space="preserve">Controler la fixation de la courroie </t>
  </si>
  <si>
    <t>Controler la tension de la courroie</t>
  </si>
  <si>
    <t>Controler les fuites sur les élements pneumatiques de la trasverse</t>
  </si>
  <si>
    <t>Controler l'état des rouleaux de guidage de la traverse</t>
  </si>
  <si>
    <t>Controler l'état des roulements et paliers</t>
  </si>
  <si>
    <t>Controler l'état du rouleau entrainant la courroie lisse</t>
  </si>
  <si>
    <t>Controler l'état de la courroie lisse</t>
  </si>
  <si>
    <t>Controler l'état des coulisseaux</t>
  </si>
  <si>
    <t>Controler l'usure de la courroie et la remplacée au besoin</t>
  </si>
  <si>
    <t>Controler les fuites sur le vérin</t>
  </si>
  <si>
    <t>Controler la fixation du vérin</t>
  </si>
  <si>
    <t>Controler état des silencieux</t>
  </si>
  <si>
    <t>Controler l'usure de la tole de transfert</t>
  </si>
  <si>
    <t>Controler l'ajustement des pallets sur le convoyeur à pallets et le reglé au besoin</t>
  </si>
  <si>
    <t>Controler les fuites sur le vérin, sa fixation et le réglage de la plaque de blocage des pallets</t>
  </si>
  <si>
    <t xml:space="preserve">Controler les éléments (Régulateur, silencieux, raccords ) sur le bloc regulateur d'air  </t>
  </si>
  <si>
    <t>Controler les éléments de guidage en translation verticale et horizontale de la traverse et remedier si necessaire.</t>
  </si>
  <si>
    <t>Verifer le petit rouleau d'entrainement de la courroire lissie 50F2-0,9-M du frame S030 et remplacer le au besoin</t>
  </si>
  <si>
    <t xml:space="preserve">Controler le guidage en translation du poussoir et remedier au beoin. </t>
  </si>
  <si>
    <t>Controler le fonctionnement de la barre de stabilisation des casiers et reparer le clamp element au besoin</t>
  </si>
  <si>
    <t>Verifier l'usure, l'alignement et le serrage des doigts du frame S030 par rapport aux casiers et les regler si necessaire</t>
  </si>
  <si>
    <t xml:space="preserve">Controler le guidage en translation du bloqueur de casiers et remedier au besoin. </t>
  </si>
  <si>
    <t xml:space="preserve">Controler le fonctionnement du vérin du bloqueur de casiers et remplacer au besoin. </t>
  </si>
  <si>
    <t>Controler l'ajustement des palettes sur le convoyeur à palettes et regler les guides au besoin</t>
  </si>
  <si>
    <t>Controler les vérins de cintrage ( caoutchouch, torsion de la tige…) et remedier aux problèmes rencontrés.</t>
  </si>
  <si>
    <t>Controler les fuites sur les éléments pneumatiques du grappin, silencieux du système de cintrage et les remediés au besoin. Aucune fuite sur le grappin n'est permise.</t>
  </si>
  <si>
    <t xml:space="preserve"> Controler la lubrification effective de la chaine de transmission et lubrifier au besoin</t>
  </si>
  <si>
    <t xml:space="preserve"> Controler l'horizontalité des tiges et les redresser au besoin</t>
  </si>
  <si>
    <t xml:space="preserve"> Vérifier la fixation des tiges sur les maillons de chaines </t>
  </si>
  <si>
    <t xml:space="preserve"> Controler les fuites sur les raccords les remediées au besoin</t>
  </si>
  <si>
    <t xml:space="preserve">Contrler les fuites sur les vérins de blocage, controler leur fixation </t>
  </si>
  <si>
    <t>Contrôler l'usure de la courroie de transmission et remplacer si necessaire.</t>
  </si>
  <si>
    <t xml:space="preserve">Controler la torsion des crochets, les redressés si elles sont tordues ou les remplacés au besoin </t>
  </si>
  <si>
    <t xml:space="preserve">Controler la fixation des doigts sur leur axe et les seré au besoin </t>
  </si>
  <si>
    <t>Controler l'usure sur les galets en plastique et remplacer au besoin.</t>
  </si>
  <si>
    <t xml:space="preserve">Controler la verticalité des tiges de guidage du grappin, les redressées au besoin </t>
  </si>
  <si>
    <t>Controler la fixation et la verticalité des guides circulaires, bien fixées au besoin.</t>
  </si>
  <si>
    <t>Controler le fonctionnement des vérins du cadre de centrage et remedier au problème si possible</t>
  </si>
  <si>
    <t>Controler l'état des plaques de fixation des vérins de cintrage et les faire fabriqués au besoin.</t>
  </si>
  <si>
    <t xml:space="preserve">Controler les fuites sur les éléments pneumatiques du grappin et les remediés au besoin </t>
  </si>
  <si>
    <t>Controler les fuites au niveau des raccords d'air et les remplacés au besoin</t>
  </si>
  <si>
    <t>Inspecter la languette de sécurité de l'Infeed et remplacer si fissures observables et/ou affaiblissement</t>
  </si>
  <si>
    <t xml:space="preserve">Contrôler état et ajuster position glissières guides à la sortie de la machine </t>
  </si>
  <si>
    <t>Controler l'état des courroies et remplacer au besoin.</t>
  </si>
  <si>
    <t>Controler les fuites sur le vérin, sa fixation  remedier aux problèmes rencontrés.</t>
  </si>
  <si>
    <t>Controler fuites sur raccords y remédier au besoin</t>
  </si>
  <si>
    <t>Controler présence palettes sur tout le long du convoyeur et remplacer les palettes manquantes</t>
  </si>
  <si>
    <t xml:space="preserve">Controler la hauteur des rouleaux et ajuster les au besoin. </t>
  </si>
  <si>
    <t>Vérifier le bon état des capteurs et controler le serrage des leurs supports de fixation</t>
  </si>
  <si>
    <t>Journalier</t>
  </si>
  <si>
    <t>A</t>
  </si>
  <si>
    <t>Vérifier l'état des paliers et roulements</t>
  </si>
  <si>
    <t>Vérifier l'état des chaines et leurs longueurs</t>
  </si>
  <si>
    <t>Vérifier les rouleaux tendeurs guide chaine</t>
  </si>
  <si>
    <t>Vérifier l'etat des guides bouteilles</t>
  </si>
  <si>
    <t>Vérifier le fonctionnement des buses de lubrification</t>
  </si>
  <si>
    <t xml:space="preserve">Vérifier l'état des pieds des convoyeurs </t>
  </si>
  <si>
    <t xml:space="preserve">Vérifier l'état des gouttieres </t>
  </si>
  <si>
    <t>JOUNALIERE</t>
  </si>
  <si>
    <t>CONVOYEUR CASIERS</t>
  </si>
  <si>
    <t>CONVOYEUR BOUTEILLES</t>
  </si>
  <si>
    <t>Vérifier l'etat des guides casiers en teflon noir</t>
  </si>
  <si>
    <t>Vérifier l'etat des supports de guide casiers dessere ou tordu</t>
  </si>
  <si>
    <t>.</t>
  </si>
  <si>
    <t>Nettoyer le corps de la machine</t>
  </si>
  <si>
    <t xml:space="preserve">CHECKLIST PROCESS TECHNICIAN  </t>
  </si>
  <si>
    <t>Date:</t>
  </si>
  <si>
    <t xml:space="preserve">Date: </t>
  </si>
  <si>
    <t>Journalière</t>
  </si>
  <si>
    <t xml:space="preserve">CHECKLIST PROCESS TECHNICIAN </t>
  </si>
  <si>
    <t>Contrôler la valeur des couples dans les différents bains</t>
  </si>
  <si>
    <t>Contrôler les doigts de l'entrée et la sortie laveuse</t>
  </si>
  <si>
    <t>Contrôler les fuites des injecteurs dans les differents bains</t>
  </si>
  <si>
    <t>Contrôler l'état des tamis dans les différents tambours</t>
  </si>
  <si>
    <t>Tester l'introduction des bouteilles à l'infeed et leur dépôt à la décharge</t>
  </si>
  <si>
    <t>Contrôler le fonctionnement des branleurs et se rassurer qu'ils guident les bouteilles à l'interieur des couloir.</t>
  </si>
  <si>
    <t>Contrôler le passage des bouteilles dans les couloirs bouteilles et ajuster au besoin. Aucun blocage n'est admissible.</t>
  </si>
  <si>
    <t>Vérifier la présence des guides bouteilles au dessus du guide frame et remplacer ceux qui sont absents. Tous ces guides doivent etre présents.</t>
  </si>
  <si>
    <t>Ajuster les guides casiers et se rassurer du passage des casiers à l'interieur du convoyeur interne.</t>
  </si>
  <si>
    <t>Contrôler les fuites sur le vérin e blocage et ses raccords puis remedier aux problèmes.</t>
  </si>
  <si>
    <t>Contrôler les fuites au niveau des flexibles et remplacer ceux qui sont percés.</t>
  </si>
  <si>
    <t>Contrôler l'arret d'huile et le remplacer au besoin. Aucune fuite d'huile n'est acceptable.</t>
  </si>
  <si>
    <t>Inspecter les glissières et retourneurs de chaine convoyeur interne</t>
  </si>
  <si>
    <t>Contrôler les renvoies chaines et remplacer ceux qui sont endommagés.</t>
  </si>
  <si>
    <t>Contrôler la fermeture des couvercles et ajuster au besoin. Aucune fuite n'est permise</t>
  </si>
  <si>
    <t>Contrôler la présence des regards des bains, vérifier qu'ils sont bien fixés et remedier aux problèmes.</t>
  </si>
  <si>
    <t>Déboucher la tuyauterie en dessous de la machine</t>
  </si>
  <si>
    <t xml:space="preserve">Contrôler la fixation du réducteur du convoyeur interne sur son support </t>
  </si>
  <si>
    <t>Contrôler le retourneurs de casier à l'entrée et à la sortie</t>
  </si>
  <si>
    <t>JOURNALIERE</t>
  </si>
  <si>
    <t>Contrôler l'état des TAPIS de la zone</t>
  </si>
  <si>
    <t>Vérifier l'etat des supports de guide bouteilles déssere ou terdu</t>
  </si>
  <si>
    <t xml:space="preserve">ZONE:                                   </t>
  </si>
  <si>
    <t>Verifier tous les roulements de l'infeed</t>
  </si>
  <si>
    <t>Contrôler l'état des rouleaux de transfert du distributeur casiers et la fixation des supports de rouleaux</t>
  </si>
  <si>
    <t>Contrôler la quantité d'huile dans les bocaux du distributeur</t>
  </si>
  <si>
    <t>Contrôler la qualité de guidage des casiers à l'entré et sortie distributeur</t>
  </si>
  <si>
    <t>Contrôler l'état du tapis de virage vert entré distributeur</t>
  </si>
  <si>
    <t>NB: Lorsques vous faites une remarque, précisez exactement la zone du convoyeur correspondante</t>
  </si>
  <si>
    <t>Crater - Apollo 3</t>
  </si>
  <si>
    <t>Apollo 4 - Palletizer</t>
  </si>
  <si>
    <t>NB: Renseigner la checklist du convoyeur casier au verso</t>
  </si>
  <si>
    <t>Depal - Apollo 1</t>
  </si>
  <si>
    <t xml:space="preserve"> Apollo 2 - Decaisseuse</t>
  </si>
  <si>
    <t xml:space="preserve"> Apollo 1 - Apollo 2</t>
  </si>
  <si>
    <t>Inspecter toutes les glaces de la laveuse et s'assurer qu'elles sont en bon état et bien ajuster</t>
  </si>
  <si>
    <t>Contrôler les tubes de niveau de soude des bains et les réparés</t>
  </si>
  <si>
    <t xml:space="preserve">Inspecter les rampes de la machine et remplacer les vis casées </t>
  </si>
  <si>
    <t xml:space="preserve"> Laveuse - EBI </t>
  </si>
  <si>
    <t>LABELLER - PACKER</t>
  </si>
  <si>
    <t xml:space="preserve">Contrôler toutes les vis de serrage des têtes de bouchages </t>
  </si>
  <si>
    <t xml:space="preserve">Contrôler toutes les vis de serrage du guide goulot sortie boucheuse </t>
  </si>
  <si>
    <t>Nettoyer le capteur SONIC du LBI (se faire assister du specialiste au besoin)</t>
  </si>
  <si>
    <t>Après avoir fait une inspection générale des fuites d'air et eliminer les fuites éventuelles</t>
  </si>
  <si>
    <t>Faire une inspection générale des fuites d'air et eliminer les fuites éventuelles</t>
  </si>
  <si>
    <t>Controler la fixation et le reglage des guides de la table</t>
  </si>
  <si>
    <t>CHAINE…..</t>
  </si>
  <si>
    <t>Controler l'allongement de la courroie de la vis de sélection</t>
  </si>
  <si>
    <t>Contrôler la pression d'air sur le chariot</t>
  </si>
  <si>
    <t>Contrôler le niveau de graisse à la station de graissage</t>
  </si>
  <si>
    <t>Contrôler les fuites au niveau des raccords M6 filetée à 1/4 et flexibles et remedier aux problèmes rencontrés.</t>
  </si>
  <si>
    <t>Contrôler les fuites au niveau des membranes</t>
  </si>
  <si>
    <t>Contrôler l'état des chaines, glissières, pignons et lubrification du convoyeur interne</t>
  </si>
  <si>
    <t>Après avoir fait une inspection généale des fuites d'air et éliminer les fuites éventuelles</t>
  </si>
  <si>
    <r>
      <t xml:space="preserve">controler la pression d'air sur le chariot                                                                                                                        </t>
    </r>
    <r>
      <rPr>
        <b/>
        <sz val="16"/>
        <color theme="1"/>
        <rFont val="Arial"/>
        <family val="2"/>
      </rPr>
      <t>N,B: Elle doit etre au max de 2,5 bar</t>
    </r>
  </si>
  <si>
    <t>controler les fuites au niveau des raccords M4 filetée à 1/4 et flexibles et remedier aux problèmes rencontrés.</t>
  </si>
  <si>
    <t>Contrôle l'etat des chaines,glissieres, pigons et lubrification du convoyeur interne</t>
  </si>
  <si>
    <t>Controler les fuites au niveau des membranes</t>
  </si>
  <si>
    <t>Contrôler les ressorts du cylindre à étiquette</t>
  </si>
  <si>
    <t>Contrôler les ressorts du cylindre à stagnole</t>
  </si>
  <si>
    <t xml:space="preserve">Contrôler la vis de fixation des tiges porte tulipes  </t>
  </si>
  <si>
    <t xml:space="preserve">Relevez le compteur fin de quart de la machine          </t>
  </si>
  <si>
    <t xml:space="preserve">  …......................... </t>
  </si>
  <si>
    <t>Contrôler et appoint d'huile des pistons (Type d'huile 68 si le niveau est bas)</t>
  </si>
  <si>
    <t>Tester les éléments de remplissage (Cames ouverture/Mise à vide/Fermeture/Décompression, etc.)</t>
  </si>
  <si>
    <t>CHAINE 4</t>
  </si>
  <si>
    <t>Vérifier la pression d'eau des injecteurs des différents bains (1 bar mini)</t>
  </si>
  <si>
    <t>Contrôler la pression d'air du vérin de sécurité de l'infeed et de la décharge (Pmax 1,5 bar pour l'infeed et 2 bar pour la décharge)</t>
  </si>
  <si>
    <t>Contrôler le serrage du système de securité de l'infeed (fixation du vérin)</t>
  </si>
  <si>
    <t>Contrôler le serrage du système de securité de la décharge (fixation du vérin)</t>
  </si>
  <si>
    <t>Vérifier la température des bains(T &lt; 80°C)</t>
  </si>
  <si>
    <t>Vérifier les différents taux de concentration de soude dans les bains</t>
  </si>
  <si>
    <t>Contrôler et nettoyer les filtres de prétrempage et de soude</t>
  </si>
  <si>
    <t xml:space="preserve">Inspecters les extracteurs </t>
  </si>
  <si>
    <t>Verifier visuellement tous les injecteurs de la laveuse</t>
  </si>
  <si>
    <t xml:space="preserve">Contrôler la présence des galets sur les étoiles des injecteurs </t>
  </si>
  <si>
    <t>Contrôler l'état des roulements et paliers sur la machine</t>
  </si>
  <si>
    <t xml:space="preserve">Contrôler les fuites d'huile sur les moto-réducteurs </t>
  </si>
  <si>
    <t>Contrôler le niveau d'eau dans les bains de soude(petit tube de niveau)</t>
  </si>
  <si>
    <t xml:space="preserve">Contrôler et nettoyer tous les filtres présents aux bains de rincage </t>
  </si>
  <si>
    <t>Maintenir l'etat de propreté sur la machine(enlever tous les objets trainants)</t>
  </si>
  <si>
    <t>Controler l'etat des doigts de chargements et de dechargements</t>
  </si>
  <si>
    <t>Vérifier la valeur des couples moteur de traction: couple &lt;80%</t>
  </si>
  <si>
    <t xml:space="preserve">Rapporter toutes les anomalies sur la zone de commentaire et se rassurer que les convoyeurs tournent avec une bonne fluidité </t>
  </si>
  <si>
    <t xml:space="preserve">Cotrôler l'élongation de la chaine et observer le mouvement du tendeur et puis ajuster et corriger si mauvais fonctionnement </t>
  </si>
  <si>
    <t>Contrôler la presence des objets (fonds de casiers, bouteilles…) et enlever s'il ya presence</t>
  </si>
  <si>
    <t>Nettoyer les motoréducteurs et sectionneurs Et observer s'il y a présence de bruit anormal sur le moteur</t>
  </si>
  <si>
    <t>Inspection 3</t>
  </si>
  <si>
    <t>Inspection 2</t>
  </si>
  <si>
    <t>Inspection 1</t>
  </si>
  <si>
    <t xml:space="preserve">APOLLO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</si>
</sst>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b/>
      <sz val="20"/>
      <color theme="1"/>
      <name val="Arial"/>
      <family val="2"/>
    </font>
    <font>
      <sz val="20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name val="Arial"/>
      <family val="2"/>
    </font>
    <font>
      <sz val="14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6" fillId="0" borderId="0"/>
  </cellStyleXfs>
  <cellXfs count="163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2" borderId="5" xfId="0" applyNumberFormat="1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Alignment="1">
      <alignment vertical="center"/>
    </xf>
    <xf numFmtId="0" fontId="19" fillId="2" borderId="14" xfId="0" applyFont="1" applyFill="1" applyBorder="1" applyAlignment="1">
      <alignment horizontal="left" vertical="center" wrapText="1"/>
    </xf>
    <xf numFmtId="0" fontId="20" fillId="2" borderId="28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11" fillId="7" borderId="14" xfId="0" applyFont="1" applyFill="1" applyBorder="1" applyAlignment="1">
      <alignment horizontal="left" vertical="center" wrapText="1"/>
    </xf>
    <xf numFmtId="0" fontId="7" fillId="7" borderId="28" xfId="0" applyFont="1" applyFill="1" applyBorder="1" applyAlignment="1" applyProtection="1">
      <alignment horizontal="center" vertical="center"/>
      <protection hidden="1"/>
    </xf>
    <xf numFmtId="0" fontId="11" fillId="8" borderId="13" xfId="0" applyFont="1" applyFill="1" applyBorder="1" applyAlignment="1">
      <alignment horizontal="left" vertical="center" wrapText="1"/>
    </xf>
    <xf numFmtId="0" fontId="7" fillId="8" borderId="28" xfId="0" applyFont="1" applyFill="1" applyBorder="1" applyAlignment="1" applyProtection="1">
      <alignment horizontal="center" vertical="center"/>
      <protection hidden="1"/>
    </xf>
    <xf numFmtId="0" fontId="11" fillId="8" borderId="14" xfId="0" applyFont="1" applyFill="1" applyBorder="1" applyAlignment="1">
      <alignment horizontal="left" vertical="center" wrapText="1"/>
    </xf>
    <xf numFmtId="0" fontId="21" fillId="2" borderId="28" xfId="0" applyFont="1" applyFill="1" applyBorder="1" applyAlignment="1" applyProtection="1">
      <alignment horizontal="center" vertical="center"/>
      <protection hidden="1"/>
    </xf>
    <xf numFmtId="0" fontId="22" fillId="2" borderId="14" xfId="0" applyFont="1" applyFill="1" applyBorder="1" applyAlignment="1">
      <alignment horizontal="left" vertical="center" wrapText="1"/>
    </xf>
    <xf numFmtId="0" fontId="23" fillId="2" borderId="28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164" fontId="17" fillId="2" borderId="5" xfId="0" applyNumberFormat="1" applyFont="1" applyFill="1" applyBorder="1" applyAlignment="1" applyProtection="1">
      <alignment horizontal="left" vertical="center"/>
      <protection locked="0"/>
    </xf>
    <xf numFmtId="0" fontId="8" fillId="2" borderId="28" xfId="0" applyFont="1" applyFill="1" applyBorder="1" applyAlignment="1" applyProtection="1">
      <alignment horizontal="center" vertical="center"/>
      <protection hidden="1"/>
    </xf>
    <xf numFmtId="164" fontId="17" fillId="2" borderId="5" xfId="0" applyNumberFormat="1" applyFont="1" applyFill="1" applyBorder="1" applyAlignment="1" applyProtection="1">
      <alignment vertical="center"/>
      <protection locked="0"/>
    </xf>
    <xf numFmtId="0" fontId="24" fillId="2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left" wrapText="1"/>
      <protection locked="0"/>
    </xf>
    <xf numFmtId="0" fontId="25" fillId="2" borderId="0" xfId="0" applyFont="1" applyFill="1" applyAlignment="1" applyProtection="1">
      <alignment horizontal="center" vertical="center" wrapText="1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left"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5" fillId="3" borderId="10" xfId="0" applyFont="1" applyFill="1" applyBorder="1" applyAlignment="1" applyProtection="1">
      <alignment horizontal="center" vertical="center"/>
      <protection locked="0"/>
    </xf>
    <xf numFmtId="0" fontId="15" fillId="3" borderId="6" xfId="0" applyFont="1" applyFill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 wrapText="1"/>
      <protection locked="0"/>
    </xf>
    <xf numFmtId="0" fontId="25" fillId="2" borderId="13" xfId="0" applyFont="1" applyFill="1" applyBorder="1" applyAlignment="1" applyProtection="1">
      <alignment horizontal="center" vertical="center"/>
      <protection locked="0"/>
    </xf>
    <xf numFmtId="0" fontId="8" fillId="2" borderId="32" xfId="0" applyFont="1" applyFill="1" applyBorder="1" applyProtection="1">
      <protection locked="0"/>
    </xf>
    <xf numFmtId="0" fontId="8" fillId="2" borderId="30" xfId="0" applyFont="1" applyFill="1" applyBorder="1" applyAlignment="1" applyProtection="1">
      <alignment vertical="center"/>
      <protection locked="0"/>
    </xf>
    <xf numFmtId="0" fontId="8" fillId="2" borderId="33" xfId="0" applyFont="1" applyFill="1" applyBorder="1" applyAlignment="1" applyProtection="1">
      <alignment horizontal="left" vertical="center"/>
      <protection locked="0"/>
    </xf>
    <xf numFmtId="0" fontId="25" fillId="2" borderId="14" xfId="0" applyFont="1" applyFill="1" applyBorder="1" applyAlignment="1" applyProtection="1">
      <alignment horizontal="center" vertical="center"/>
      <protection hidden="1"/>
    </xf>
    <xf numFmtId="0" fontId="25" fillId="2" borderId="14" xfId="0" applyFont="1" applyFill="1" applyBorder="1" applyAlignment="1" applyProtection="1">
      <alignment horizontal="center" vertical="center"/>
      <protection locked="0"/>
    </xf>
    <xf numFmtId="0" fontId="8" fillId="2" borderId="20" xfId="0" applyFont="1" applyFill="1" applyBorder="1" applyAlignment="1" applyProtection="1">
      <alignment horizontal="center" vertical="center"/>
      <protection hidden="1"/>
    </xf>
    <xf numFmtId="164" fontId="15" fillId="2" borderId="5" xfId="0" applyNumberFormat="1" applyFont="1" applyFill="1" applyBorder="1" applyAlignment="1" applyProtection="1">
      <alignment horizontal="left" vertical="center"/>
      <protection locked="0"/>
    </xf>
    <xf numFmtId="0" fontId="25" fillId="2" borderId="6" xfId="0" applyFont="1" applyFill="1" applyBorder="1" applyAlignment="1" applyProtection="1">
      <alignment vertical="center"/>
      <protection locked="0"/>
    </xf>
    <xf numFmtId="0" fontId="15" fillId="2" borderId="7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25" fillId="2" borderId="0" xfId="0" applyFont="1" applyFill="1" applyAlignment="1" applyProtection="1">
      <alignment horizontal="center" vertical="center"/>
      <protection locked="0"/>
    </xf>
    <xf numFmtId="0" fontId="25" fillId="2" borderId="36" xfId="0" applyFont="1" applyFill="1" applyBorder="1" applyAlignment="1" applyProtection="1">
      <alignment vertical="center"/>
      <protection locked="0"/>
    </xf>
    <xf numFmtId="0" fontId="25" fillId="2" borderId="46" xfId="0" applyFont="1" applyFill="1" applyBorder="1" applyAlignment="1" applyProtection="1">
      <alignment vertical="center"/>
      <protection locked="0"/>
    </xf>
    <xf numFmtId="0" fontId="25" fillId="2" borderId="40" xfId="0" applyFont="1" applyFill="1" applyBorder="1" applyAlignment="1" applyProtection="1">
      <alignment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" fillId="2" borderId="49" xfId="0" applyFont="1" applyFill="1" applyBorder="1" applyProtection="1">
      <protection locked="0"/>
    </xf>
    <xf numFmtId="0" fontId="1" fillId="2" borderId="42" xfId="0" applyFont="1" applyFill="1" applyBorder="1" applyProtection="1">
      <protection locked="0"/>
    </xf>
    <xf numFmtId="0" fontId="1" fillId="2" borderId="48" xfId="0" applyFont="1" applyFill="1" applyBorder="1" applyProtection="1">
      <protection locked="0"/>
    </xf>
    <xf numFmtId="0" fontId="1" fillId="2" borderId="44" xfId="0" applyFont="1" applyFill="1" applyBorder="1" applyProtection="1"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12" fillId="3" borderId="31" xfId="0" applyFont="1" applyFill="1" applyBorder="1" applyAlignment="1" applyProtection="1">
      <alignment horizontal="center" vertical="center"/>
      <protection locked="0"/>
    </xf>
    <xf numFmtId="0" fontId="12" fillId="3" borderId="25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41" xfId="0" applyFont="1" applyFill="1" applyBorder="1" applyAlignment="1" applyProtection="1">
      <alignment horizontal="center"/>
      <protection locked="0"/>
    </xf>
    <xf numFmtId="0" fontId="1" fillId="2" borderId="42" xfId="0" applyFont="1" applyFill="1" applyBorder="1" applyAlignment="1" applyProtection="1">
      <alignment horizontal="center"/>
      <protection locked="0"/>
    </xf>
    <xf numFmtId="0" fontId="1" fillId="2" borderId="43" xfId="0" applyFont="1" applyFill="1" applyBorder="1" applyAlignment="1" applyProtection="1">
      <alignment horizontal="center"/>
      <protection locked="0"/>
    </xf>
    <xf numFmtId="0" fontId="1" fillId="2" borderId="44" xfId="0" applyFont="1" applyFill="1" applyBorder="1" applyAlignment="1" applyProtection="1">
      <alignment horizontal="center"/>
      <protection locked="0"/>
    </xf>
    <xf numFmtId="0" fontId="1" fillId="2" borderId="45" xfId="0" applyFont="1" applyFill="1" applyBorder="1" applyAlignment="1" applyProtection="1">
      <alignment horizontal="center"/>
      <protection locked="0"/>
    </xf>
    <xf numFmtId="0" fontId="8" fillId="2" borderId="30" xfId="0" applyFont="1" applyFill="1" applyBorder="1" applyAlignment="1" applyProtection="1">
      <alignment horizontal="center"/>
      <protection locked="0"/>
    </xf>
    <xf numFmtId="0" fontId="8" fillId="2" borderId="18" xfId="0" applyFont="1" applyFill="1" applyBorder="1" applyAlignment="1" applyProtection="1">
      <alignment horizontal="center"/>
      <protection locked="0"/>
    </xf>
    <xf numFmtId="0" fontId="8" fillId="2" borderId="23" xfId="0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center" vertical="center"/>
      <protection hidden="1"/>
    </xf>
    <xf numFmtId="0" fontId="8" fillId="2" borderId="28" xfId="0" applyFont="1" applyFill="1" applyBorder="1" applyAlignment="1" applyProtection="1">
      <alignment horizontal="center" vertical="center"/>
      <protection hidden="1"/>
    </xf>
    <xf numFmtId="0" fontId="8" fillId="2" borderId="2" xfId="0" applyFont="1" applyFill="1" applyBorder="1" applyAlignment="1" applyProtection="1">
      <alignment horizontal="center"/>
      <protection locked="0"/>
    </xf>
    <xf numFmtId="0" fontId="8" fillId="2" borderId="41" xfId="0" applyFont="1" applyFill="1" applyBorder="1" applyAlignment="1" applyProtection="1">
      <alignment horizontal="center"/>
      <protection locked="0"/>
    </xf>
    <xf numFmtId="0" fontId="8" fillId="2" borderId="42" xfId="0" applyFont="1" applyFill="1" applyBorder="1" applyAlignment="1" applyProtection="1">
      <alignment horizontal="center"/>
      <protection locked="0"/>
    </xf>
    <xf numFmtId="0" fontId="8" fillId="2" borderId="43" xfId="0" applyFont="1" applyFill="1" applyBorder="1" applyAlignment="1" applyProtection="1">
      <alignment horizontal="center"/>
      <protection locked="0"/>
    </xf>
    <xf numFmtId="0" fontId="8" fillId="2" borderId="44" xfId="0" applyFont="1" applyFill="1" applyBorder="1" applyAlignment="1" applyProtection="1">
      <alignment horizontal="center"/>
      <protection locked="0"/>
    </xf>
    <xf numFmtId="0" fontId="8" fillId="2" borderId="45" xfId="0" applyFont="1" applyFill="1" applyBorder="1" applyAlignment="1" applyProtection="1">
      <alignment horizontal="center"/>
      <protection locked="0"/>
    </xf>
    <xf numFmtId="0" fontId="8" fillId="2" borderId="29" xfId="0" applyFont="1" applyFill="1" applyBorder="1" applyAlignment="1" applyProtection="1">
      <alignment horizontal="center"/>
      <protection locked="0"/>
    </xf>
    <xf numFmtId="0" fontId="8" fillId="2" borderId="20" xfId="0" applyFont="1" applyFill="1" applyBorder="1" applyAlignment="1" applyProtection="1">
      <alignment horizontal="center"/>
      <protection locked="0"/>
    </xf>
    <xf numFmtId="0" fontId="8" fillId="2" borderId="22" xfId="0" applyFont="1" applyFill="1" applyBorder="1" applyAlignment="1" applyProtection="1">
      <alignment horizontal="center"/>
      <protection locked="0"/>
    </xf>
    <xf numFmtId="0" fontId="27" fillId="5" borderId="2" xfId="0" applyFont="1" applyFill="1" applyBorder="1" applyAlignment="1" applyProtection="1">
      <alignment horizontal="center" vertical="center"/>
      <protection locked="0"/>
    </xf>
    <xf numFmtId="0" fontId="27" fillId="5" borderId="3" xfId="0" applyFont="1" applyFill="1" applyBorder="1" applyAlignment="1" applyProtection="1">
      <alignment horizontal="center" vertical="center"/>
      <protection locked="0"/>
    </xf>
    <xf numFmtId="0" fontId="27" fillId="5" borderId="4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 applyProtection="1">
      <alignment horizontal="center" vertical="center"/>
      <protection locked="0"/>
    </xf>
    <xf numFmtId="0" fontId="15" fillId="3" borderId="31" xfId="0" applyFont="1" applyFill="1" applyBorder="1" applyAlignment="1" applyProtection="1">
      <alignment horizontal="center" vertical="center"/>
      <protection locked="0"/>
    </xf>
    <xf numFmtId="0" fontId="15" fillId="3" borderId="25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center" wrapText="1"/>
      <protection locked="0"/>
    </xf>
    <xf numFmtId="0" fontId="15" fillId="3" borderId="35" xfId="0" applyFont="1" applyFill="1" applyBorder="1" applyAlignment="1" applyProtection="1">
      <alignment horizontal="center" vertical="center" wrapText="1"/>
      <protection locked="0"/>
    </xf>
    <xf numFmtId="0" fontId="25" fillId="2" borderId="47" xfId="0" applyFont="1" applyFill="1" applyBorder="1" applyAlignment="1" applyProtection="1">
      <alignment horizontal="center" vertical="center"/>
      <protection locked="0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28" fillId="2" borderId="6" xfId="0" applyFont="1" applyFill="1" applyBorder="1" applyAlignment="1" applyProtection="1">
      <alignment horizontal="center" vertical="center"/>
      <protection locked="0"/>
    </xf>
    <xf numFmtId="0" fontId="28" fillId="2" borderId="8" xfId="0" applyFont="1" applyFill="1" applyBorder="1" applyAlignment="1" applyProtection="1">
      <alignment horizontal="center" vertical="center"/>
      <protection locked="0"/>
    </xf>
    <xf numFmtId="0" fontId="28" fillId="2" borderId="7" xfId="0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164" fontId="17" fillId="2" borderId="6" xfId="0" applyNumberFormat="1" applyFont="1" applyFill="1" applyBorder="1" applyAlignment="1" applyProtection="1">
      <alignment horizontal="left" vertical="center"/>
      <protection locked="0"/>
    </xf>
    <xf numFmtId="164" fontId="17" fillId="2" borderId="8" xfId="0" applyNumberFormat="1" applyFont="1" applyFill="1" applyBorder="1" applyAlignment="1" applyProtection="1">
      <alignment horizontal="left" vertical="center"/>
      <protection locked="0"/>
    </xf>
    <xf numFmtId="164" fontId="17" fillId="2" borderId="7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3" xfId="1" xr:uid="{00000000-0005-0000-0000-000001000000}"/>
  </cellStyles>
  <dxfs count="66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CE7B913-AB6F-425E-9222-75603C7AD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287"/>
          <a:ext cx="951230" cy="775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435841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442E268-2174-420C-AC27-CAD3F8692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40666" cy="780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4DF4AA3-00F6-4A78-BBA4-6BD681474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539750</xdr:colOff>
      <xdr:row>2</xdr:row>
      <xdr:rowOff>752196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008C8BA-523D-4D19-9E48-AF143CD3A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8068" cy="7868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D95109C-C2F3-40F9-B613-94A8DCA49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3B6AC89-C3C2-4D0F-94C9-E729320E9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287"/>
          <a:ext cx="951230" cy="7750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F1BD314-33C5-422E-81A0-B82D602D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29431B3-6424-42C0-99A4-596F65E90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423591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557"/>
          <a:ext cx="936625" cy="78394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8E1732F-37E8-466D-819D-5D7A696FC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E745393-9003-4A8C-994E-A3D6A48FC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7503631-3FBF-4A66-9B27-CD968D7B3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19807</xdr:rowOff>
    </xdr:from>
    <xdr:ext cx="938068" cy="786832"/>
    <xdr:pic>
      <xdr:nvPicPr>
        <xdr:cNvPr id="2" name="Picture 3">
          <a:extLst>
            <a:ext uri="{FF2B5EF4-FFF2-40B4-BE49-F238E27FC236}">
              <a16:creationId xmlns:a16="http://schemas.microsoft.com/office/drawing/2014/main" id="{592A8A71-61DE-456A-9311-5E7525C5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807"/>
          <a:ext cx="938068" cy="78683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G34"/>
  <sheetViews>
    <sheetView zoomScale="63" zoomScaleNormal="50" zoomScalePageLayoutView="70" workbookViewId="0">
      <selection activeCell="O24" sqref="O2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203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8.25" customHeight="1" thickBot="1" x14ac:dyDescent="0.3">
      <c r="B5" s="2"/>
      <c r="C5" s="2" t="s">
        <v>194</v>
      </c>
      <c r="D5" s="3"/>
      <c r="E5" s="3"/>
      <c r="F5" s="3"/>
      <c r="G5" s="3"/>
    </row>
    <row r="6" spans="2:7" ht="20.25" customHeight="1" thickBot="1" x14ac:dyDescent="0.3">
      <c r="C6" s="50" t="s">
        <v>236</v>
      </c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thickBot="1" x14ac:dyDescent="0.3">
      <c r="B8" s="5">
        <v>1</v>
      </c>
      <c r="C8" s="16" t="s">
        <v>195</v>
      </c>
      <c r="D8" s="21">
        <v>60</v>
      </c>
      <c r="E8" s="19"/>
      <c r="F8" s="20"/>
      <c r="G8" s="33"/>
    </row>
    <row r="9" spans="2:7" s="4" customFormat="1" ht="64.5" customHeight="1" thickBot="1" x14ac:dyDescent="0.3">
      <c r="B9" s="5">
        <v>2</v>
      </c>
      <c r="C9" s="38" t="s">
        <v>196</v>
      </c>
      <c r="D9" s="21">
        <v>20</v>
      </c>
      <c r="E9" s="19"/>
      <c r="F9" s="20"/>
      <c r="G9" s="33"/>
    </row>
    <row r="10" spans="2:7" s="4" customFormat="1" ht="64.5" customHeight="1" thickBot="1" x14ac:dyDescent="0.3">
      <c r="B10" s="5">
        <v>3</v>
      </c>
      <c r="C10" s="38" t="s">
        <v>197</v>
      </c>
      <c r="D10" s="21">
        <v>30</v>
      </c>
      <c r="E10" s="19"/>
      <c r="F10" s="20"/>
      <c r="G10" s="33"/>
    </row>
    <row r="11" spans="2:7" s="4" customFormat="1" ht="64.5" customHeight="1" thickBot="1" x14ac:dyDescent="0.3">
      <c r="B11" s="5">
        <v>4</v>
      </c>
      <c r="C11" s="38" t="s">
        <v>205</v>
      </c>
      <c r="D11" s="21">
        <v>25</v>
      </c>
      <c r="E11" s="19"/>
      <c r="F11" s="20"/>
      <c r="G11" s="33"/>
    </row>
    <row r="12" spans="2:7" s="4" customFormat="1" ht="64.5" customHeight="1" thickBot="1" x14ac:dyDescent="0.3">
      <c r="B12" s="5">
        <v>5</v>
      </c>
      <c r="C12" s="38" t="s">
        <v>206</v>
      </c>
      <c r="D12" s="21">
        <v>30</v>
      </c>
      <c r="E12" s="19"/>
      <c r="F12" s="20"/>
      <c r="G12" s="33"/>
    </row>
    <row r="13" spans="2:7" s="4" customFormat="1" ht="64.5" customHeight="1" thickBot="1" x14ac:dyDescent="0.3">
      <c r="B13" s="5">
        <v>6</v>
      </c>
      <c r="C13" s="38" t="s">
        <v>200</v>
      </c>
      <c r="D13" s="21">
        <v>20</v>
      </c>
      <c r="E13" s="19"/>
      <c r="F13" s="20"/>
      <c r="G13" s="33"/>
    </row>
    <row r="14" spans="2:7" s="4" customFormat="1" ht="64.5" customHeight="1" thickBot="1" x14ac:dyDescent="0.3">
      <c r="B14" s="5">
        <v>7</v>
      </c>
      <c r="C14" s="38" t="s">
        <v>234</v>
      </c>
      <c r="D14" s="21"/>
      <c r="E14" s="19"/>
      <c r="F14" s="20"/>
      <c r="G14" s="33"/>
    </row>
    <row r="15" spans="2:7" s="4" customFormat="1" ht="64.5" customHeight="1" thickBot="1" x14ac:dyDescent="0.3">
      <c r="B15" s="5">
        <v>8</v>
      </c>
      <c r="C15" s="38" t="s">
        <v>208</v>
      </c>
      <c r="D15" s="21">
        <v>30</v>
      </c>
      <c r="E15" s="19"/>
      <c r="F15" s="20"/>
      <c r="G15" s="33"/>
    </row>
    <row r="16" spans="2:7" ht="18.75" thickBot="1" x14ac:dyDescent="0.3">
      <c r="B16" s="110" t="s">
        <v>14</v>
      </c>
      <c r="C16" s="111"/>
      <c r="D16" s="112" t="s">
        <v>7</v>
      </c>
      <c r="E16" s="113"/>
      <c r="F16" s="114"/>
      <c r="G16" s="24" t="s">
        <v>8</v>
      </c>
    </row>
    <row r="17" spans="2:7" x14ac:dyDescent="0.25">
      <c r="B17" s="115"/>
      <c r="C17" s="116"/>
      <c r="D17" s="116"/>
      <c r="E17" s="116"/>
      <c r="F17" s="116"/>
      <c r="G17" s="100"/>
    </row>
    <row r="18" spans="2:7" x14ac:dyDescent="0.25">
      <c r="B18" s="117"/>
      <c r="C18" s="118"/>
      <c r="D18" s="118"/>
      <c r="E18" s="118"/>
      <c r="F18" s="118"/>
      <c r="G18" s="101"/>
    </row>
    <row r="19" spans="2:7" x14ac:dyDescent="0.25">
      <c r="B19" s="117"/>
      <c r="C19" s="118"/>
      <c r="D19" s="118"/>
      <c r="E19" s="118"/>
      <c r="F19" s="118"/>
      <c r="G19" s="101"/>
    </row>
    <row r="20" spans="2:7" x14ac:dyDescent="0.25">
      <c r="B20" s="117"/>
      <c r="C20" s="118"/>
      <c r="D20" s="118"/>
      <c r="E20" s="118"/>
      <c r="F20" s="118"/>
      <c r="G20" s="101"/>
    </row>
    <row r="21" spans="2:7" ht="15.75" thickBot="1" x14ac:dyDescent="0.3">
      <c r="B21" s="119"/>
      <c r="C21" s="120"/>
      <c r="D21" s="120"/>
      <c r="E21" s="120"/>
      <c r="F21" s="120"/>
      <c r="G21" s="102"/>
    </row>
    <row r="26" spans="2:7" x14ac:dyDescent="0.25">
      <c r="C26" s="1" t="s">
        <v>207</v>
      </c>
    </row>
    <row r="34" spans="1:1" ht="18.75" x14ac:dyDescent="0.25">
      <c r="A34" s="37">
        <f>+B12+1</f>
        <v>6</v>
      </c>
    </row>
  </sheetData>
  <sheetProtection selectLockedCells="1"/>
  <mergeCells count="8">
    <mergeCell ref="G17:G21"/>
    <mergeCell ref="B3:F3"/>
    <mergeCell ref="D4:F4"/>
    <mergeCell ref="E6:F6"/>
    <mergeCell ref="B16:C16"/>
    <mergeCell ref="D16:F16"/>
    <mergeCell ref="B17:C21"/>
    <mergeCell ref="D17:F21"/>
  </mergeCells>
  <conditionalFormatting sqref="D8:D15">
    <cfRule type="cellIs" dxfId="65" priority="1" operator="equal">
      <formula>3</formula>
    </cfRule>
    <cfRule type="cellIs" dxfId="6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3719-F4A7-45DA-B7C2-F3D4126C2FFC}">
  <sheetPr>
    <tabColor rgb="FFFFC000"/>
    <pageSetUpPr fitToPage="1"/>
  </sheetPr>
  <dimension ref="B1:G30"/>
  <sheetViews>
    <sheetView zoomScale="55" zoomScaleNormal="55" zoomScaleSheetLayoutView="66" zoomScalePageLayoutView="70" workbookViewId="0">
      <selection activeCell="O22" sqref="O22"/>
    </sheetView>
  </sheetViews>
  <sheetFormatPr baseColWidth="10" defaultColWidth="11.42578125" defaultRowHeight="15" x14ac:dyDescent="0.25"/>
  <cols>
    <col min="1" max="1" width="0.28515625" style="1" customWidth="1"/>
    <col min="2" max="2" width="7.2851562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44"/>
    </row>
    <row r="4" spans="2:7" ht="24" thickBot="1" x14ac:dyDescent="0.3">
      <c r="B4" s="14"/>
      <c r="C4" s="15" t="s">
        <v>15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C6" s="50" t="s">
        <v>134</v>
      </c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6">
        <v>1</v>
      </c>
      <c r="C8" s="38" t="s">
        <v>23</v>
      </c>
      <c r="D8" s="70">
        <v>10</v>
      </c>
      <c r="E8" s="19"/>
      <c r="F8" s="20"/>
      <c r="G8" s="33"/>
    </row>
    <row r="9" spans="2:7" s="4" customFormat="1" ht="64.5" customHeight="1" x14ac:dyDescent="0.25">
      <c r="B9" s="6">
        <v>2</v>
      </c>
      <c r="C9" s="38" t="s">
        <v>268</v>
      </c>
      <c r="D9" s="70">
        <v>10</v>
      </c>
      <c r="E9" s="19"/>
      <c r="F9" s="20"/>
      <c r="G9" s="33"/>
    </row>
    <row r="10" spans="2:7" s="4" customFormat="1" ht="64.5" customHeight="1" x14ac:dyDescent="0.25">
      <c r="B10" s="6">
        <v>3</v>
      </c>
      <c r="C10" s="38" t="s">
        <v>24</v>
      </c>
      <c r="D10" s="70">
        <v>10</v>
      </c>
      <c r="E10" s="19"/>
      <c r="F10" s="20"/>
      <c r="G10" s="33"/>
    </row>
    <row r="11" spans="2:7" s="4" customFormat="1" ht="64.5" customHeight="1" x14ac:dyDescent="0.25">
      <c r="B11" s="6">
        <v>4</v>
      </c>
      <c r="C11" s="38" t="s">
        <v>269</v>
      </c>
      <c r="D11" s="70">
        <v>30</v>
      </c>
      <c r="E11" s="19"/>
      <c r="F11" s="20"/>
      <c r="G11" s="33"/>
    </row>
    <row r="12" spans="2:7" s="4" customFormat="1" ht="64.5" customHeight="1" x14ac:dyDescent="0.25">
      <c r="B12" s="6">
        <v>5</v>
      </c>
      <c r="C12" s="38" t="s">
        <v>25</v>
      </c>
      <c r="D12" s="70">
        <v>10</v>
      </c>
      <c r="E12" s="19"/>
      <c r="F12" s="20"/>
      <c r="G12" s="33"/>
    </row>
    <row r="13" spans="2:7" s="4" customFormat="1" ht="64.5" customHeight="1" x14ac:dyDescent="0.25">
      <c r="B13" s="6">
        <v>6</v>
      </c>
      <c r="C13" s="38" t="s">
        <v>25</v>
      </c>
      <c r="D13" s="70">
        <v>10</v>
      </c>
      <c r="E13" s="19"/>
      <c r="F13" s="20"/>
      <c r="G13" s="33"/>
    </row>
    <row r="14" spans="2:7" s="4" customFormat="1" ht="64.5" customHeight="1" x14ac:dyDescent="0.25">
      <c r="B14" s="6">
        <v>7</v>
      </c>
      <c r="C14" s="38" t="s">
        <v>26</v>
      </c>
      <c r="D14" s="70">
        <v>10</v>
      </c>
      <c r="E14" s="19"/>
      <c r="F14" s="20"/>
      <c r="G14" s="33"/>
    </row>
    <row r="15" spans="2:7" s="4" customFormat="1" ht="64.5" customHeight="1" x14ac:dyDescent="0.25">
      <c r="B15" s="6">
        <v>8</v>
      </c>
      <c r="C15" s="38" t="s">
        <v>27</v>
      </c>
      <c r="D15" s="70">
        <v>10</v>
      </c>
      <c r="E15" s="19"/>
      <c r="F15" s="20"/>
      <c r="G15" s="33"/>
    </row>
    <row r="16" spans="2:7" s="4" customFormat="1" ht="64.5" customHeight="1" x14ac:dyDescent="0.25">
      <c r="B16" s="6">
        <v>9</v>
      </c>
      <c r="C16" s="38" t="s">
        <v>28</v>
      </c>
      <c r="D16" s="70">
        <v>10</v>
      </c>
      <c r="E16" s="19"/>
      <c r="F16" s="20"/>
      <c r="G16" s="33" t="s">
        <v>132</v>
      </c>
    </row>
    <row r="17" spans="2:7" s="4" customFormat="1" ht="64.5" customHeight="1" x14ac:dyDescent="0.25">
      <c r="B17" s="6">
        <v>10</v>
      </c>
      <c r="C17" s="38" t="s">
        <v>270</v>
      </c>
      <c r="D17" s="70"/>
      <c r="E17" s="19"/>
      <c r="F17" s="20"/>
      <c r="G17" s="33"/>
    </row>
    <row r="18" spans="2:7" s="4" customFormat="1" ht="64.5" customHeight="1" x14ac:dyDescent="0.25">
      <c r="B18" s="6">
        <v>11</v>
      </c>
      <c r="C18" s="38" t="s">
        <v>271</v>
      </c>
      <c r="D18" s="70"/>
      <c r="E18" s="19"/>
      <c r="F18" s="20"/>
      <c r="G18" s="33"/>
    </row>
    <row r="19" spans="2:7" s="4" customFormat="1" ht="64.5" customHeight="1" thickBot="1" x14ac:dyDescent="0.3">
      <c r="B19" s="6">
        <v>12</v>
      </c>
      <c r="C19" s="38" t="s">
        <v>257</v>
      </c>
      <c r="D19" s="70"/>
      <c r="E19" s="19"/>
      <c r="F19" s="20"/>
      <c r="G19" s="33"/>
    </row>
    <row r="20" spans="2:7" ht="18.75" thickBot="1" x14ac:dyDescent="0.3">
      <c r="B20" s="121" t="s">
        <v>14</v>
      </c>
      <c r="C20" s="122"/>
      <c r="D20" s="112" t="s">
        <v>7</v>
      </c>
      <c r="E20" s="113"/>
      <c r="F20" s="114"/>
      <c r="G20" s="24" t="s">
        <v>8</v>
      </c>
    </row>
    <row r="21" spans="2:7" x14ac:dyDescent="0.25">
      <c r="B21" s="123"/>
      <c r="C21" s="124"/>
      <c r="D21" s="116"/>
      <c r="E21" s="116"/>
      <c r="F21" s="116"/>
      <c r="G21" s="100"/>
    </row>
    <row r="22" spans="2:7" x14ac:dyDescent="0.25">
      <c r="B22" s="125"/>
      <c r="C22" s="126"/>
      <c r="D22" s="118"/>
      <c r="E22" s="118"/>
      <c r="F22" s="118"/>
      <c r="G22" s="101"/>
    </row>
    <row r="23" spans="2:7" x14ac:dyDescent="0.25">
      <c r="B23" s="125"/>
      <c r="C23" s="126"/>
      <c r="D23" s="118"/>
      <c r="E23" s="118"/>
      <c r="F23" s="118"/>
      <c r="G23" s="101"/>
    </row>
    <row r="24" spans="2:7" x14ac:dyDescent="0.25">
      <c r="B24" s="125"/>
      <c r="C24" s="126"/>
      <c r="D24" s="118"/>
      <c r="E24" s="118"/>
      <c r="F24" s="118"/>
      <c r="G24" s="101"/>
    </row>
    <row r="25" spans="2:7" ht="15.75" thickBot="1" x14ac:dyDescent="0.3">
      <c r="B25" s="127"/>
      <c r="C25" s="128"/>
      <c r="D25" s="120"/>
      <c r="E25" s="120"/>
      <c r="F25" s="120"/>
      <c r="G25" s="102"/>
    </row>
    <row r="30" spans="2:7" x14ac:dyDescent="0.25">
      <c r="C30" s="1" t="s">
        <v>207</v>
      </c>
    </row>
  </sheetData>
  <sheetProtection selectLockedCells="1"/>
  <mergeCells count="8">
    <mergeCell ref="G21:G25"/>
    <mergeCell ref="B3:F3"/>
    <mergeCell ref="D4:F4"/>
    <mergeCell ref="E6:F6"/>
    <mergeCell ref="D20:F20"/>
    <mergeCell ref="D21:F25"/>
    <mergeCell ref="B20:C20"/>
    <mergeCell ref="B21:C25"/>
  </mergeCells>
  <conditionalFormatting sqref="D8:D19">
    <cfRule type="cellIs" dxfId="63" priority="1" operator="equal">
      <formula>3</formula>
    </cfRule>
    <cfRule type="cellIs" dxfId="62" priority="2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55" fitToHeight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D521-F271-434C-AC70-81CA46638B51}">
  <sheetPr>
    <tabColor rgb="FFFFC000"/>
    <pageSetUpPr fitToPage="1"/>
  </sheetPr>
  <dimension ref="B1:G28"/>
  <sheetViews>
    <sheetView view="pageBreakPreview" topLeftCell="A4" zoomScale="55" zoomScaleNormal="55" zoomScaleSheetLayoutView="55" zoomScalePageLayoutView="70" workbookViewId="0">
      <selection activeCell="C70" sqref="C7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21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C6" s="50" t="s">
        <v>134</v>
      </c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37">
        <v>1</v>
      </c>
      <c r="C8" s="38" t="s">
        <v>225</v>
      </c>
      <c r="D8" s="70">
        <v>10</v>
      </c>
      <c r="E8" s="19"/>
      <c r="F8" s="20"/>
      <c r="G8" s="33"/>
    </row>
    <row r="9" spans="2:7" s="4" customFormat="1" ht="64.5" customHeight="1" x14ac:dyDescent="0.25">
      <c r="B9" s="37">
        <v>2</v>
      </c>
      <c r="C9" s="38" t="s">
        <v>262</v>
      </c>
      <c r="D9" s="70">
        <v>10</v>
      </c>
      <c r="E9" s="19"/>
      <c r="F9" s="20"/>
      <c r="G9" s="33"/>
    </row>
    <row r="10" spans="2:7" s="4" customFormat="1" ht="64.5" customHeight="1" x14ac:dyDescent="0.25">
      <c r="B10" s="37">
        <v>3</v>
      </c>
      <c r="C10" s="38" t="s">
        <v>263</v>
      </c>
      <c r="D10" s="70">
        <v>10</v>
      </c>
      <c r="E10" s="19"/>
      <c r="F10" s="20"/>
      <c r="G10" s="33"/>
    </row>
    <row r="11" spans="2:7" s="4" customFormat="1" ht="64.5" customHeight="1" x14ac:dyDescent="0.25">
      <c r="B11" s="37">
        <v>4</v>
      </c>
      <c r="C11" s="38" t="s">
        <v>264</v>
      </c>
      <c r="D11" s="70">
        <v>30</v>
      </c>
      <c r="E11" s="19"/>
      <c r="F11" s="20"/>
      <c r="G11" s="33"/>
    </row>
    <row r="12" spans="2:7" s="4" customFormat="1" ht="64.5" customHeight="1" x14ac:dyDescent="0.25">
      <c r="B12" s="37">
        <v>5</v>
      </c>
      <c r="C12" s="38" t="s">
        <v>265</v>
      </c>
      <c r="D12" s="70">
        <v>10</v>
      </c>
      <c r="E12" s="19"/>
      <c r="F12" s="20"/>
      <c r="G12" s="33"/>
    </row>
    <row r="13" spans="2:7" s="4" customFormat="1" ht="64.5" customHeight="1" x14ac:dyDescent="0.25">
      <c r="B13" s="37">
        <v>6</v>
      </c>
      <c r="C13" s="38" t="s">
        <v>224</v>
      </c>
      <c r="D13" s="70">
        <v>10</v>
      </c>
      <c r="E13" s="19"/>
      <c r="F13" s="20"/>
      <c r="G13" s="33"/>
    </row>
    <row r="14" spans="2:7" s="4" customFormat="1" ht="64.5" customHeight="1" x14ac:dyDescent="0.25">
      <c r="B14" s="37">
        <v>7</v>
      </c>
      <c r="C14" s="38" t="s">
        <v>223</v>
      </c>
      <c r="D14" s="70">
        <v>15</v>
      </c>
      <c r="E14" s="19"/>
      <c r="F14" s="20"/>
      <c r="G14" s="33"/>
    </row>
    <row r="15" spans="2:7" s="4" customFormat="1" ht="64.5" customHeight="1" x14ac:dyDescent="0.25">
      <c r="B15" s="37">
        <v>8</v>
      </c>
      <c r="C15" s="38" t="s">
        <v>222</v>
      </c>
      <c r="D15" s="70">
        <v>10</v>
      </c>
      <c r="E15" s="19"/>
      <c r="F15" s="20"/>
      <c r="G15" s="33"/>
    </row>
    <row r="16" spans="2:7" s="4" customFormat="1" ht="64.5" customHeight="1" x14ac:dyDescent="0.25">
      <c r="B16" s="37">
        <v>9</v>
      </c>
      <c r="C16" s="38" t="s">
        <v>221</v>
      </c>
      <c r="D16" s="70">
        <v>10</v>
      </c>
      <c r="E16" s="19"/>
      <c r="F16" s="20"/>
      <c r="G16" s="33"/>
    </row>
    <row r="17" spans="2:7" s="4" customFormat="1" ht="64.5" customHeight="1" x14ac:dyDescent="0.25">
      <c r="B17" s="37">
        <v>10</v>
      </c>
      <c r="C17" s="38" t="s">
        <v>220</v>
      </c>
      <c r="D17" s="70">
        <v>15</v>
      </c>
      <c r="E17" s="19"/>
      <c r="F17" s="20"/>
      <c r="G17" s="33"/>
    </row>
    <row r="18" spans="2:7" s="4" customFormat="1" ht="64.5" customHeight="1" x14ac:dyDescent="0.25">
      <c r="B18" s="37">
        <v>11</v>
      </c>
      <c r="C18" s="38" t="s">
        <v>219</v>
      </c>
      <c r="D18" s="70">
        <v>10</v>
      </c>
      <c r="E18" s="19"/>
      <c r="F18" s="20"/>
      <c r="G18" s="33"/>
    </row>
    <row r="19" spans="2:7" s="4" customFormat="1" ht="64.5" customHeight="1" x14ac:dyDescent="0.25">
      <c r="B19" s="37">
        <v>12</v>
      </c>
      <c r="C19" s="38" t="s">
        <v>226</v>
      </c>
      <c r="D19" s="70">
        <v>10</v>
      </c>
      <c r="E19" s="19"/>
      <c r="F19" s="20"/>
      <c r="G19" s="33"/>
    </row>
    <row r="20" spans="2:7" s="4" customFormat="1" ht="64.5" customHeight="1" x14ac:dyDescent="0.25">
      <c r="B20" s="37">
        <v>13</v>
      </c>
      <c r="C20" s="38" t="s">
        <v>266</v>
      </c>
      <c r="D20" s="70">
        <v>5</v>
      </c>
      <c r="E20" s="19"/>
      <c r="F20" s="20"/>
      <c r="G20" s="33"/>
    </row>
    <row r="21" spans="2:7" s="4" customFormat="1" ht="64.150000000000006" customHeight="1" thickBot="1" x14ac:dyDescent="0.3">
      <c r="B21" s="37">
        <v>14</v>
      </c>
      <c r="C21" s="38" t="s">
        <v>267</v>
      </c>
      <c r="D21" s="70">
        <v>5</v>
      </c>
      <c r="E21" s="19"/>
      <c r="F21" s="20"/>
      <c r="G21" s="33"/>
    </row>
    <row r="22" spans="2:7" ht="18.75" thickBot="1" x14ac:dyDescent="0.3">
      <c r="B22" s="110" t="s">
        <v>14</v>
      </c>
      <c r="C22" s="111"/>
      <c r="D22" s="112" t="s">
        <v>7</v>
      </c>
      <c r="E22" s="113"/>
      <c r="F22" s="114"/>
      <c r="G22" s="24" t="s">
        <v>8</v>
      </c>
    </row>
    <row r="23" spans="2:7" x14ac:dyDescent="0.25">
      <c r="B23" s="115"/>
      <c r="C23" s="116"/>
      <c r="D23" s="116"/>
      <c r="E23" s="116"/>
      <c r="F23" s="116"/>
      <c r="G23" s="100"/>
    </row>
    <row r="24" spans="2:7" x14ac:dyDescent="0.25">
      <c r="B24" s="117"/>
      <c r="C24" s="118"/>
      <c r="D24" s="118"/>
      <c r="E24" s="118"/>
      <c r="F24" s="118"/>
      <c r="G24" s="101"/>
    </row>
    <row r="25" spans="2:7" x14ac:dyDescent="0.25">
      <c r="B25" s="117"/>
      <c r="C25" s="118"/>
      <c r="D25" s="118"/>
      <c r="E25" s="118"/>
      <c r="F25" s="118"/>
      <c r="G25" s="101"/>
    </row>
    <row r="26" spans="2:7" x14ac:dyDescent="0.25">
      <c r="B26" s="117"/>
      <c r="C26" s="118"/>
      <c r="D26" s="118"/>
      <c r="E26" s="118"/>
      <c r="F26" s="118"/>
      <c r="G26" s="101"/>
    </row>
    <row r="27" spans="2:7" ht="15.75" thickBot="1" x14ac:dyDescent="0.3">
      <c r="B27" s="119"/>
      <c r="C27" s="120"/>
      <c r="D27" s="120"/>
      <c r="E27" s="120"/>
      <c r="F27" s="120"/>
      <c r="G27" s="102"/>
    </row>
    <row r="28" spans="2:7" x14ac:dyDescent="0.25">
      <c r="C28" s="1" t="s">
        <v>207</v>
      </c>
    </row>
  </sheetData>
  <sheetProtection selectLockedCells="1"/>
  <mergeCells count="8">
    <mergeCell ref="G23:G27"/>
    <mergeCell ref="B3:F3"/>
    <mergeCell ref="D4:F4"/>
    <mergeCell ref="E6:F6"/>
    <mergeCell ref="B22:C22"/>
    <mergeCell ref="D22:F22"/>
    <mergeCell ref="B23:C27"/>
    <mergeCell ref="D23:F27"/>
  </mergeCells>
  <conditionalFormatting sqref="D8:D21">
    <cfRule type="cellIs" dxfId="61" priority="1" operator="equal">
      <formula>3</formula>
    </cfRule>
    <cfRule type="cellIs" dxfId="6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fitToHeight="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B1:J44"/>
  <sheetViews>
    <sheetView view="pageBreakPreview" zoomScale="55" zoomScaleNormal="55" zoomScaleSheetLayoutView="55" zoomScalePageLayoutView="70" workbookViewId="0">
      <selection activeCell="G9" sqref="G9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60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10" ht="1.5" customHeight="1" x14ac:dyDescent="0.25"/>
    <row r="2" spans="2:10" ht="1.5" customHeight="1" thickBot="1" x14ac:dyDescent="0.3"/>
    <row r="3" spans="2:10" ht="62.25" customHeight="1" thickBot="1" x14ac:dyDescent="0.4">
      <c r="B3" s="143" t="s">
        <v>209</v>
      </c>
      <c r="C3" s="144"/>
      <c r="D3" s="144"/>
      <c r="E3" s="144"/>
      <c r="F3" s="145"/>
      <c r="G3" s="87" t="s">
        <v>211</v>
      </c>
      <c r="H3" s="71"/>
      <c r="I3" s="71"/>
      <c r="J3" s="71"/>
    </row>
    <row r="4" spans="2:10" ht="21.75" thickBot="1" x14ac:dyDescent="0.4">
      <c r="B4" s="88"/>
      <c r="C4" s="89" t="s">
        <v>17</v>
      </c>
      <c r="D4" s="106" t="str">
        <f>+'Line &amp; frequency'!C1</f>
        <v>CHAINE…..</v>
      </c>
      <c r="E4" s="107"/>
      <c r="F4" s="107"/>
      <c r="G4" s="32" t="s">
        <v>212</v>
      </c>
      <c r="H4" s="71"/>
      <c r="I4" s="71"/>
      <c r="J4" s="71"/>
    </row>
    <row r="5" spans="2:10" ht="8.25" customHeight="1" thickBot="1" x14ac:dyDescent="0.4">
      <c r="B5" s="90"/>
      <c r="C5" s="90"/>
      <c r="D5" s="91"/>
      <c r="E5" s="91"/>
      <c r="F5" s="91"/>
      <c r="G5" s="91"/>
      <c r="H5" s="71"/>
      <c r="I5" s="71"/>
      <c r="J5" s="71"/>
    </row>
    <row r="6" spans="2:10" ht="20.25" customHeight="1" thickBot="1" x14ac:dyDescent="0.4">
      <c r="B6" s="71"/>
      <c r="C6" s="72" t="s">
        <v>134</v>
      </c>
      <c r="D6" s="73"/>
      <c r="E6" s="106" t="s">
        <v>0</v>
      </c>
      <c r="F6" s="146"/>
      <c r="G6" s="71"/>
      <c r="H6" s="71"/>
      <c r="I6" s="71"/>
      <c r="J6" s="71"/>
    </row>
    <row r="7" spans="2:10" s="4" customFormat="1" ht="24" customHeight="1" thickBot="1" x14ac:dyDescent="0.4">
      <c r="B7" s="74" t="s">
        <v>1</v>
      </c>
      <c r="C7" s="75" t="s">
        <v>2</v>
      </c>
      <c r="D7" s="76" t="s">
        <v>3</v>
      </c>
      <c r="E7" s="77" t="s">
        <v>4</v>
      </c>
      <c r="F7" s="78" t="s">
        <v>5</v>
      </c>
      <c r="G7" s="79" t="s">
        <v>6</v>
      </c>
      <c r="H7" s="71"/>
      <c r="I7" s="71"/>
      <c r="J7" s="71"/>
    </row>
    <row r="8" spans="2:10" s="4" customFormat="1" ht="28.5" customHeight="1" x14ac:dyDescent="0.35">
      <c r="B8" s="80">
        <v>1</v>
      </c>
      <c r="C8" s="16" t="s">
        <v>34</v>
      </c>
      <c r="D8" s="132">
        <v>10</v>
      </c>
      <c r="E8" s="81"/>
      <c r="F8" s="82"/>
      <c r="G8" s="83"/>
      <c r="H8" s="71"/>
      <c r="I8" s="71"/>
      <c r="J8" s="71"/>
    </row>
    <row r="9" spans="2:10" s="4" customFormat="1" ht="32.25" customHeight="1" x14ac:dyDescent="0.35">
      <c r="B9" s="84">
        <f>B8+1</f>
        <v>2</v>
      </c>
      <c r="C9" s="38" t="s">
        <v>35</v>
      </c>
      <c r="D9" s="133"/>
      <c r="E9" s="81"/>
      <c r="F9" s="82"/>
      <c r="G9" s="83"/>
      <c r="H9" s="71"/>
      <c r="I9" s="71"/>
      <c r="J9" s="71"/>
    </row>
    <row r="10" spans="2:10" s="4" customFormat="1" ht="39" customHeight="1" x14ac:dyDescent="0.35">
      <c r="B10" s="85">
        <f>+B9+1</f>
        <v>3</v>
      </c>
      <c r="C10" s="38" t="s">
        <v>36</v>
      </c>
      <c r="D10" s="86">
        <v>15</v>
      </c>
      <c r="E10" s="81"/>
      <c r="F10" s="82"/>
      <c r="G10" s="83"/>
      <c r="H10" s="71"/>
      <c r="I10" s="71"/>
      <c r="J10" s="71"/>
    </row>
    <row r="11" spans="2:10" s="4" customFormat="1" ht="33" customHeight="1" thickBot="1" x14ac:dyDescent="0.4">
      <c r="B11" s="84">
        <v>4</v>
      </c>
      <c r="C11" s="38" t="s">
        <v>37</v>
      </c>
      <c r="D11" s="86"/>
      <c r="E11" s="81"/>
      <c r="F11" s="82"/>
      <c r="G11" s="83"/>
      <c r="H11" s="71"/>
      <c r="I11" s="71"/>
      <c r="J11" s="71"/>
    </row>
    <row r="12" spans="2:10" s="4" customFormat="1" ht="41.25" customHeight="1" thickBot="1" x14ac:dyDescent="0.4">
      <c r="B12" s="80">
        <v>5</v>
      </c>
      <c r="C12" s="38" t="s">
        <v>38</v>
      </c>
      <c r="D12" s="86">
        <v>18</v>
      </c>
      <c r="E12" s="81"/>
      <c r="F12" s="82"/>
      <c r="G12" s="83"/>
      <c r="H12" s="71"/>
      <c r="I12" s="71"/>
      <c r="J12" s="71"/>
    </row>
    <row r="13" spans="2:10" s="4" customFormat="1" ht="31.5" customHeight="1" thickBot="1" x14ac:dyDescent="0.4">
      <c r="B13" s="80">
        <v>6</v>
      </c>
      <c r="C13" s="38" t="s">
        <v>39</v>
      </c>
      <c r="D13" s="62">
        <v>15</v>
      </c>
      <c r="E13" s="81"/>
      <c r="F13" s="82"/>
      <c r="G13" s="83"/>
      <c r="H13" s="71"/>
      <c r="I13" s="71"/>
      <c r="J13" s="71"/>
    </row>
    <row r="14" spans="2:10" s="4" customFormat="1" ht="53.25" customHeight="1" thickBot="1" x14ac:dyDescent="0.4">
      <c r="B14" s="80">
        <v>7</v>
      </c>
      <c r="C14" s="38" t="s">
        <v>40</v>
      </c>
      <c r="D14" s="62">
        <v>10</v>
      </c>
      <c r="E14" s="81"/>
      <c r="F14" s="82"/>
      <c r="G14" s="83"/>
      <c r="H14" s="71"/>
      <c r="I14" s="71"/>
      <c r="J14" s="71"/>
    </row>
    <row r="15" spans="2:10" s="4" customFormat="1" ht="63" customHeight="1" thickBot="1" x14ac:dyDescent="0.4">
      <c r="B15" s="80">
        <v>8</v>
      </c>
      <c r="C15" s="38" t="s">
        <v>42</v>
      </c>
      <c r="D15" s="86">
        <v>5</v>
      </c>
      <c r="E15" s="81"/>
      <c r="F15" s="82"/>
      <c r="G15" s="83"/>
      <c r="H15" s="71"/>
      <c r="I15" s="71"/>
      <c r="J15" s="71"/>
    </row>
    <row r="16" spans="2:10" s="4" customFormat="1" ht="45.75" customHeight="1" thickBot="1" x14ac:dyDescent="0.4">
      <c r="B16" s="80">
        <v>9</v>
      </c>
      <c r="C16" s="38" t="s">
        <v>43</v>
      </c>
      <c r="D16" s="86">
        <v>5</v>
      </c>
      <c r="E16" s="81"/>
      <c r="F16" s="82"/>
      <c r="G16" s="83"/>
      <c r="H16" s="71"/>
      <c r="I16" s="71"/>
      <c r="J16" s="71"/>
    </row>
    <row r="17" spans="2:10" s="4" customFormat="1" ht="50.25" customHeight="1" thickBot="1" x14ac:dyDescent="0.4">
      <c r="B17" s="80">
        <v>10</v>
      </c>
      <c r="C17" s="38" t="s">
        <v>44</v>
      </c>
      <c r="D17" s="62">
        <v>8</v>
      </c>
      <c r="E17" s="81"/>
      <c r="F17" s="82"/>
      <c r="G17" s="83"/>
      <c r="H17" s="71"/>
      <c r="I17" s="71"/>
      <c r="J17" s="71"/>
    </row>
    <row r="18" spans="2:10" s="4" customFormat="1" ht="44.25" customHeight="1" thickBot="1" x14ac:dyDescent="0.4">
      <c r="B18" s="80">
        <v>11</v>
      </c>
      <c r="C18" s="38" t="s">
        <v>45</v>
      </c>
      <c r="D18" s="62">
        <v>2</v>
      </c>
      <c r="E18" s="81"/>
      <c r="F18" s="82"/>
      <c r="G18" s="83"/>
      <c r="H18" s="71"/>
      <c r="I18" s="71"/>
      <c r="J18" s="71"/>
    </row>
    <row r="19" spans="2:10" s="4" customFormat="1" ht="61.5" customHeight="1" thickBot="1" x14ac:dyDescent="0.4">
      <c r="B19" s="80">
        <v>12</v>
      </c>
      <c r="C19" s="38" t="s">
        <v>46</v>
      </c>
      <c r="D19" s="62">
        <v>6</v>
      </c>
      <c r="E19" s="81"/>
      <c r="F19" s="82"/>
      <c r="G19" s="83"/>
      <c r="H19" s="71"/>
      <c r="I19" s="71"/>
      <c r="J19" s="71"/>
    </row>
    <row r="20" spans="2:10" s="4" customFormat="1" ht="49.5" customHeight="1" thickBot="1" x14ac:dyDescent="0.4">
      <c r="B20" s="80">
        <v>13</v>
      </c>
      <c r="C20" s="38" t="s">
        <v>47</v>
      </c>
      <c r="D20" s="62">
        <v>5</v>
      </c>
      <c r="E20" s="81"/>
      <c r="F20" s="82"/>
      <c r="G20" s="83"/>
      <c r="H20" s="71"/>
      <c r="I20" s="71"/>
      <c r="J20" s="71"/>
    </row>
    <row r="21" spans="2:10" s="4" customFormat="1" ht="47.25" customHeight="1" thickBot="1" x14ac:dyDescent="0.4">
      <c r="B21" s="80">
        <v>14</v>
      </c>
      <c r="C21" s="38" t="s">
        <v>48</v>
      </c>
      <c r="D21" s="86">
        <v>5</v>
      </c>
      <c r="E21" s="81"/>
      <c r="F21" s="82"/>
      <c r="G21" s="83"/>
      <c r="H21" s="71"/>
      <c r="I21" s="71"/>
      <c r="J21" s="71"/>
    </row>
    <row r="22" spans="2:10" s="4" customFormat="1" ht="59.25" customHeight="1" thickBot="1" x14ac:dyDescent="0.4">
      <c r="B22" s="80">
        <v>15</v>
      </c>
      <c r="C22" s="38" t="s">
        <v>49</v>
      </c>
      <c r="D22" s="86">
        <v>5</v>
      </c>
      <c r="E22" s="81"/>
      <c r="F22" s="82"/>
      <c r="G22" s="83"/>
      <c r="H22" s="71"/>
      <c r="I22" s="71"/>
      <c r="J22" s="71"/>
    </row>
    <row r="23" spans="2:10" s="4" customFormat="1" ht="77.25" customHeight="1" thickBot="1" x14ac:dyDescent="0.4">
      <c r="B23" s="80">
        <v>16</v>
      </c>
      <c r="C23" s="38" t="s">
        <v>50</v>
      </c>
      <c r="D23" s="86">
        <v>15</v>
      </c>
      <c r="E23" s="81"/>
      <c r="F23" s="82"/>
      <c r="G23" s="83"/>
      <c r="H23" s="71"/>
      <c r="I23" s="71"/>
      <c r="J23" s="71"/>
    </row>
    <row r="24" spans="2:10" s="4" customFormat="1" ht="52.5" customHeight="1" thickBot="1" x14ac:dyDescent="0.4">
      <c r="B24" s="80">
        <v>17</v>
      </c>
      <c r="C24" s="38" t="s">
        <v>277</v>
      </c>
      <c r="D24" s="86">
        <v>15</v>
      </c>
      <c r="E24" s="81"/>
      <c r="F24" s="82"/>
      <c r="G24" s="83"/>
      <c r="H24" s="71"/>
      <c r="I24" s="71"/>
      <c r="J24" s="71"/>
    </row>
    <row r="25" spans="2:10" s="4" customFormat="1" ht="33.75" customHeight="1" thickBot="1" x14ac:dyDescent="0.4">
      <c r="B25" s="80">
        <v>18</v>
      </c>
      <c r="C25" s="38" t="s">
        <v>274</v>
      </c>
      <c r="D25" s="86">
        <v>15</v>
      </c>
      <c r="E25" s="81"/>
      <c r="F25" s="82"/>
      <c r="G25" s="83"/>
      <c r="H25" s="71"/>
      <c r="I25" s="71"/>
      <c r="J25" s="71"/>
    </row>
    <row r="26" spans="2:10" s="4" customFormat="1" ht="32.25" customHeight="1" thickBot="1" x14ac:dyDescent="0.4">
      <c r="B26" s="80">
        <v>19</v>
      </c>
      <c r="C26" s="38" t="s">
        <v>254</v>
      </c>
      <c r="D26" s="86">
        <v>10</v>
      </c>
      <c r="E26" s="81"/>
      <c r="F26" s="82"/>
      <c r="G26" s="83"/>
      <c r="H26" s="71"/>
      <c r="I26" s="71"/>
      <c r="J26" s="71"/>
    </row>
    <row r="27" spans="2:10" s="4" customFormat="1" ht="42.75" customHeight="1" thickBot="1" x14ac:dyDescent="0.4">
      <c r="B27" s="80">
        <v>20</v>
      </c>
      <c r="C27" s="38" t="s">
        <v>255</v>
      </c>
      <c r="D27" s="86"/>
      <c r="E27" s="81"/>
      <c r="F27" s="82"/>
      <c r="G27" s="83"/>
      <c r="H27" s="71"/>
      <c r="I27" s="71"/>
      <c r="J27" s="71"/>
    </row>
    <row r="28" spans="2:10" s="4" customFormat="1" ht="33.75" customHeight="1" thickBot="1" x14ac:dyDescent="0.4">
      <c r="B28" s="80">
        <v>21</v>
      </c>
      <c r="C28" s="38" t="s">
        <v>261</v>
      </c>
      <c r="D28" s="86">
        <v>10</v>
      </c>
      <c r="E28" s="81"/>
      <c r="F28" s="82"/>
      <c r="G28" s="83"/>
      <c r="H28" s="71"/>
      <c r="I28" s="71"/>
      <c r="J28" s="71"/>
    </row>
    <row r="29" spans="2:10" s="4" customFormat="1" ht="50.25" customHeight="1" x14ac:dyDescent="0.35">
      <c r="B29" s="80">
        <v>22</v>
      </c>
      <c r="C29" s="38" t="s">
        <v>278</v>
      </c>
      <c r="D29" s="86">
        <v>15</v>
      </c>
      <c r="E29" s="81"/>
      <c r="F29" s="82"/>
      <c r="G29" s="83"/>
      <c r="H29" s="71"/>
      <c r="I29" s="71"/>
      <c r="J29" s="71"/>
    </row>
    <row r="30" spans="2:10" s="4" customFormat="1" ht="49.5" customHeight="1" thickBot="1" x14ac:dyDescent="0.4">
      <c r="B30" s="92" t="s">
        <v>275</v>
      </c>
      <c r="C30" s="93"/>
      <c r="D30" s="152" t="s">
        <v>276</v>
      </c>
      <c r="E30" s="152"/>
      <c r="F30" s="152"/>
      <c r="G30" s="94"/>
      <c r="H30" s="71"/>
      <c r="I30" s="71"/>
      <c r="J30" s="71"/>
    </row>
    <row r="31" spans="2:10" ht="45" customHeight="1" thickBot="1" x14ac:dyDescent="0.4">
      <c r="B31" s="147" t="s">
        <v>14</v>
      </c>
      <c r="C31" s="148"/>
      <c r="D31" s="149" t="s">
        <v>7</v>
      </c>
      <c r="E31" s="150"/>
      <c r="F31" s="151"/>
      <c r="G31" s="78" t="s">
        <v>8</v>
      </c>
      <c r="H31" s="71"/>
      <c r="I31" s="71"/>
      <c r="J31" s="71"/>
    </row>
    <row r="32" spans="2:10" ht="21" x14ac:dyDescent="0.35">
      <c r="B32" s="134"/>
      <c r="C32" s="135"/>
      <c r="D32" s="140"/>
      <c r="E32" s="140"/>
      <c r="F32" s="140"/>
      <c r="G32" s="129"/>
      <c r="H32" s="71"/>
      <c r="I32" s="71"/>
      <c r="J32" s="71"/>
    </row>
    <row r="33" spans="2:10" ht="21" x14ac:dyDescent="0.35">
      <c r="B33" s="136"/>
      <c r="C33" s="137"/>
      <c r="D33" s="141"/>
      <c r="E33" s="141"/>
      <c r="F33" s="141"/>
      <c r="G33" s="130"/>
      <c r="H33" s="71"/>
      <c r="I33" s="71"/>
      <c r="J33" s="71"/>
    </row>
    <row r="34" spans="2:10" ht="21" x14ac:dyDescent="0.35">
      <c r="B34" s="136"/>
      <c r="C34" s="137"/>
      <c r="D34" s="141"/>
      <c r="E34" s="141"/>
      <c r="F34" s="141"/>
      <c r="G34" s="130"/>
      <c r="H34" s="71"/>
      <c r="I34" s="71"/>
      <c r="J34" s="71"/>
    </row>
    <row r="35" spans="2:10" ht="21" x14ac:dyDescent="0.35">
      <c r="B35" s="136"/>
      <c r="C35" s="137"/>
      <c r="D35" s="141"/>
      <c r="E35" s="141"/>
      <c r="F35" s="141"/>
      <c r="G35" s="130"/>
      <c r="H35" s="71"/>
      <c r="I35" s="71"/>
      <c r="J35" s="71"/>
    </row>
    <row r="36" spans="2:10" ht="21.75" thickBot="1" x14ac:dyDescent="0.4">
      <c r="B36" s="138"/>
      <c r="C36" s="139"/>
      <c r="D36" s="142"/>
      <c r="E36" s="142"/>
      <c r="F36" s="142"/>
      <c r="G36" s="131"/>
      <c r="H36" s="71"/>
      <c r="I36" s="71"/>
      <c r="J36" s="71"/>
    </row>
    <row r="37" spans="2:10" ht="21" x14ac:dyDescent="0.35">
      <c r="B37" s="71"/>
      <c r="C37" s="71"/>
      <c r="D37" s="73"/>
      <c r="E37" s="71"/>
      <c r="F37" s="71"/>
      <c r="G37" s="71"/>
      <c r="H37" s="71"/>
      <c r="I37" s="71"/>
      <c r="J37" s="71"/>
    </row>
    <row r="38" spans="2:10" ht="21" x14ac:dyDescent="0.35">
      <c r="B38" s="71"/>
      <c r="C38" s="71"/>
      <c r="D38" s="73"/>
      <c r="E38" s="71"/>
      <c r="F38" s="71"/>
      <c r="G38" s="71"/>
      <c r="H38" s="71"/>
      <c r="I38" s="71"/>
      <c r="J38" s="71"/>
    </row>
    <row r="39" spans="2:10" ht="21" x14ac:dyDescent="0.35">
      <c r="B39" s="71"/>
      <c r="C39" s="71"/>
      <c r="D39" s="73"/>
      <c r="E39" s="71"/>
      <c r="F39" s="71"/>
      <c r="G39" s="71"/>
      <c r="H39" s="71"/>
      <c r="I39" s="71"/>
      <c r="J39" s="71"/>
    </row>
    <row r="40" spans="2:10" ht="21" x14ac:dyDescent="0.35">
      <c r="B40" s="71"/>
      <c r="C40" s="71"/>
      <c r="D40" s="73"/>
      <c r="E40" s="71"/>
      <c r="F40" s="71"/>
      <c r="G40" s="71"/>
      <c r="H40" s="71"/>
      <c r="I40" s="71"/>
      <c r="J40" s="71"/>
    </row>
    <row r="41" spans="2:10" ht="21" x14ac:dyDescent="0.35">
      <c r="B41" s="71"/>
      <c r="C41" s="71"/>
      <c r="D41" s="73"/>
      <c r="E41" s="71"/>
      <c r="F41" s="71"/>
      <c r="G41" s="71"/>
      <c r="H41" s="71"/>
      <c r="I41" s="71"/>
      <c r="J41" s="71"/>
    </row>
    <row r="42" spans="2:10" ht="21" x14ac:dyDescent="0.35">
      <c r="B42" s="71"/>
      <c r="C42" s="71"/>
      <c r="D42" s="73"/>
      <c r="E42" s="71"/>
      <c r="F42" s="71"/>
      <c r="G42" s="71"/>
      <c r="H42" s="71"/>
      <c r="I42" s="71"/>
      <c r="J42" s="71"/>
    </row>
    <row r="43" spans="2:10" ht="21" x14ac:dyDescent="0.35">
      <c r="B43" s="71"/>
      <c r="C43" s="71"/>
      <c r="D43" s="73"/>
      <c r="E43" s="71"/>
      <c r="F43" s="71"/>
      <c r="G43" s="71"/>
      <c r="H43" s="71"/>
      <c r="I43" s="71"/>
      <c r="J43" s="71"/>
    </row>
    <row r="44" spans="2:10" ht="21" x14ac:dyDescent="0.35">
      <c r="B44" s="71"/>
      <c r="C44" s="71"/>
      <c r="D44" s="73"/>
      <c r="E44" s="71"/>
      <c r="F44" s="71"/>
      <c r="G44" s="71"/>
      <c r="H44" s="71"/>
      <c r="I44" s="71"/>
      <c r="J44" s="71"/>
    </row>
  </sheetData>
  <sheetProtection selectLockedCells="1"/>
  <mergeCells count="10">
    <mergeCell ref="G32:G36"/>
    <mergeCell ref="D8:D9"/>
    <mergeCell ref="B32:C36"/>
    <mergeCell ref="D32:F36"/>
    <mergeCell ref="B3:F3"/>
    <mergeCell ref="D4:F4"/>
    <mergeCell ref="E6:F6"/>
    <mergeCell ref="B31:C31"/>
    <mergeCell ref="D31:F31"/>
    <mergeCell ref="D30:F30"/>
  </mergeCells>
  <conditionalFormatting sqref="D8 D10 D12:D15 D17:D20 D23:D29">
    <cfRule type="cellIs" dxfId="59" priority="1" operator="equal">
      <formula>3</formula>
    </cfRule>
    <cfRule type="cellIs" dxfId="58" priority="2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5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FFC000"/>
    <pageSetUpPr fitToPage="1"/>
  </sheetPr>
  <dimension ref="B1:G29"/>
  <sheetViews>
    <sheetView view="pageBreakPreview" zoomScale="60" zoomScaleNormal="55" zoomScalePageLayoutView="70" workbookViewId="0">
      <selection activeCell="D17" sqref="D17:F29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20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8.25" customHeight="1" x14ac:dyDescent="0.25">
      <c r="B5" s="2"/>
      <c r="C5" s="2"/>
      <c r="D5" s="3"/>
      <c r="E5" s="3"/>
      <c r="F5" s="3"/>
      <c r="G5" s="3"/>
    </row>
    <row r="6" spans="2:7" ht="25.5" customHeight="1" thickBot="1" x14ac:dyDescent="0.3">
      <c r="B6" s="2"/>
      <c r="C6" s="69" t="s">
        <v>245</v>
      </c>
      <c r="D6" s="3"/>
      <c r="E6" s="3"/>
      <c r="F6" s="3"/>
      <c r="G6" s="3"/>
    </row>
    <row r="7" spans="2:7" ht="20.25" customHeight="1" thickBot="1" x14ac:dyDescent="0.3">
      <c r="C7" s="50" t="s">
        <v>134</v>
      </c>
      <c r="E7" s="108" t="s">
        <v>0</v>
      </c>
      <c r="F7" s="109"/>
    </row>
    <row r="8" spans="2:7" s="4" customFormat="1" ht="24" customHeight="1" thickBot="1" x14ac:dyDescent="0.3">
      <c r="B8" s="25" t="s">
        <v>1</v>
      </c>
      <c r="C8" s="26" t="s">
        <v>2</v>
      </c>
      <c r="D8" s="27" t="s">
        <v>3</v>
      </c>
      <c r="E8" s="29" t="s">
        <v>4</v>
      </c>
      <c r="F8" s="30" t="s">
        <v>5</v>
      </c>
      <c r="G8" s="28" t="s">
        <v>6</v>
      </c>
    </row>
    <row r="9" spans="2:7" s="4" customFormat="1" ht="53.25" customHeight="1" x14ac:dyDescent="0.25">
      <c r="B9" s="5">
        <v>1</v>
      </c>
      <c r="C9" s="38" t="s">
        <v>228</v>
      </c>
      <c r="D9" s="21">
        <v>10</v>
      </c>
      <c r="E9" s="19"/>
      <c r="F9" s="20"/>
      <c r="G9" s="33"/>
    </row>
    <row r="10" spans="2:7" s="4" customFormat="1" ht="56.25" customHeight="1" thickBot="1" x14ac:dyDescent="0.3">
      <c r="B10" s="6">
        <f>B9+1</f>
        <v>2</v>
      </c>
      <c r="C10" s="38" t="s">
        <v>229</v>
      </c>
      <c r="D10" s="21">
        <v>20</v>
      </c>
      <c r="E10" s="19"/>
      <c r="F10" s="20"/>
      <c r="G10" s="33"/>
    </row>
    <row r="11" spans="2:7" s="4" customFormat="1" ht="57.75" customHeight="1" x14ac:dyDescent="0.25">
      <c r="B11" s="5">
        <v>3</v>
      </c>
      <c r="C11" s="38" t="s">
        <v>227</v>
      </c>
      <c r="D11" s="21">
        <v>15</v>
      </c>
      <c r="E11" s="19"/>
      <c r="F11" s="20"/>
      <c r="G11" s="33"/>
    </row>
    <row r="12" spans="2:7" s="4" customFormat="1" ht="41.25" customHeight="1" thickBot="1" x14ac:dyDescent="0.3">
      <c r="B12" s="6">
        <v>4</v>
      </c>
      <c r="C12" s="38" t="s">
        <v>230</v>
      </c>
      <c r="D12" s="21">
        <v>30</v>
      </c>
      <c r="E12" s="19"/>
      <c r="F12" s="20"/>
      <c r="G12" s="33"/>
    </row>
    <row r="13" spans="2:7" s="4" customFormat="1" ht="48" customHeight="1" x14ac:dyDescent="0.25">
      <c r="B13" s="5">
        <v>5</v>
      </c>
      <c r="C13" s="38" t="s">
        <v>133</v>
      </c>
      <c r="D13" s="21">
        <v>5</v>
      </c>
      <c r="E13" s="19"/>
      <c r="F13" s="20"/>
      <c r="G13" s="33"/>
    </row>
    <row r="14" spans="2:7" s="4" customFormat="1" ht="43.5" customHeight="1" thickBot="1" x14ac:dyDescent="0.3">
      <c r="B14" s="6">
        <v>6</v>
      </c>
      <c r="C14" s="38" t="s">
        <v>231</v>
      </c>
      <c r="D14" s="21"/>
      <c r="E14" s="19"/>
      <c r="F14" s="20"/>
      <c r="G14" s="33"/>
    </row>
    <row r="15" spans="2:7" s="4" customFormat="1" ht="51.75" customHeight="1" thickBot="1" x14ac:dyDescent="0.3">
      <c r="B15" s="5">
        <v>7</v>
      </c>
      <c r="C15" s="38" t="s">
        <v>232</v>
      </c>
      <c r="D15" s="21"/>
      <c r="E15" s="19"/>
      <c r="F15" s="20"/>
      <c r="G15" s="33"/>
    </row>
    <row r="16" spans="2:7" ht="18.75" thickBot="1" x14ac:dyDescent="0.3">
      <c r="B16" s="110" t="s">
        <v>14</v>
      </c>
      <c r="C16" s="111"/>
      <c r="D16" s="112" t="s">
        <v>7</v>
      </c>
      <c r="E16" s="113"/>
      <c r="F16" s="114"/>
      <c r="G16" s="24" t="s">
        <v>8</v>
      </c>
    </row>
    <row r="17" spans="2:7" x14ac:dyDescent="0.25">
      <c r="B17" s="115"/>
      <c r="C17" s="116"/>
      <c r="D17" s="116"/>
      <c r="E17" s="116"/>
      <c r="F17" s="116"/>
      <c r="G17" s="100"/>
    </row>
    <row r="18" spans="2:7" x14ac:dyDescent="0.25">
      <c r="B18" s="117"/>
      <c r="C18" s="118"/>
      <c r="D18" s="118"/>
      <c r="E18" s="118"/>
      <c r="F18" s="118"/>
      <c r="G18" s="101"/>
    </row>
    <row r="19" spans="2:7" x14ac:dyDescent="0.25">
      <c r="B19" s="117"/>
      <c r="C19" s="118"/>
      <c r="D19" s="118"/>
      <c r="E19" s="118"/>
      <c r="F19" s="118"/>
      <c r="G19" s="101"/>
    </row>
    <row r="20" spans="2:7" x14ac:dyDescent="0.25">
      <c r="B20" s="117"/>
      <c r="C20" s="118"/>
      <c r="D20" s="118"/>
      <c r="E20" s="118"/>
      <c r="F20" s="118"/>
      <c r="G20" s="101"/>
    </row>
    <row r="21" spans="2:7" ht="15.75" thickBot="1" x14ac:dyDescent="0.3">
      <c r="B21" s="119"/>
      <c r="C21" s="120"/>
      <c r="D21" s="120"/>
      <c r="E21" s="120"/>
      <c r="F21" s="120"/>
      <c r="G21" s="102"/>
    </row>
    <row r="29" spans="2:7" x14ac:dyDescent="0.25">
      <c r="C29" s="1" t="s">
        <v>207</v>
      </c>
    </row>
  </sheetData>
  <sheetProtection selectLockedCells="1"/>
  <mergeCells count="8">
    <mergeCell ref="B17:C21"/>
    <mergeCell ref="D17:F21"/>
    <mergeCell ref="G17:G21"/>
    <mergeCell ref="B3:F3"/>
    <mergeCell ref="D4:F4"/>
    <mergeCell ref="E7:F7"/>
    <mergeCell ref="B16:C16"/>
    <mergeCell ref="D16:F16"/>
  </mergeCells>
  <conditionalFormatting sqref="D13:D15 D9:D11">
    <cfRule type="cellIs" dxfId="57" priority="5" operator="equal">
      <formula>3</formula>
    </cfRule>
    <cfRule type="cellIs" dxfId="56" priority="6" operator="equal">
      <formula>4</formula>
    </cfRule>
  </conditionalFormatting>
  <conditionalFormatting sqref="D12">
    <cfRule type="cellIs" dxfId="55" priority="1" operator="equal">
      <formula>3</formula>
    </cfRule>
    <cfRule type="cellIs" dxfId="5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fitToHeight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89F0-AB03-4D44-95B4-5F30CF8B5B6E}">
  <sheetPr>
    <tabColor rgb="FFFFC000"/>
    <pageSetUpPr fitToPage="1"/>
  </sheetPr>
  <dimension ref="A1:G36"/>
  <sheetViews>
    <sheetView zoomScale="55" zoomScaleNormal="55" zoomScalePageLayoutView="70" workbookViewId="0">
      <selection activeCell="L10" sqref="L1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3" t="s">
        <v>210</v>
      </c>
    </row>
    <row r="4" spans="2:7" ht="24" thickBot="1" x14ac:dyDescent="0.3">
      <c r="B4" s="14"/>
      <c r="C4" s="15" t="s">
        <v>204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35.25" customHeight="1" x14ac:dyDescent="0.25">
      <c r="B5" s="2"/>
      <c r="C5" s="64" t="s">
        <v>252</v>
      </c>
      <c r="D5" s="3"/>
      <c r="E5" s="3"/>
      <c r="F5" s="3"/>
      <c r="G5" s="3"/>
    </row>
    <row r="6" spans="2:7" ht="42.75" thickBot="1" x14ac:dyDescent="0.3">
      <c r="B6" s="65"/>
      <c r="C6" s="66" t="s">
        <v>242</v>
      </c>
      <c r="D6" s="3"/>
      <c r="E6" s="3"/>
      <c r="F6" s="3"/>
      <c r="G6" s="3"/>
    </row>
    <row r="7" spans="2:7" ht="20.25" customHeight="1" thickBot="1" x14ac:dyDescent="0.3">
      <c r="C7" s="50" t="s">
        <v>134</v>
      </c>
      <c r="E7" s="108" t="s">
        <v>0</v>
      </c>
      <c r="F7" s="109"/>
    </row>
    <row r="8" spans="2:7" s="4" customFormat="1" ht="24" customHeight="1" thickBot="1" x14ac:dyDescent="0.3">
      <c r="B8" s="25" t="s">
        <v>1</v>
      </c>
      <c r="C8" s="26" t="s">
        <v>2</v>
      </c>
      <c r="D8" s="27" t="s">
        <v>3</v>
      </c>
      <c r="E8" s="29" t="s">
        <v>4</v>
      </c>
      <c r="F8" s="30" t="s">
        <v>5</v>
      </c>
      <c r="G8" s="28" t="s">
        <v>6</v>
      </c>
    </row>
    <row r="9" spans="2:7" s="4" customFormat="1" ht="64.5" customHeight="1" thickBot="1" x14ac:dyDescent="0.3">
      <c r="B9" s="5">
        <v>1</v>
      </c>
      <c r="C9" s="16" t="s">
        <v>195</v>
      </c>
      <c r="D9" s="21">
        <v>60</v>
      </c>
      <c r="E9" s="19"/>
      <c r="F9" s="20"/>
      <c r="G9" s="33"/>
    </row>
    <row r="10" spans="2:7" s="4" customFormat="1" ht="64.5" customHeight="1" thickBot="1" x14ac:dyDescent="0.3">
      <c r="B10" s="5">
        <v>2</v>
      </c>
      <c r="C10" s="38" t="s">
        <v>196</v>
      </c>
      <c r="D10" s="21">
        <v>20</v>
      </c>
      <c r="E10" s="19"/>
      <c r="F10" s="20"/>
      <c r="G10" s="33"/>
    </row>
    <row r="11" spans="2:7" s="4" customFormat="1" ht="64.5" customHeight="1" thickBot="1" x14ac:dyDescent="0.3">
      <c r="B11" s="5">
        <v>3</v>
      </c>
      <c r="C11" s="38" t="s">
        <v>197</v>
      </c>
      <c r="D11" s="21">
        <v>30</v>
      </c>
      <c r="E11" s="19"/>
      <c r="F11" s="20"/>
      <c r="G11" s="33"/>
    </row>
    <row r="12" spans="2:7" s="4" customFormat="1" ht="64.5" customHeight="1" thickBot="1" x14ac:dyDescent="0.3">
      <c r="B12" s="5">
        <v>4</v>
      </c>
      <c r="C12" s="38" t="s">
        <v>198</v>
      </c>
      <c r="D12" s="21">
        <v>25</v>
      </c>
      <c r="E12" s="19"/>
      <c r="F12" s="20"/>
      <c r="G12" s="33"/>
    </row>
    <row r="13" spans="2:7" s="4" customFormat="1" ht="64.5" customHeight="1" thickBot="1" x14ac:dyDescent="0.3">
      <c r="B13" s="5">
        <v>5</v>
      </c>
      <c r="C13" s="38" t="s">
        <v>235</v>
      </c>
      <c r="D13" s="21">
        <v>30</v>
      </c>
      <c r="E13" s="19"/>
      <c r="F13" s="20"/>
      <c r="G13" s="33"/>
    </row>
    <row r="14" spans="2:7" s="4" customFormat="1" ht="64.5" customHeight="1" thickBot="1" x14ac:dyDescent="0.3">
      <c r="B14" s="5">
        <v>6</v>
      </c>
      <c r="C14" s="38" t="s">
        <v>201</v>
      </c>
      <c r="D14" s="21">
        <v>15</v>
      </c>
      <c r="E14" s="19"/>
      <c r="F14" s="20"/>
      <c r="G14" s="33"/>
    </row>
    <row r="15" spans="2:7" s="4" customFormat="1" ht="64.5" customHeight="1" thickBot="1" x14ac:dyDescent="0.3">
      <c r="B15" s="5">
        <v>7</v>
      </c>
      <c r="C15" s="38" t="s">
        <v>199</v>
      </c>
      <c r="D15" s="21">
        <v>30</v>
      </c>
      <c r="E15" s="19"/>
      <c r="F15" s="20"/>
      <c r="G15" s="33"/>
    </row>
    <row r="16" spans="2:7" s="4" customFormat="1" ht="64.5" customHeight="1" thickBot="1" x14ac:dyDescent="0.3">
      <c r="B16" s="5">
        <v>8</v>
      </c>
      <c r="C16" s="38" t="s">
        <v>200</v>
      </c>
      <c r="D16" s="21">
        <v>20</v>
      </c>
      <c r="E16" s="19"/>
      <c r="F16" s="20"/>
      <c r="G16" s="33"/>
    </row>
    <row r="17" spans="2:7" s="4" customFormat="1" ht="64.5" customHeight="1" thickBot="1" x14ac:dyDescent="0.3">
      <c r="B17" s="5">
        <v>9</v>
      </c>
      <c r="C17" s="38"/>
      <c r="D17" s="21"/>
      <c r="E17" s="19"/>
      <c r="F17" s="20"/>
      <c r="G17" s="33"/>
    </row>
    <row r="18" spans="2:7" ht="18.75" thickBot="1" x14ac:dyDescent="0.3">
      <c r="B18" s="110" t="s">
        <v>14</v>
      </c>
      <c r="C18" s="111"/>
      <c r="D18" s="112" t="s">
        <v>7</v>
      </c>
      <c r="E18" s="113"/>
      <c r="F18" s="114"/>
      <c r="G18" s="24" t="s">
        <v>8</v>
      </c>
    </row>
    <row r="19" spans="2:7" x14ac:dyDescent="0.25">
      <c r="B19" s="115"/>
      <c r="C19" s="116"/>
      <c r="D19" s="116"/>
      <c r="E19" s="116"/>
      <c r="F19" s="116"/>
      <c r="G19" s="100"/>
    </row>
    <row r="20" spans="2:7" x14ac:dyDescent="0.25">
      <c r="B20" s="117"/>
      <c r="C20" s="118"/>
      <c r="D20" s="118"/>
      <c r="E20" s="118"/>
      <c r="F20" s="118"/>
      <c r="G20" s="101"/>
    </row>
    <row r="21" spans="2:7" x14ac:dyDescent="0.25">
      <c r="B21" s="117"/>
      <c r="C21" s="118"/>
      <c r="D21" s="118"/>
      <c r="E21" s="118"/>
      <c r="F21" s="118"/>
      <c r="G21" s="101"/>
    </row>
    <row r="22" spans="2:7" x14ac:dyDescent="0.25">
      <c r="B22" s="117"/>
      <c r="C22" s="118"/>
      <c r="D22" s="118"/>
      <c r="E22" s="118"/>
      <c r="F22" s="118"/>
      <c r="G22" s="101"/>
    </row>
    <row r="23" spans="2:7" ht="15.75" thickBot="1" x14ac:dyDescent="0.3">
      <c r="B23" s="119"/>
      <c r="C23" s="120"/>
      <c r="D23" s="120"/>
      <c r="E23" s="120"/>
      <c r="F23" s="120"/>
      <c r="G23" s="102"/>
    </row>
    <row r="27" spans="2:7" x14ac:dyDescent="0.25">
      <c r="C27" s="1" t="s">
        <v>207</v>
      </c>
    </row>
    <row r="36" spans="1:1" ht="18.75" x14ac:dyDescent="0.25">
      <c r="A36" s="37">
        <f>+B13+1</f>
        <v>6</v>
      </c>
    </row>
  </sheetData>
  <sheetProtection selectLockedCells="1"/>
  <mergeCells count="8">
    <mergeCell ref="G19:G23"/>
    <mergeCell ref="B3:F3"/>
    <mergeCell ref="D4:F4"/>
    <mergeCell ref="E7:F7"/>
    <mergeCell ref="B18:C18"/>
    <mergeCell ref="D18:F18"/>
    <mergeCell ref="B19:C23"/>
    <mergeCell ref="D19:F23"/>
  </mergeCells>
  <conditionalFormatting sqref="D9:D17">
    <cfRule type="cellIs" dxfId="53" priority="1" operator="equal">
      <formula>3</formula>
    </cfRule>
    <cfRule type="cellIs" dxfId="5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G37"/>
  <sheetViews>
    <sheetView zoomScale="55" zoomScaleNormal="55" zoomScalePageLayoutView="70" workbookViewId="0">
      <selection activeCell="L10" sqref="L1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3" t="s">
        <v>210</v>
      </c>
    </row>
    <row r="4" spans="2:7" ht="24" thickBot="1" x14ac:dyDescent="0.3">
      <c r="B4" s="14"/>
      <c r="C4" s="15" t="s">
        <v>204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31.5" x14ac:dyDescent="0.25">
      <c r="B5" s="67"/>
      <c r="C5" s="64" t="s">
        <v>253</v>
      </c>
      <c r="D5" s="68"/>
      <c r="E5" s="68"/>
      <c r="F5" s="68"/>
      <c r="G5" s="68"/>
    </row>
    <row r="6" spans="2:7" ht="42" x14ac:dyDescent="0.25">
      <c r="B6" s="67"/>
      <c r="C6" s="66" t="s">
        <v>242</v>
      </c>
      <c r="D6" s="68"/>
      <c r="E6" s="68"/>
      <c r="F6" s="68"/>
      <c r="G6" s="68"/>
    </row>
    <row r="7" spans="2:7" ht="8.25" customHeight="1" thickBot="1" x14ac:dyDescent="0.3">
      <c r="B7" s="2"/>
      <c r="C7" s="2"/>
      <c r="D7" s="3"/>
      <c r="E7" s="3"/>
      <c r="F7" s="3"/>
      <c r="G7" s="3"/>
    </row>
    <row r="8" spans="2:7" ht="20.25" customHeight="1" thickBot="1" x14ac:dyDescent="0.3">
      <c r="C8" s="50" t="s">
        <v>134</v>
      </c>
      <c r="E8" s="108" t="s">
        <v>0</v>
      </c>
      <c r="F8" s="109"/>
    </row>
    <row r="9" spans="2:7" s="4" customFormat="1" ht="24" customHeight="1" thickBot="1" x14ac:dyDescent="0.3">
      <c r="B9" s="25" t="s">
        <v>1</v>
      </c>
      <c r="C9" s="26" t="s">
        <v>2</v>
      </c>
      <c r="D9" s="27" t="s">
        <v>3</v>
      </c>
      <c r="E9" s="29" t="s">
        <v>4</v>
      </c>
      <c r="F9" s="30" t="s">
        <v>5</v>
      </c>
      <c r="G9" s="28" t="s">
        <v>6</v>
      </c>
    </row>
    <row r="10" spans="2:7" s="4" customFormat="1" ht="64.5" customHeight="1" thickBot="1" x14ac:dyDescent="0.3">
      <c r="B10" s="5">
        <v>1</v>
      </c>
      <c r="C10" s="16" t="s">
        <v>195</v>
      </c>
      <c r="D10" s="21">
        <v>60</v>
      </c>
      <c r="E10" s="19"/>
      <c r="F10" s="20"/>
      <c r="G10" s="33"/>
    </row>
    <row r="11" spans="2:7" s="4" customFormat="1" ht="64.5" customHeight="1" thickBot="1" x14ac:dyDescent="0.3">
      <c r="B11" s="5">
        <v>2</v>
      </c>
      <c r="C11" s="38" t="s">
        <v>196</v>
      </c>
      <c r="D11" s="21">
        <v>20</v>
      </c>
      <c r="E11" s="19"/>
      <c r="F11" s="20"/>
      <c r="G11" s="33"/>
    </row>
    <row r="12" spans="2:7" s="4" customFormat="1" ht="64.5" customHeight="1" thickBot="1" x14ac:dyDescent="0.3">
      <c r="B12" s="5">
        <v>3</v>
      </c>
      <c r="C12" s="38" t="s">
        <v>197</v>
      </c>
      <c r="D12" s="21">
        <v>30</v>
      </c>
      <c r="E12" s="19"/>
      <c r="F12" s="20"/>
      <c r="G12" s="33"/>
    </row>
    <row r="13" spans="2:7" s="4" customFormat="1" ht="64.5" customHeight="1" thickBot="1" x14ac:dyDescent="0.3">
      <c r="B13" s="5">
        <v>4</v>
      </c>
      <c r="C13" s="38" t="s">
        <v>198</v>
      </c>
      <c r="D13" s="21">
        <v>25</v>
      </c>
      <c r="E13" s="19"/>
      <c r="F13" s="20"/>
      <c r="G13" s="33"/>
    </row>
    <row r="14" spans="2:7" s="4" customFormat="1" ht="64.5" customHeight="1" thickBot="1" x14ac:dyDescent="0.3">
      <c r="B14" s="5">
        <v>5</v>
      </c>
      <c r="C14" s="38" t="s">
        <v>235</v>
      </c>
      <c r="D14" s="21">
        <v>30</v>
      </c>
      <c r="E14" s="19"/>
      <c r="F14" s="20"/>
      <c r="G14" s="33"/>
    </row>
    <row r="15" spans="2:7" s="4" customFormat="1" ht="64.5" customHeight="1" thickBot="1" x14ac:dyDescent="0.3">
      <c r="B15" s="5">
        <v>6</v>
      </c>
      <c r="C15" s="38" t="s">
        <v>201</v>
      </c>
      <c r="D15" s="21">
        <v>15</v>
      </c>
      <c r="E15" s="19"/>
      <c r="F15" s="20"/>
      <c r="G15" s="33"/>
    </row>
    <row r="16" spans="2:7" s="4" customFormat="1" ht="64.5" customHeight="1" thickBot="1" x14ac:dyDescent="0.3">
      <c r="B16" s="5">
        <v>7</v>
      </c>
      <c r="C16" s="38" t="s">
        <v>199</v>
      </c>
      <c r="D16" s="21">
        <v>30</v>
      </c>
      <c r="E16" s="19"/>
      <c r="F16" s="20"/>
      <c r="G16" s="33"/>
    </row>
    <row r="17" spans="2:7" s="4" customFormat="1" ht="64.5" customHeight="1" thickBot="1" x14ac:dyDescent="0.3">
      <c r="B17" s="5">
        <v>8</v>
      </c>
      <c r="C17" s="38" t="s">
        <v>200</v>
      </c>
      <c r="D17" s="21">
        <v>20</v>
      </c>
      <c r="E17" s="19"/>
      <c r="F17" s="20"/>
      <c r="G17" s="33"/>
    </row>
    <row r="18" spans="2:7" s="4" customFormat="1" ht="64.5" customHeight="1" thickBot="1" x14ac:dyDescent="0.3">
      <c r="B18" s="5">
        <v>9</v>
      </c>
      <c r="C18" s="38"/>
      <c r="D18" s="21"/>
      <c r="E18" s="19"/>
      <c r="F18" s="20"/>
      <c r="G18" s="33"/>
    </row>
    <row r="19" spans="2:7" ht="18.75" thickBot="1" x14ac:dyDescent="0.3">
      <c r="B19" s="110" t="s">
        <v>14</v>
      </c>
      <c r="C19" s="111"/>
      <c r="D19" s="112" t="s">
        <v>7</v>
      </c>
      <c r="E19" s="113"/>
      <c r="F19" s="114"/>
      <c r="G19" s="24" t="s">
        <v>8</v>
      </c>
    </row>
    <row r="20" spans="2:7" x14ac:dyDescent="0.25">
      <c r="B20" s="115"/>
      <c r="C20" s="116"/>
      <c r="D20" s="116"/>
      <c r="E20" s="116"/>
      <c r="F20" s="116"/>
      <c r="G20" s="100"/>
    </row>
    <row r="21" spans="2:7" x14ac:dyDescent="0.25">
      <c r="B21" s="117"/>
      <c r="C21" s="118"/>
      <c r="D21" s="118"/>
      <c r="E21" s="118"/>
      <c r="F21" s="118"/>
      <c r="G21" s="101"/>
    </row>
    <row r="22" spans="2:7" x14ac:dyDescent="0.25">
      <c r="B22" s="117"/>
      <c r="C22" s="118"/>
      <c r="D22" s="118"/>
      <c r="E22" s="118"/>
      <c r="F22" s="118"/>
      <c r="G22" s="101"/>
    </row>
    <row r="23" spans="2:7" x14ac:dyDescent="0.25">
      <c r="B23" s="117"/>
      <c r="C23" s="118"/>
      <c r="D23" s="118"/>
      <c r="E23" s="118"/>
      <c r="F23" s="118"/>
      <c r="G23" s="101"/>
    </row>
    <row r="24" spans="2:7" ht="15.75" thickBot="1" x14ac:dyDescent="0.3">
      <c r="B24" s="119"/>
      <c r="C24" s="120"/>
      <c r="D24" s="120"/>
      <c r="E24" s="120"/>
      <c r="F24" s="120"/>
      <c r="G24" s="102"/>
    </row>
    <row r="28" spans="2:7" x14ac:dyDescent="0.25">
      <c r="C28" s="1" t="s">
        <v>207</v>
      </c>
    </row>
    <row r="37" spans="1:1" ht="18.75" x14ac:dyDescent="0.25">
      <c r="A37" s="37">
        <f>+B14+1</f>
        <v>6</v>
      </c>
    </row>
  </sheetData>
  <sheetProtection selectLockedCells="1"/>
  <mergeCells count="8">
    <mergeCell ref="G20:G24"/>
    <mergeCell ref="B3:F3"/>
    <mergeCell ref="D4:F4"/>
    <mergeCell ref="E8:F8"/>
    <mergeCell ref="B19:C19"/>
    <mergeCell ref="D19:F19"/>
    <mergeCell ref="B20:C24"/>
    <mergeCell ref="D20:F24"/>
  </mergeCells>
  <conditionalFormatting sqref="D10:D18">
    <cfRule type="cellIs" dxfId="51" priority="1" operator="equal">
      <formula>3</formula>
    </cfRule>
    <cfRule type="cellIs" dxfId="5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  <pageSetUpPr fitToPage="1"/>
  </sheetPr>
  <dimension ref="B1:G28"/>
  <sheetViews>
    <sheetView zoomScale="50" zoomScaleNormal="50" zoomScalePageLayoutView="70" workbookViewId="0">
      <selection activeCell="D18" sqref="D18:F29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44"/>
    </row>
    <row r="4" spans="2:7" ht="24" thickBot="1" x14ac:dyDescent="0.3">
      <c r="B4" s="14"/>
      <c r="C4" s="15" t="s">
        <v>18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C6" s="50" t="s">
        <v>134</v>
      </c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51</v>
      </c>
      <c r="D8" s="21">
        <v>10</v>
      </c>
      <c r="E8" s="19"/>
      <c r="F8" s="20"/>
      <c r="G8" s="33"/>
    </row>
    <row r="9" spans="2:7" s="4" customFormat="1" ht="64.5" customHeight="1" thickBot="1" x14ac:dyDescent="0.3">
      <c r="B9" s="37">
        <v>2</v>
      </c>
      <c r="C9" s="38" t="s">
        <v>53</v>
      </c>
      <c r="D9" s="21">
        <v>5</v>
      </c>
      <c r="E9" s="19"/>
      <c r="F9" s="20"/>
      <c r="G9" s="33"/>
    </row>
    <row r="10" spans="2:7" s="4" customFormat="1" ht="64.5" customHeight="1" x14ac:dyDescent="0.25">
      <c r="B10" s="5">
        <v>3</v>
      </c>
      <c r="C10" s="38" t="s">
        <v>54</v>
      </c>
      <c r="D10" s="21">
        <v>5</v>
      </c>
      <c r="E10" s="19"/>
      <c r="F10" s="20"/>
      <c r="G10" s="33"/>
    </row>
    <row r="11" spans="2:7" s="4" customFormat="1" ht="64.5" customHeight="1" thickBot="1" x14ac:dyDescent="0.3">
      <c r="B11" s="37">
        <v>4</v>
      </c>
      <c r="C11" s="38" t="s">
        <v>55</v>
      </c>
      <c r="D11" s="21">
        <v>15</v>
      </c>
      <c r="E11" s="19"/>
      <c r="F11" s="20"/>
      <c r="G11" s="33"/>
    </row>
    <row r="12" spans="2:7" s="4" customFormat="1" ht="64.5" customHeight="1" x14ac:dyDescent="0.25">
      <c r="B12" s="5">
        <v>5</v>
      </c>
      <c r="C12" s="38" t="s">
        <v>56</v>
      </c>
      <c r="D12" s="21">
        <v>10</v>
      </c>
      <c r="E12" s="19"/>
      <c r="F12" s="20"/>
      <c r="G12" s="33"/>
    </row>
    <row r="13" spans="2:7" s="4" customFormat="1" ht="64.5" customHeight="1" thickBot="1" x14ac:dyDescent="0.3">
      <c r="B13" s="37">
        <v>6</v>
      </c>
      <c r="C13" s="38" t="s">
        <v>57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5">
        <v>7</v>
      </c>
      <c r="C14" s="38"/>
      <c r="D14" s="21"/>
      <c r="E14" s="19"/>
      <c r="F14" s="20"/>
      <c r="G14" s="33"/>
    </row>
    <row r="15" spans="2:7" s="4" customFormat="1" ht="64.5" customHeight="1" thickBot="1" x14ac:dyDescent="0.3">
      <c r="B15" s="37">
        <v>8</v>
      </c>
      <c r="C15" s="38"/>
      <c r="D15" s="21"/>
      <c r="E15" s="19"/>
      <c r="F15" s="20"/>
      <c r="G15" s="33"/>
    </row>
    <row r="16" spans="2:7" s="4" customFormat="1" ht="64.5" customHeight="1" thickBot="1" x14ac:dyDescent="0.3">
      <c r="B16" s="5">
        <v>11</v>
      </c>
      <c r="C16" s="38"/>
      <c r="D16" s="21"/>
      <c r="E16" s="19"/>
      <c r="F16" s="20"/>
      <c r="G16" s="33"/>
    </row>
    <row r="17" spans="2:7" ht="18.75" thickBot="1" x14ac:dyDescent="0.3">
      <c r="B17" s="110" t="s">
        <v>14</v>
      </c>
      <c r="C17" s="111"/>
      <c r="D17" s="112" t="s">
        <v>7</v>
      </c>
      <c r="E17" s="113"/>
      <c r="F17" s="114"/>
      <c r="G17" s="24" t="s">
        <v>8</v>
      </c>
    </row>
    <row r="18" spans="2:7" x14ac:dyDescent="0.25">
      <c r="B18" s="115"/>
      <c r="C18" s="116"/>
      <c r="D18" s="116"/>
      <c r="E18" s="116"/>
      <c r="F18" s="116"/>
      <c r="G18" s="100"/>
    </row>
    <row r="19" spans="2:7" x14ac:dyDescent="0.25">
      <c r="B19" s="117"/>
      <c r="C19" s="118"/>
      <c r="D19" s="118"/>
      <c r="E19" s="118"/>
      <c r="F19" s="118"/>
      <c r="G19" s="101"/>
    </row>
    <row r="20" spans="2:7" x14ac:dyDescent="0.25">
      <c r="B20" s="117"/>
      <c r="C20" s="118"/>
      <c r="D20" s="118"/>
      <c r="E20" s="118"/>
      <c r="F20" s="118"/>
      <c r="G20" s="101"/>
    </row>
    <row r="21" spans="2:7" x14ac:dyDescent="0.25">
      <c r="B21" s="117"/>
      <c r="C21" s="118"/>
      <c r="D21" s="118"/>
      <c r="E21" s="118"/>
      <c r="F21" s="118"/>
      <c r="G21" s="101"/>
    </row>
    <row r="22" spans="2:7" ht="15.75" thickBot="1" x14ac:dyDescent="0.3">
      <c r="B22" s="119"/>
      <c r="C22" s="120"/>
      <c r="D22" s="120"/>
      <c r="E22" s="120"/>
      <c r="F22" s="120"/>
      <c r="G22" s="102"/>
    </row>
    <row r="28" spans="2:7" x14ac:dyDescent="0.25">
      <c r="C28" s="1" t="s">
        <v>207</v>
      </c>
    </row>
  </sheetData>
  <sheetProtection selectLockedCells="1"/>
  <mergeCells count="8">
    <mergeCell ref="B18:C22"/>
    <mergeCell ref="D18:F22"/>
    <mergeCell ref="G18:G22"/>
    <mergeCell ref="B3:F3"/>
    <mergeCell ref="D4:F4"/>
    <mergeCell ref="E6:F6"/>
    <mergeCell ref="B17:C17"/>
    <mergeCell ref="D17:F17"/>
  </mergeCells>
  <conditionalFormatting sqref="D8:D16">
    <cfRule type="cellIs" dxfId="49" priority="3" operator="equal">
      <formula>3</formula>
    </cfRule>
    <cfRule type="cellIs" dxfId="48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F5F1-1988-490F-A773-46A459A39BE0}">
  <sheetPr>
    <tabColor rgb="FFFFC000"/>
    <pageSetUpPr fitToPage="1"/>
  </sheetPr>
  <dimension ref="A1:G35"/>
  <sheetViews>
    <sheetView view="pageBreakPreview" topLeftCell="A4" zoomScale="60" zoomScaleNormal="63" zoomScalePageLayoutView="70" workbookViewId="0">
      <selection activeCell="L10" sqref="L1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203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31.5" x14ac:dyDescent="0.25">
      <c r="B5" s="67"/>
      <c r="C5" s="64" t="s">
        <v>243</v>
      </c>
      <c r="D5" s="68"/>
      <c r="E5" s="68"/>
      <c r="F5" s="68"/>
      <c r="G5" s="68"/>
    </row>
    <row r="6" spans="2:7" ht="42.75" thickBot="1" x14ac:dyDescent="0.3">
      <c r="B6" s="67"/>
      <c r="C6" s="66" t="s">
        <v>242</v>
      </c>
      <c r="D6" s="68"/>
      <c r="E6" s="68"/>
      <c r="F6" s="68"/>
      <c r="G6" s="68"/>
    </row>
    <row r="7" spans="2:7" ht="20.25" customHeight="1" thickBot="1" x14ac:dyDescent="0.3">
      <c r="C7" s="50"/>
      <c r="E7" s="108" t="s">
        <v>0</v>
      </c>
      <c r="F7" s="109"/>
    </row>
    <row r="8" spans="2:7" s="4" customFormat="1" ht="24" customHeight="1" thickBot="1" x14ac:dyDescent="0.3">
      <c r="B8" s="25" t="s">
        <v>1</v>
      </c>
      <c r="C8" s="26" t="s">
        <v>2</v>
      </c>
      <c r="D8" s="27" t="s">
        <v>3</v>
      </c>
      <c r="E8" s="29" t="s">
        <v>4</v>
      </c>
      <c r="F8" s="30" t="s">
        <v>5</v>
      </c>
      <c r="G8" s="28" t="s">
        <v>6</v>
      </c>
    </row>
    <row r="9" spans="2:7" s="4" customFormat="1" ht="64.5" customHeight="1" thickBot="1" x14ac:dyDescent="0.3">
      <c r="B9" s="5">
        <v>1</v>
      </c>
      <c r="C9" s="16" t="s">
        <v>195</v>
      </c>
      <c r="D9" s="21">
        <v>60</v>
      </c>
      <c r="E9" s="19"/>
      <c r="F9" s="20"/>
      <c r="G9" s="33"/>
    </row>
    <row r="10" spans="2:7" s="4" customFormat="1" ht="64.5" customHeight="1" thickBot="1" x14ac:dyDescent="0.3">
      <c r="B10" s="5">
        <v>2</v>
      </c>
      <c r="C10" s="38" t="s">
        <v>196</v>
      </c>
      <c r="D10" s="21">
        <v>20</v>
      </c>
      <c r="E10" s="19"/>
      <c r="F10" s="20"/>
      <c r="G10" s="33"/>
    </row>
    <row r="11" spans="2:7" s="4" customFormat="1" ht="64.5" customHeight="1" thickBot="1" x14ac:dyDescent="0.3">
      <c r="B11" s="5">
        <v>3</v>
      </c>
      <c r="C11" s="38" t="s">
        <v>197</v>
      </c>
      <c r="D11" s="21">
        <v>30</v>
      </c>
      <c r="E11" s="19"/>
      <c r="F11" s="20"/>
      <c r="G11" s="33"/>
    </row>
    <row r="12" spans="2:7" s="4" customFormat="1" ht="64.5" customHeight="1" thickBot="1" x14ac:dyDescent="0.3">
      <c r="B12" s="5">
        <v>4</v>
      </c>
      <c r="C12" s="38" t="s">
        <v>205</v>
      </c>
      <c r="D12" s="21">
        <v>25</v>
      </c>
      <c r="E12" s="19"/>
      <c r="F12" s="20"/>
      <c r="G12" s="33"/>
    </row>
    <row r="13" spans="2:7" s="4" customFormat="1" ht="64.5" customHeight="1" thickBot="1" x14ac:dyDescent="0.3">
      <c r="B13" s="5">
        <v>5</v>
      </c>
      <c r="C13" s="38" t="s">
        <v>206</v>
      </c>
      <c r="D13" s="21">
        <v>30</v>
      </c>
      <c r="E13" s="19"/>
      <c r="F13" s="20"/>
      <c r="G13" s="33"/>
    </row>
    <row r="14" spans="2:7" s="4" customFormat="1" ht="64.5" customHeight="1" thickBot="1" x14ac:dyDescent="0.3">
      <c r="B14" s="5">
        <v>6</v>
      </c>
      <c r="C14" s="38" t="s">
        <v>200</v>
      </c>
      <c r="D14" s="21">
        <v>20</v>
      </c>
      <c r="E14" s="19"/>
      <c r="F14" s="20"/>
      <c r="G14" s="33"/>
    </row>
    <row r="15" spans="2:7" s="4" customFormat="1" ht="64.5" customHeight="1" thickBot="1" x14ac:dyDescent="0.3">
      <c r="B15" s="5">
        <v>7</v>
      </c>
      <c r="C15" s="38" t="s">
        <v>234</v>
      </c>
      <c r="D15" s="21"/>
      <c r="E15" s="19"/>
      <c r="F15" s="20"/>
      <c r="G15" s="33"/>
    </row>
    <row r="16" spans="2:7" s="4" customFormat="1" ht="64.5" customHeight="1" thickBot="1" x14ac:dyDescent="0.3">
      <c r="B16" s="5">
        <v>8</v>
      </c>
      <c r="C16" s="38" t="s">
        <v>208</v>
      </c>
      <c r="D16" s="21">
        <v>30</v>
      </c>
      <c r="E16" s="19"/>
      <c r="F16" s="20"/>
      <c r="G16" s="33"/>
    </row>
    <row r="17" spans="2:7" ht="18.75" thickBot="1" x14ac:dyDescent="0.3">
      <c r="B17" s="110" t="s">
        <v>14</v>
      </c>
      <c r="C17" s="111"/>
      <c r="D17" s="112" t="s">
        <v>7</v>
      </c>
      <c r="E17" s="113"/>
      <c r="F17" s="114"/>
      <c r="G17" s="24" t="s">
        <v>8</v>
      </c>
    </row>
    <row r="18" spans="2:7" x14ac:dyDescent="0.25">
      <c r="B18" s="115"/>
      <c r="C18" s="116"/>
      <c r="D18" s="116"/>
      <c r="E18" s="116"/>
      <c r="F18" s="116"/>
      <c r="G18" s="100"/>
    </row>
    <row r="19" spans="2:7" x14ac:dyDescent="0.25">
      <c r="B19" s="117"/>
      <c r="C19" s="118"/>
      <c r="D19" s="118"/>
      <c r="E19" s="118"/>
      <c r="F19" s="118"/>
      <c r="G19" s="101"/>
    </row>
    <row r="20" spans="2:7" x14ac:dyDescent="0.25">
      <c r="B20" s="117"/>
      <c r="C20" s="118"/>
      <c r="D20" s="118"/>
      <c r="E20" s="118"/>
      <c r="F20" s="118"/>
      <c r="G20" s="101"/>
    </row>
    <row r="21" spans="2:7" x14ac:dyDescent="0.25">
      <c r="B21" s="117"/>
      <c r="C21" s="118"/>
      <c r="D21" s="118"/>
      <c r="E21" s="118"/>
      <c r="F21" s="118"/>
      <c r="G21" s="101"/>
    </row>
    <row r="22" spans="2:7" ht="15.75" thickBot="1" x14ac:dyDescent="0.3">
      <c r="B22" s="119"/>
      <c r="C22" s="120"/>
      <c r="D22" s="120"/>
      <c r="E22" s="120"/>
      <c r="F22" s="120"/>
      <c r="G22" s="102"/>
    </row>
    <row r="27" spans="2:7" x14ac:dyDescent="0.25">
      <c r="C27" s="1" t="s">
        <v>207</v>
      </c>
    </row>
    <row r="35" spans="1:1" ht="18.75" x14ac:dyDescent="0.25">
      <c r="A35" s="37">
        <f>+B13+1</f>
        <v>6</v>
      </c>
    </row>
  </sheetData>
  <sheetProtection selectLockedCells="1"/>
  <mergeCells count="8">
    <mergeCell ref="G18:G22"/>
    <mergeCell ref="B3:F3"/>
    <mergeCell ref="D4:F4"/>
    <mergeCell ref="E7:F7"/>
    <mergeCell ref="B17:C17"/>
    <mergeCell ref="D17:F17"/>
    <mergeCell ref="B18:C22"/>
    <mergeCell ref="D18:F22"/>
  </mergeCells>
  <conditionalFormatting sqref="D9:D16">
    <cfRule type="cellIs" dxfId="47" priority="1" operator="equal">
      <formula>3</formula>
    </cfRule>
    <cfRule type="cellIs" dxfId="4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F6F5-7345-4343-9C9A-2A225FB493D6}">
  <sheetPr>
    <tabColor rgb="FFFFC000"/>
    <pageSetUpPr fitToPage="1"/>
  </sheetPr>
  <dimension ref="A1:G35"/>
  <sheetViews>
    <sheetView view="pageBreakPreview" zoomScale="60" zoomScaleNormal="63" zoomScalePageLayoutView="70" workbookViewId="0">
      <selection activeCell="L10" sqref="L1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203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31.5" x14ac:dyDescent="0.25">
      <c r="B5" s="67"/>
      <c r="C5" s="64" t="s">
        <v>244</v>
      </c>
      <c r="D5" s="68"/>
      <c r="E5" s="68"/>
      <c r="F5" s="68"/>
      <c r="G5" s="68"/>
    </row>
    <row r="6" spans="2:7" ht="42.75" thickBot="1" x14ac:dyDescent="0.3">
      <c r="B6" s="67"/>
      <c r="C6" s="66" t="s">
        <v>242</v>
      </c>
      <c r="D6" s="68"/>
      <c r="E6" s="68"/>
      <c r="F6" s="68"/>
      <c r="G6" s="68"/>
    </row>
    <row r="7" spans="2:7" ht="20.25" customHeight="1" thickBot="1" x14ac:dyDescent="0.3">
      <c r="C7" s="50"/>
      <c r="E7" s="108" t="s">
        <v>0</v>
      </c>
      <c r="F7" s="109"/>
    </row>
    <row r="8" spans="2:7" s="4" customFormat="1" ht="24" customHeight="1" thickBot="1" x14ac:dyDescent="0.3">
      <c r="B8" s="25" t="s">
        <v>1</v>
      </c>
      <c r="C8" s="26" t="s">
        <v>2</v>
      </c>
      <c r="D8" s="27" t="s">
        <v>3</v>
      </c>
      <c r="E8" s="29" t="s">
        <v>4</v>
      </c>
      <c r="F8" s="30" t="s">
        <v>5</v>
      </c>
      <c r="G8" s="28" t="s">
        <v>6</v>
      </c>
    </row>
    <row r="9" spans="2:7" s="4" customFormat="1" ht="64.5" customHeight="1" thickBot="1" x14ac:dyDescent="0.3">
      <c r="B9" s="5">
        <v>1</v>
      </c>
      <c r="C9" s="16" t="s">
        <v>195</v>
      </c>
      <c r="D9" s="21">
        <v>60</v>
      </c>
      <c r="E9" s="19"/>
      <c r="F9" s="20"/>
      <c r="G9" s="33"/>
    </row>
    <row r="10" spans="2:7" s="4" customFormat="1" ht="64.5" customHeight="1" thickBot="1" x14ac:dyDescent="0.3">
      <c r="B10" s="5">
        <v>2</v>
      </c>
      <c r="C10" s="38" t="s">
        <v>196</v>
      </c>
      <c r="D10" s="21">
        <v>20</v>
      </c>
      <c r="E10" s="19"/>
      <c r="F10" s="20"/>
      <c r="G10" s="33"/>
    </row>
    <row r="11" spans="2:7" s="4" customFormat="1" ht="64.5" customHeight="1" thickBot="1" x14ac:dyDescent="0.3">
      <c r="B11" s="5">
        <v>3</v>
      </c>
      <c r="C11" s="38" t="s">
        <v>197</v>
      </c>
      <c r="D11" s="21">
        <v>30</v>
      </c>
      <c r="E11" s="19"/>
      <c r="F11" s="20"/>
      <c r="G11" s="33"/>
    </row>
    <row r="12" spans="2:7" s="4" customFormat="1" ht="64.5" customHeight="1" thickBot="1" x14ac:dyDescent="0.3">
      <c r="B12" s="5">
        <v>4</v>
      </c>
      <c r="C12" s="38" t="s">
        <v>205</v>
      </c>
      <c r="D12" s="21">
        <v>25</v>
      </c>
      <c r="E12" s="19"/>
      <c r="F12" s="20"/>
      <c r="G12" s="33"/>
    </row>
    <row r="13" spans="2:7" s="4" customFormat="1" ht="64.5" customHeight="1" thickBot="1" x14ac:dyDescent="0.3">
      <c r="B13" s="5">
        <v>5</v>
      </c>
      <c r="C13" s="38" t="s">
        <v>206</v>
      </c>
      <c r="D13" s="21">
        <v>30</v>
      </c>
      <c r="E13" s="19"/>
      <c r="F13" s="20"/>
      <c r="G13" s="33"/>
    </row>
    <row r="14" spans="2:7" s="4" customFormat="1" ht="64.5" customHeight="1" thickBot="1" x14ac:dyDescent="0.3">
      <c r="B14" s="5">
        <v>6</v>
      </c>
      <c r="C14" s="38" t="s">
        <v>200</v>
      </c>
      <c r="D14" s="21">
        <v>20</v>
      </c>
      <c r="E14" s="19"/>
      <c r="F14" s="20"/>
      <c r="G14" s="33"/>
    </row>
    <row r="15" spans="2:7" s="4" customFormat="1" ht="64.5" customHeight="1" thickBot="1" x14ac:dyDescent="0.3">
      <c r="B15" s="5">
        <v>7</v>
      </c>
      <c r="C15" s="38" t="s">
        <v>234</v>
      </c>
      <c r="D15" s="21"/>
      <c r="E15" s="19"/>
      <c r="F15" s="20"/>
      <c r="G15" s="33"/>
    </row>
    <row r="16" spans="2:7" s="4" customFormat="1" ht="64.5" customHeight="1" thickBot="1" x14ac:dyDescent="0.3">
      <c r="B16" s="5">
        <v>8</v>
      </c>
      <c r="C16" s="38" t="s">
        <v>208</v>
      </c>
      <c r="D16" s="21">
        <v>30</v>
      </c>
      <c r="E16" s="19"/>
      <c r="F16" s="20"/>
      <c r="G16" s="33"/>
    </row>
    <row r="17" spans="2:7" ht="18.75" thickBot="1" x14ac:dyDescent="0.3">
      <c r="B17" s="110" t="s">
        <v>14</v>
      </c>
      <c r="C17" s="111"/>
      <c r="D17" s="112" t="s">
        <v>7</v>
      </c>
      <c r="E17" s="113"/>
      <c r="F17" s="114"/>
      <c r="G17" s="24" t="s">
        <v>8</v>
      </c>
    </row>
    <row r="18" spans="2:7" x14ac:dyDescent="0.25">
      <c r="B18" s="115"/>
      <c r="C18" s="116"/>
      <c r="D18" s="116"/>
      <c r="E18" s="116"/>
      <c r="F18" s="116"/>
      <c r="G18" s="100"/>
    </row>
    <row r="19" spans="2:7" x14ac:dyDescent="0.25">
      <c r="B19" s="117"/>
      <c r="C19" s="118"/>
      <c r="D19" s="118"/>
      <c r="E19" s="118"/>
      <c r="F19" s="118"/>
      <c r="G19" s="101"/>
    </row>
    <row r="20" spans="2:7" x14ac:dyDescent="0.25">
      <c r="B20" s="117"/>
      <c r="C20" s="118"/>
      <c r="D20" s="118"/>
      <c r="E20" s="118"/>
      <c r="F20" s="118"/>
      <c r="G20" s="101"/>
    </row>
    <row r="21" spans="2:7" x14ac:dyDescent="0.25">
      <c r="B21" s="117"/>
      <c r="C21" s="118"/>
      <c r="D21" s="118"/>
      <c r="E21" s="118"/>
      <c r="F21" s="118"/>
      <c r="G21" s="101"/>
    </row>
    <row r="22" spans="2:7" ht="15.75" thickBot="1" x14ac:dyDescent="0.3">
      <c r="B22" s="119"/>
      <c r="C22" s="120"/>
      <c r="D22" s="120"/>
      <c r="E22" s="120"/>
      <c r="F22" s="120"/>
      <c r="G22" s="102"/>
    </row>
    <row r="27" spans="2:7" x14ac:dyDescent="0.25">
      <c r="C27" s="1" t="s">
        <v>207</v>
      </c>
    </row>
    <row r="35" spans="1:1" ht="18.75" x14ac:dyDescent="0.25">
      <c r="A35" s="37">
        <f>+B13+1</f>
        <v>6</v>
      </c>
    </row>
  </sheetData>
  <sheetProtection selectLockedCells="1"/>
  <mergeCells count="8">
    <mergeCell ref="G18:G22"/>
    <mergeCell ref="B3:F3"/>
    <mergeCell ref="D4:F4"/>
    <mergeCell ref="E7:F7"/>
    <mergeCell ref="B17:C17"/>
    <mergeCell ref="D17:F17"/>
    <mergeCell ref="B18:C22"/>
    <mergeCell ref="D18:F22"/>
  </mergeCells>
  <conditionalFormatting sqref="D9:D16">
    <cfRule type="cellIs" dxfId="45" priority="1" operator="equal">
      <formula>3</formula>
    </cfRule>
    <cfRule type="cellIs" dxfId="4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>
    <tabColor rgb="FFFFC000"/>
    <pageSetUpPr fitToPage="1"/>
  </sheetPr>
  <dimension ref="B1:G33"/>
  <sheetViews>
    <sheetView view="pageBreakPreview" topLeftCell="A20" zoomScale="95" zoomScaleNormal="55" zoomScaleSheetLayoutView="95" zoomScalePageLayoutView="70" workbookViewId="0">
      <selection activeCell="B29" sqref="B29:C3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19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C6" s="50" t="s">
        <v>134</v>
      </c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39" customHeight="1" thickBot="1" x14ac:dyDescent="0.3">
      <c r="B8" s="5">
        <v>1</v>
      </c>
      <c r="C8" s="16" t="s">
        <v>62</v>
      </c>
      <c r="D8" s="21">
        <v>15</v>
      </c>
      <c r="E8" s="19"/>
      <c r="F8" s="20"/>
      <c r="G8" s="33"/>
    </row>
    <row r="9" spans="2:7" s="4" customFormat="1" ht="45" customHeight="1" thickBot="1" x14ac:dyDescent="0.3">
      <c r="B9" s="5">
        <v>2</v>
      </c>
      <c r="C9" s="38" t="s">
        <v>63</v>
      </c>
      <c r="D9" s="21">
        <v>10</v>
      </c>
      <c r="E9" s="19"/>
      <c r="F9" s="20"/>
      <c r="G9" s="33"/>
    </row>
    <row r="10" spans="2:7" s="4" customFormat="1" ht="48.75" customHeight="1" thickBot="1" x14ac:dyDescent="0.3">
      <c r="B10" s="5">
        <v>3</v>
      </c>
      <c r="C10" s="38" t="s">
        <v>64</v>
      </c>
      <c r="D10" s="56">
        <v>10</v>
      </c>
      <c r="E10" s="19"/>
      <c r="F10" s="20"/>
      <c r="G10" s="33"/>
    </row>
    <row r="11" spans="2:7" s="4" customFormat="1" ht="33.75" customHeight="1" thickBot="1" x14ac:dyDescent="0.3">
      <c r="B11" s="5">
        <v>4</v>
      </c>
      <c r="C11" s="38" t="s">
        <v>69</v>
      </c>
      <c r="D11" s="21">
        <v>5</v>
      </c>
      <c r="E11" s="19"/>
      <c r="F11" s="20"/>
      <c r="G11" s="33"/>
    </row>
    <row r="12" spans="2:7" s="4" customFormat="1" ht="54" customHeight="1" thickBot="1" x14ac:dyDescent="0.3">
      <c r="B12" s="5">
        <v>5</v>
      </c>
      <c r="C12" s="38" t="s">
        <v>83</v>
      </c>
      <c r="D12" s="21">
        <v>5</v>
      </c>
      <c r="E12" s="19"/>
      <c r="F12" s="20"/>
      <c r="G12" s="33"/>
    </row>
    <row r="13" spans="2:7" s="4" customFormat="1" ht="51.75" customHeight="1" thickBot="1" x14ac:dyDescent="0.3">
      <c r="B13" s="5">
        <v>6</v>
      </c>
      <c r="C13" s="38" t="s">
        <v>86</v>
      </c>
      <c r="D13" s="21">
        <v>5</v>
      </c>
      <c r="E13" s="19"/>
      <c r="F13" s="20"/>
      <c r="G13" s="33"/>
    </row>
    <row r="14" spans="2:7" s="4" customFormat="1" ht="54" customHeight="1" thickBot="1" x14ac:dyDescent="0.3">
      <c r="B14" s="5">
        <v>7</v>
      </c>
      <c r="C14" s="38" t="s">
        <v>186</v>
      </c>
      <c r="D14" s="21">
        <v>5</v>
      </c>
      <c r="E14" s="19"/>
      <c r="F14" s="20"/>
      <c r="G14" s="33"/>
    </row>
    <row r="15" spans="2:7" s="4" customFormat="1" ht="59.25" customHeight="1" thickBot="1" x14ac:dyDescent="0.3">
      <c r="B15" s="5">
        <v>8</v>
      </c>
      <c r="C15" s="38" t="s">
        <v>272</v>
      </c>
      <c r="D15" s="21">
        <v>15</v>
      </c>
      <c r="E15" s="19"/>
      <c r="F15" s="20"/>
      <c r="G15" s="33"/>
    </row>
    <row r="16" spans="2:7" s="4" customFormat="1" ht="60.75" customHeight="1" thickBot="1" x14ac:dyDescent="0.3">
      <c r="B16" s="5">
        <v>9</v>
      </c>
      <c r="C16" s="38" t="s">
        <v>90</v>
      </c>
      <c r="D16" s="21">
        <v>30</v>
      </c>
      <c r="E16" s="19"/>
      <c r="F16" s="20"/>
      <c r="G16" s="33"/>
    </row>
    <row r="17" spans="2:7" s="4" customFormat="1" ht="52.5" customHeight="1" thickBot="1" x14ac:dyDescent="0.3">
      <c r="B17" s="5">
        <v>10</v>
      </c>
      <c r="C17" s="38" t="s">
        <v>273</v>
      </c>
      <c r="D17" s="21">
        <v>15</v>
      </c>
      <c r="E17" s="19"/>
      <c r="F17" s="20"/>
      <c r="G17" s="33"/>
    </row>
    <row r="18" spans="2:7" s="4" customFormat="1" ht="77.25" customHeight="1" thickBot="1" x14ac:dyDescent="0.3">
      <c r="B18" s="5">
        <v>11</v>
      </c>
      <c r="C18" s="38" t="s">
        <v>97</v>
      </c>
      <c r="D18" s="21">
        <v>5</v>
      </c>
      <c r="E18" s="19"/>
      <c r="F18" s="20"/>
      <c r="G18" s="33"/>
    </row>
    <row r="19" spans="2:7" s="4" customFormat="1" ht="78" customHeight="1" thickBot="1" x14ac:dyDescent="0.3">
      <c r="B19" s="5">
        <v>12</v>
      </c>
      <c r="C19" s="38" t="s">
        <v>98</v>
      </c>
      <c r="D19" s="21">
        <v>30</v>
      </c>
      <c r="E19" s="19"/>
      <c r="F19" s="20"/>
      <c r="G19" s="33"/>
    </row>
    <row r="20" spans="2:7" s="4" customFormat="1" ht="58.5" customHeight="1" thickBot="1" x14ac:dyDescent="0.3">
      <c r="B20" s="5">
        <v>13</v>
      </c>
      <c r="C20" s="38" t="s">
        <v>99</v>
      </c>
      <c r="D20" s="56">
        <v>10</v>
      </c>
      <c r="E20" s="19"/>
      <c r="F20" s="20"/>
      <c r="G20" s="33"/>
    </row>
    <row r="21" spans="2:7" s="4" customFormat="1" ht="63.75" customHeight="1" thickBot="1" x14ac:dyDescent="0.3">
      <c r="B21" s="5">
        <v>14</v>
      </c>
      <c r="C21" s="38" t="s">
        <v>100</v>
      </c>
      <c r="D21" s="21">
        <v>15</v>
      </c>
      <c r="E21" s="19"/>
      <c r="F21" s="20"/>
      <c r="G21" s="33"/>
    </row>
    <row r="22" spans="2:7" s="4" customFormat="1" ht="55.5" customHeight="1" thickBot="1" x14ac:dyDescent="0.3">
      <c r="B22" s="5">
        <v>15</v>
      </c>
      <c r="C22" s="38" t="s">
        <v>102</v>
      </c>
      <c r="D22" s="21">
        <v>10</v>
      </c>
      <c r="E22" s="19"/>
      <c r="F22" s="20"/>
      <c r="G22" s="33"/>
    </row>
    <row r="23" spans="2:7" s="4" customFormat="1" ht="63" customHeight="1" thickBot="1" x14ac:dyDescent="0.3">
      <c r="B23" s="5">
        <v>16</v>
      </c>
      <c r="C23" s="38" t="s">
        <v>103</v>
      </c>
      <c r="D23" s="21">
        <v>5</v>
      </c>
      <c r="E23" s="19"/>
      <c r="F23" s="20"/>
      <c r="G23" s="33"/>
    </row>
    <row r="24" spans="2:7" ht="58.5" customHeight="1" thickBot="1" x14ac:dyDescent="0.3">
      <c r="B24" s="5">
        <v>17</v>
      </c>
      <c r="C24" s="17" t="s">
        <v>109</v>
      </c>
      <c r="D24" s="22">
        <v>20</v>
      </c>
      <c r="E24" s="7"/>
      <c r="F24" s="8"/>
      <c r="G24" s="34"/>
    </row>
    <row r="25" spans="2:7" ht="41.25" thickBot="1" x14ac:dyDescent="0.3">
      <c r="B25" s="5">
        <v>18</v>
      </c>
      <c r="C25" s="17" t="s">
        <v>256</v>
      </c>
      <c r="D25" s="22">
        <v>1</v>
      </c>
      <c r="E25" s="7"/>
      <c r="F25" s="8"/>
      <c r="G25" s="34"/>
    </row>
    <row r="26" spans="2:7" ht="41.25" thickBot="1" x14ac:dyDescent="0.3">
      <c r="B26" s="5">
        <v>19</v>
      </c>
      <c r="C26" s="38" t="s">
        <v>257</v>
      </c>
      <c r="D26" s="22">
        <v>30</v>
      </c>
      <c r="E26" s="7"/>
      <c r="F26" s="8"/>
      <c r="G26" s="34"/>
    </row>
    <row r="27" spans="2:7" ht="21" thickBot="1" x14ac:dyDescent="0.3">
      <c r="B27" s="5">
        <v>20</v>
      </c>
      <c r="C27" s="17"/>
      <c r="D27" s="22"/>
      <c r="E27" s="7"/>
      <c r="F27" s="8"/>
      <c r="G27" s="34"/>
    </row>
    <row r="28" spans="2:7" ht="18.75" thickBot="1" x14ac:dyDescent="0.3">
      <c r="B28" s="110" t="s">
        <v>14</v>
      </c>
      <c r="C28" s="111"/>
      <c r="D28" s="112" t="s">
        <v>7</v>
      </c>
      <c r="E28" s="113"/>
      <c r="F28" s="114"/>
      <c r="G28" s="24" t="s">
        <v>8</v>
      </c>
    </row>
    <row r="29" spans="2:7" x14ac:dyDescent="0.25">
      <c r="B29" s="115"/>
      <c r="C29" s="116"/>
      <c r="D29" s="116"/>
      <c r="E29" s="116"/>
      <c r="F29" s="116"/>
      <c r="G29" s="100"/>
    </row>
    <row r="30" spans="2:7" x14ac:dyDescent="0.25">
      <c r="B30" s="117"/>
      <c r="C30" s="118"/>
      <c r="D30" s="118"/>
      <c r="E30" s="118"/>
      <c r="F30" s="118"/>
      <c r="G30" s="101"/>
    </row>
    <row r="31" spans="2:7" x14ac:dyDescent="0.25">
      <c r="B31" s="117"/>
      <c r="C31" s="118"/>
      <c r="D31" s="118"/>
      <c r="E31" s="118"/>
      <c r="F31" s="118"/>
      <c r="G31" s="101"/>
    </row>
    <row r="32" spans="2:7" x14ac:dyDescent="0.25">
      <c r="B32" s="117"/>
      <c r="C32" s="118"/>
      <c r="D32" s="118"/>
      <c r="E32" s="118"/>
      <c r="F32" s="118"/>
      <c r="G32" s="101"/>
    </row>
    <row r="33" spans="2:7" ht="15.75" thickBot="1" x14ac:dyDescent="0.3">
      <c r="B33" s="119"/>
      <c r="C33" s="120"/>
      <c r="D33" s="120"/>
      <c r="E33" s="120"/>
      <c r="F33" s="120"/>
      <c r="G33" s="102"/>
    </row>
  </sheetData>
  <sheetProtection selectLockedCells="1"/>
  <mergeCells count="8">
    <mergeCell ref="B29:C33"/>
    <mergeCell ref="D29:F33"/>
    <mergeCell ref="G29:G33"/>
    <mergeCell ref="B3:F3"/>
    <mergeCell ref="D4:F4"/>
    <mergeCell ref="E6:F6"/>
    <mergeCell ref="B28:C28"/>
    <mergeCell ref="D28:F28"/>
  </mergeCells>
  <conditionalFormatting sqref="D8:D24 D27">
    <cfRule type="cellIs" dxfId="43" priority="5" operator="equal">
      <formula>3</formula>
    </cfRule>
    <cfRule type="cellIs" dxfId="42" priority="6" operator="equal">
      <formula>4</formula>
    </cfRule>
  </conditionalFormatting>
  <conditionalFormatting sqref="D25:D26">
    <cfRule type="cellIs" dxfId="41" priority="1" operator="equal">
      <formula>3</formula>
    </cfRule>
    <cfRule type="cellIs" dxfId="40" priority="2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55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rgb="FFFFC000"/>
  </sheetPr>
  <dimension ref="B1:G51"/>
  <sheetViews>
    <sheetView view="pageBreakPreview" topLeftCell="A18" zoomScale="82" zoomScaleNormal="55" zoomScaleSheetLayoutView="82" zoomScalePageLayoutView="70" workbookViewId="0">
      <selection activeCell="G30" sqref="G30"/>
    </sheetView>
  </sheetViews>
  <sheetFormatPr baseColWidth="10" defaultColWidth="11.42578125" defaultRowHeight="15" x14ac:dyDescent="0.25"/>
  <cols>
    <col min="1" max="1" width="0.28515625" style="1" customWidth="1"/>
    <col min="2" max="2" width="7.140625" style="1" bestFit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209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22</v>
      </c>
      <c r="D4" s="106" t="str">
        <f>+'Line &amp; frequency'!C1</f>
        <v>CHAINE…..</v>
      </c>
      <c r="E4" s="107"/>
      <c r="F4" s="107"/>
      <c r="G4" s="32" t="s">
        <v>193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C6" s="50" t="s">
        <v>134</v>
      </c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35.25" customHeight="1" x14ac:dyDescent="0.25">
      <c r="B8" s="6">
        <v>1</v>
      </c>
      <c r="C8" s="38" t="s">
        <v>137</v>
      </c>
      <c r="D8" s="62">
        <v>15</v>
      </c>
      <c r="E8" s="19"/>
      <c r="F8" s="20"/>
      <c r="G8" s="33"/>
    </row>
    <row r="9" spans="2:7" s="4" customFormat="1" ht="40.5" x14ac:dyDescent="0.25">
      <c r="B9" s="37">
        <v>2</v>
      </c>
      <c r="C9" s="38" t="s">
        <v>138</v>
      </c>
      <c r="D9" s="62">
        <v>5</v>
      </c>
      <c r="E9" s="19"/>
      <c r="F9" s="20"/>
      <c r="G9" s="33"/>
    </row>
    <row r="10" spans="2:7" s="4" customFormat="1" ht="40.5" x14ac:dyDescent="0.25">
      <c r="B10" s="37">
        <v>3</v>
      </c>
      <c r="C10" s="38" t="s">
        <v>139</v>
      </c>
      <c r="D10" s="62">
        <v>30</v>
      </c>
      <c r="E10" s="19"/>
      <c r="F10" s="20"/>
      <c r="G10" s="33"/>
    </row>
    <row r="11" spans="2:7" s="4" customFormat="1" ht="49.5" customHeight="1" x14ac:dyDescent="0.25">
      <c r="B11" s="6">
        <v>4</v>
      </c>
      <c r="C11" s="38" t="s">
        <v>140</v>
      </c>
      <c r="D11" s="62">
        <v>15</v>
      </c>
      <c r="E11" s="19"/>
      <c r="F11" s="20"/>
      <c r="G11" s="33"/>
    </row>
    <row r="12" spans="2:7" s="4" customFormat="1" ht="30" customHeight="1" x14ac:dyDescent="0.25">
      <c r="B12" s="6">
        <v>5</v>
      </c>
      <c r="C12" s="38" t="s">
        <v>141</v>
      </c>
      <c r="D12" s="62">
        <v>5</v>
      </c>
      <c r="E12" s="19"/>
      <c r="F12" s="20"/>
      <c r="G12" s="33"/>
    </row>
    <row r="13" spans="2:7" s="4" customFormat="1" ht="31.5" customHeight="1" x14ac:dyDescent="0.25">
      <c r="B13" s="37">
        <v>6</v>
      </c>
      <c r="C13" s="38" t="s">
        <v>142</v>
      </c>
      <c r="D13" s="62">
        <v>5</v>
      </c>
      <c r="E13" s="19"/>
      <c r="F13" s="20"/>
      <c r="G13" s="33"/>
    </row>
    <row r="14" spans="2:7" s="4" customFormat="1" ht="27.75" customHeight="1" x14ac:dyDescent="0.25">
      <c r="B14" s="37">
        <v>7</v>
      </c>
      <c r="C14" s="38" t="s">
        <v>143</v>
      </c>
      <c r="D14" s="62">
        <v>15</v>
      </c>
      <c r="E14" s="19"/>
      <c r="F14" s="20"/>
      <c r="G14" s="33"/>
    </row>
    <row r="15" spans="2:7" s="4" customFormat="1" ht="30" customHeight="1" x14ac:dyDescent="0.25">
      <c r="B15" s="37">
        <v>8</v>
      </c>
      <c r="C15" s="38" t="s">
        <v>144</v>
      </c>
      <c r="D15" s="62">
        <v>15</v>
      </c>
      <c r="E15" s="19"/>
      <c r="F15" s="20"/>
      <c r="G15" s="33"/>
    </row>
    <row r="16" spans="2:7" s="4" customFormat="1" ht="40.5" customHeight="1" x14ac:dyDescent="0.25">
      <c r="B16" s="37">
        <v>9</v>
      </c>
      <c r="C16" s="38" t="s">
        <v>145</v>
      </c>
      <c r="D16" s="62">
        <v>15</v>
      </c>
      <c r="E16" s="19"/>
      <c r="F16" s="20"/>
      <c r="G16" s="33"/>
    </row>
    <row r="17" spans="2:7" s="4" customFormat="1" ht="40.5" x14ac:dyDescent="0.25">
      <c r="B17" s="6">
        <v>10</v>
      </c>
      <c r="C17" s="38" t="s">
        <v>146</v>
      </c>
      <c r="D17" s="62">
        <v>15</v>
      </c>
      <c r="E17" s="19"/>
      <c r="F17" s="20"/>
      <c r="G17" s="33"/>
    </row>
    <row r="18" spans="2:7" s="4" customFormat="1" ht="41.25" customHeight="1" x14ac:dyDescent="0.25">
      <c r="B18" s="6">
        <v>11</v>
      </c>
      <c r="C18" s="38" t="s">
        <v>147</v>
      </c>
      <c r="D18" s="62">
        <v>10</v>
      </c>
      <c r="E18" s="19"/>
      <c r="F18" s="20"/>
      <c r="G18" s="33"/>
    </row>
    <row r="19" spans="2:7" s="4" customFormat="1" ht="31.5" customHeight="1" x14ac:dyDescent="0.25">
      <c r="B19" s="37">
        <v>12</v>
      </c>
      <c r="C19" s="38" t="s">
        <v>148</v>
      </c>
      <c r="D19" s="62">
        <v>30</v>
      </c>
      <c r="E19" s="19"/>
      <c r="F19" s="20"/>
      <c r="G19" s="33"/>
    </row>
    <row r="20" spans="2:7" s="4" customFormat="1" ht="27.75" customHeight="1" x14ac:dyDescent="0.25">
      <c r="B20" s="37">
        <v>13</v>
      </c>
      <c r="C20" s="38" t="s">
        <v>149</v>
      </c>
      <c r="D20" s="62">
        <v>15</v>
      </c>
      <c r="E20" s="19"/>
      <c r="F20" s="20"/>
      <c r="G20" s="33"/>
    </row>
    <row r="21" spans="2:7" s="4" customFormat="1" ht="27.75" customHeight="1" x14ac:dyDescent="0.25">
      <c r="B21" s="6">
        <v>14</v>
      </c>
      <c r="C21" s="38" t="s">
        <v>150</v>
      </c>
      <c r="D21" s="62">
        <v>15</v>
      </c>
      <c r="E21" s="19"/>
      <c r="F21" s="20"/>
      <c r="G21" s="33"/>
    </row>
    <row r="22" spans="2:7" s="4" customFormat="1" ht="29.25" customHeight="1" x14ac:dyDescent="0.25">
      <c r="B22" s="6">
        <v>15</v>
      </c>
      <c r="C22" s="38" t="s">
        <v>151</v>
      </c>
      <c r="D22" s="62">
        <v>15</v>
      </c>
      <c r="E22" s="19"/>
      <c r="F22" s="20"/>
      <c r="G22" s="33"/>
    </row>
    <row r="23" spans="2:7" s="4" customFormat="1" ht="31.5" customHeight="1" x14ac:dyDescent="0.25">
      <c r="B23" s="37">
        <v>16</v>
      </c>
      <c r="C23" s="38" t="s">
        <v>152</v>
      </c>
      <c r="D23" s="62">
        <v>10</v>
      </c>
      <c r="E23" s="19"/>
      <c r="F23" s="20"/>
      <c r="G23" s="33"/>
    </row>
    <row r="24" spans="2:7" s="4" customFormat="1" ht="35.25" customHeight="1" x14ac:dyDescent="0.25">
      <c r="B24" s="37">
        <v>17</v>
      </c>
      <c r="C24" s="38" t="s">
        <v>153</v>
      </c>
      <c r="D24" s="62">
        <v>15</v>
      </c>
      <c r="E24" s="19"/>
      <c r="F24" s="20"/>
      <c r="G24" s="33"/>
    </row>
    <row r="25" spans="2:7" s="4" customFormat="1" ht="36" customHeight="1" x14ac:dyDescent="0.25">
      <c r="B25" s="37">
        <v>18</v>
      </c>
      <c r="C25" s="38" t="s">
        <v>154</v>
      </c>
      <c r="D25" s="62">
        <v>15</v>
      </c>
      <c r="E25" s="19"/>
      <c r="F25" s="20"/>
      <c r="G25" s="33"/>
    </row>
    <row r="26" spans="2:7" s="4" customFormat="1" ht="27.75" customHeight="1" x14ac:dyDescent="0.25">
      <c r="B26" s="37">
        <v>19</v>
      </c>
      <c r="C26" s="38" t="s">
        <v>155</v>
      </c>
      <c r="D26" s="62">
        <v>5</v>
      </c>
      <c r="E26" s="19"/>
      <c r="F26" s="20"/>
      <c r="G26" s="33"/>
    </row>
    <row r="27" spans="2:7" s="4" customFormat="1" ht="31.5" customHeight="1" x14ac:dyDescent="0.25">
      <c r="B27" s="6">
        <v>20</v>
      </c>
      <c r="C27" s="38" t="s">
        <v>156</v>
      </c>
      <c r="D27" s="62">
        <v>5</v>
      </c>
      <c r="E27" s="19"/>
      <c r="F27" s="20"/>
      <c r="G27" s="33"/>
    </row>
    <row r="28" spans="2:7" s="4" customFormat="1" ht="21" x14ac:dyDescent="0.25">
      <c r="B28" s="6">
        <v>21</v>
      </c>
      <c r="C28" s="38" t="s">
        <v>259</v>
      </c>
      <c r="D28" s="62">
        <v>15</v>
      </c>
      <c r="E28" s="19"/>
      <c r="F28" s="20"/>
      <c r="G28" s="33"/>
    </row>
    <row r="29" spans="2:7" s="4" customFormat="1" ht="40.5" x14ac:dyDescent="0.25">
      <c r="B29" s="37">
        <v>22</v>
      </c>
      <c r="C29" s="38" t="s">
        <v>157</v>
      </c>
      <c r="D29" s="62">
        <v>10</v>
      </c>
      <c r="E29" s="19"/>
      <c r="F29" s="20"/>
      <c r="G29" s="33"/>
    </row>
    <row r="30" spans="2:7" s="4" customFormat="1" ht="40.5" x14ac:dyDescent="0.25">
      <c r="B30" s="37">
        <v>23</v>
      </c>
      <c r="C30" s="38" t="s">
        <v>158</v>
      </c>
      <c r="D30" s="62">
        <v>10</v>
      </c>
      <c r="E30" s="19"/>
      <c r="F30" s="20"/>
      <c r="G30" s="33"/>
    </row>
    <row r="31" spans="2:7" s="4" customFormat="1" ht="40.5" x14ac:dyDescent="0.25">
      <c r="B31" s="6">
        <v>24</v>
      </c>
      <c r="C31" s="38" t="s">
        <v>174</v>
      </c>
      <c r="D31" s="62">
        <v>10</v>
      </c>
      <c r="E31" s="19"/>
      <c r="F31" s="20"/>
      <c r="G31" s="33"/>
    </row>
    <row r="32" spans="2:7" s="4" customFormat="1" ht="40.5" x14ac:dyDescent="0.25">
      <c r="B32" s="6">
        <v>25</v>
      </c>
      <c r="C32" s="38" t="s">
        <v>175</v>
      </c>
      <c r="D32" s="62">
        <v>5</v>
      </c>
      <c r="E32" s="19"/>
      <c r="F32" s="20"/>
      <c r="G32" s="33"/>
    </row>
    <row r="33" spans="2:7" s="4" customFormat="1" ht="40.5" x14ac:dyDescent="0.25">
      <c r="B33" s="37">
        <v>26</v>
      </c>
      <c r="C33" s="38" t="s">
        <v>176</v>
      </c>
      <c r="D33" s="62">
        <v>10</v>
      </c>
      <c r="E33" s="19"/>
      <c r="F33" s="20"/>
      <c r="G33" s="33"/>
    </row>
    <row r="34" spans="2:7" s="4" customFormat="1" ht="53.25" customHeight="1" x14ac:dyDescent="0.25">
      <c r="B34" s="37">
        <v>27</v>
      </c>
      <c r="C34" s="38" t="s">
        <v>177</v>
      </c>
      <c r="D34" s="62">
        <v>15</v>
      </c>
      <c r="E34" s="19"/>
      <c r="F34" s="20"/>
      <c r="G34" s="33"/>
    </row>
    <row r="35" spans="2:7" s="4" customFormat="1" ht="46.5" customHeight="1" x14ac:dyDescent="0.25">
      <c r="B35" s="37">
        <v>28</v>
      </c>
      <c r="C35" s="38" t="s">
        <v>178</v>
      </c>
      <c r="D35" s="62">
        <v>5</v>
      </c>
      <c r="E35" s="19"/>
      <c r="F35" s="20"/>
      <c r="G35" s="33"/>
    </row>
    <row r="36" spans="2:7" s="4" customFormat="1" ht="48" customHeight="1" x14ac:dyDescent="0.25">
      <c r="B36" s="37">
        <v>29</v>
      </c>
      <c r="C36" s="38" t="s">
        <v>179</v>
      </c>
      <c r="D36" s="62">
        <v>10</v>
      </c>
      <c r="E36" s="19"/>
      <c r="F36" s="20"/>
      <c r="G36" s="33"/>
    </row>
    <row r="37" spans="2:7" s="4" customFormat="1" ht="40.5" x14ac:dyDescent="0.25">
      <c r="B37" s="6">
        <v>30</v>
      </c>
      <c r="C37" s="38" t="s">
        <v>180</v>
      </c>
      <c r="D37" s="62">
        <v>10</v>
      </c>
      <c r="E37" s="19"/>
      <c r="F37" s="20"/>
      <c r="G37" s="33"/>
    </row>
    <row r="38" spans="2:7" s="4" customFormat="1" ht="40.5" x14ac:dyDescent="0.25">
      <c r="B38" s="6">
        <v>31</v>
      </c>
      <c r="C38" s="38" t="s">
        <v>181</v>
      </c>
      <c r="D38" s="62">
        <v>30</v>
      </c>
      <c r="E38" s="19"/>
      <c r="F38" s="20"/>
      <c r="G38" s="33"/>
    </row>
    <row r="39" spans="2:7" s="4" customFormat="1" ht="40.5" x14ac:dyDescent="0.25">
      <c r="B39" s="37">
        <v>32</v>
      </c>
      <c r="C39" s="38" t="s">
        <v>182</v>
      </c>
      <c r="D39" s="62">
        <v>15</v>
      </c>
      <c r="E39" s="19"/>
      <c r="F39" s="20"/>
      <c r="G39" s="33"/>
    </row>
    <row r="40" spans="2:7" s="4" customFormat="1" ht="40.5" x14ac:dyDescent="0.25">
      <c r="B40" s="37">
        <v>33</v>
      </c>
      <c r="C40" s="38" t="s">
        <v>183</v>
      </c>
      <c r="D40" s="62">
        <v>15</v>
      </c>
      <c r="E40" s="19"/>
      <c r="F40" s="20"/>
      <c r="G40" s="33"/>
    </row>
    <row r="41" spans="2:7" s="4" customFormat="1" ht="21" x14ac:dyDescent="0.25">
      <c r="B41" s="37">
        <v>34</v>
      </c>
      <c r="C41" s="38" t="s">
        <v>241</v>
      </c>
      <c r="D41" s="62">
        <v>2</v>
      </c>
      <c r="E41" s="19"/>
      <c r="F41" s="20"/>
      <c r="G41" s="33"/>
    </row>
    <row r="42" spans="2:7" s="4" customFormat="1" ht="40.5" x14ac:dyDescent="0.25">
      <c r="B42" s="37">
        <v>35</v>
      </c>
      <c r="C42" s="38" t="s">
        <v>238</v>
      </c>
      <c r="D42" s="62">
        <v>5</v>
      </c>
      <c r="E42" s="19"/>
      <c r="F42" s="20"/>
      <c r="G42" s="33"/>
    </row>
    <row r="43" spans="2:7" s="4" customFormat="1" ht="40.5" x14ac:dyDescent="0.25">
      <c r="B43" s="37">
        <v>36</v>
      </c>
      <c r="C43" s="38" t="s">
        <v>240</v>
      </c>
      <c r="D43" s="62">
        <v>5</v>
      </c>
      <c r="E43" s="19"/>
      <c r="F43" s="20"/>
      <c r="G43" s="33"/>
    </row>
    <row r="44" spans="2:7" s="4" customFormat="1" ht="21" x14ac:dyDescent="0.25">
      <c r="B44" s="37">
        <v>37</v>
      </c>
      <c r="C44" s="38" t="s">
        <v>239</v>
      </c>
      <c r="D44" s="62">
        <v>2</v>
      </c>
      <c r="E44" s="19"/>
      <c r="F44" s="20"/>
      <c r="G44" s="33"/>
    </row>
    <row r="45" spans="2:7" s="4" customFormat="1" ht="41.25" thickBot="1" x14ac:dyDescent="0.3">
      <c r="B45" s="6">
        <v>38</v>
      </c>
      <c r="C45" s="38" t="s">
        <v>184</v>
      </c>
      <c r="D45" s="62">
        <v>10</v>
      </c>
      <c r="E45" s="19"/>
      <c r="F45" s="20"/>
      <c r="G45" s="33"/>
    </row>
    <row r="46" spans="2:7" ht="18.75" thickBot="1" x14ac:dyDescent="0.3">
      <c r="B46" s="110" t="s">
        <v>14</v>
      </c>
      <c r="C46" s="111"/>
      <c r="D46" s="112" t="s">
        <v>7</v>
      </c>
      <c r="E46" s="113"/>
      <c r="F46" s="114"/>
      <c r="G46" s="24" t="s">
        <v>8</v>
      </c>
    </row>
    <row r="47" spans="2:7" x14ac:dyDescent="0.25">
      <c r="B47" s="115"/>
      <c r="C47" s="116"/>
      <c r="D47" s="116"/>
      <c r="E47" s="116"/>
      <c r="F47" s="116"/>
      <c r="G47" s="100"/>
    </row>
    <row r="48" spans="2:7" x14ac:dyDescent="0.25">
      <c r="B48" s="117"/>
      <c r="C48" s="118"/>
      <c r="D48" s="118"/>
      <c r="E48" s="118"/>
      <c r="F48" s="118"/>
      <c r="G48" s="101"/>
    </row>
    <row r="49" spans="2:7" x14ac:dyDescent="0.25">
      <c r="B49" s="117"/>
      <c r="C49" s="118"/>
      <c r="D49" s="118"/>
      <c r="E49" s="118"/>
      <c r="F49" s="118"/>
      <c r="G49" s="101"/>
    </row>
    <row r="50" spans="2:7" x14ac:dyDescent="0.25">
      <c r="B50" s="117"/>
      <c r="C50" s="118"/>
      <c r="D50" s="118"/>
      <c r="E50" s="118"/>
      <c r="F50" s="118"/>
      <c r="G50" s="101"/>
    </row>
    <row r="51" spans="2:7" ht="15.75" thickBot="1" x14ac:dyDescent="0.3">
      <c r="B51" s="119"/>
      <c r="C51" s="120"/>
      <c r="D51" s="120"/>
      <c r="E51" s="120"/>
      <c r="F51" s="120"/>
      <c r="G51" s="102"/>
    </row>
  </sheetData>
  <sheetProtection selectLockedCells="1"/>
  <mergeCells count="8">
    <mergeCell ref="B47:C51"/>
    <mergeCell ref="D47:F51"/>
    <mergeCell ref="G47:G51"/>
    <mergeCell ref="B3:F3"/>
    <mergeCell ref="D4:F4"/>
    <mergeCell ref="E6:F6"/>
    <mergeCell ref="B46:C46"/>
    <mergeCell ref="D46:F46"/>
  </mergeCells>
  <conditionalFormatting sqref="D8:D45">
    <cfRule type="cellIs" dxfId="39" priority="3" operator="equal">
      <formula>3</formula>
    </cfRule>
    <cfRule type="cellIs" dxfId="38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49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>
    <tabColor rgb="FFFFC000"/>
    <pageSetUpPr fitToPage="1"/>
  </sheetPr>
  <dimension ref="B1:G32"/>
  <sheetViews>
    <sheetView view="pageBreakPreview" zoomScale="68" zoomScaleNormal="55" zoomScaleSheetLayoutView="68" zoomScalePageLayoutView="70" workbookViewId="0">
      <selection activeCell="D18" sqref="D18:F32"/>
    </sheetView>
  </sheetViews>
  <sheetFormatPr baseColWidth="10" defaultColWidth="11.42578125" defaultRowHeight="15" x14ac:dyDescent="0.25"/>
  <cols>
    <col min="1" max="1" width="0.28515625" style="1" customWidth="1"/>
    <col min="2" max="2" width="7.855468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5.425781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209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13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10.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C6" s="50" t="s">
        <v>134</v>
      </c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58.5" customHeight="1" x14ac:dyDescent="0.25">
      <c r="B8" s="6">
        <v>1</v>
      </c>
      <c r="C8" s="38" t="s">
        <v>159</v>
      </c>
      <c r="D8" s="21">
        <v>30</v>
      </c>
      <c r="E8" s="19"/>
      <c r="F8" s="20"/>
      <c r="G8" s="33"/>
    </row>
    <row r="9" spans="2:7" s="4" customFormat="1" ht="54" customHeight="1" x14ac:dyDescent="0.25">
      <c r="B9" s="37">
        <v>2</v>
      </c>
      <c r="C9" s="38" t="s">
        <v>160</v>
      </c>
      <c r="D9" s="21">
        <v>15</v>
      </c>
      <c r="E9" s="19"/>
      <c r="F9" s="20"/>
      <c r="G9" s="33"/>
    </row>
    <row r="10" spans="2:7" s="4" customFormat="1" ht="55.5" customHeight="1" x14ac:dyDescent="0.25">
      <c r="B10" s="6">
        <v>3</v>
      </c>
      <c r="C10" s="38" t="s">
        <v>161</v>
      </c>
      <c r="D10" s="21">
        <v>30</v>
      </c>
      <c r="E10" s="19"/>
      <c r="F10" s="20"/>
      <c r="G10" s="33"/>
    </row>
    <row r="11" spans="2:7" s="4" customFormat="1" ht="40.5" x14ac:dyDescent="0.25">
      <c r="B11" s="6">
        <v>4</v>
      </c>
      <c r="C11" s="38" t="s">
        <v>162</v>
      </c>
      <c r="D11" s="21">
        <v>30</v>
      </c>
      <c r="E11" s="19"/>
      <c r="F11" s="20"/>
      <c r="G11" s="33" t="s">
        <v>132</v>
      </c>
    </row>
    <row r="12" spans="2:7" s="4" customFormat="1" ht="55.5" customHeight="1" x14ac:dyDescent="0.25">
      <c r="B12" s="6">
        <v>5</v>
      </c>
      <c r="C12" s="38" t="s">
        <v>163</v>
      </c>
      <c r="D12" s="21">
        <v>30</v>
      </c>
      <c r="E12" s="19"/>
      <c r="F12" s="20"/>
      <c r="G12" s="33"/>
    </row>
    <row r="13" spans="2:7" s="4" customFormat="1" ht="75.75" customHeight="1" x14ac:dyDescent="0.25">
      <c r="B13" s="37">
        <v>6</v>
      </c>
      <c r="C13" s="38" t="s">
        <v>164</v>
      </c>
      <c r="D13" s="21">
        <v>30</v>
      </c>
      <c r="E13" s="19"/>
      <c r="F13" s="20"/>
      <c r="G13" s="33"/>
    </row>
    <row r="14" spans="2:7" s="4" customFormat="1" ht="69" customHeight="1" x14ac:dyDescent="0.25">
      <c r="B14" s="6">
        <v>7</v>
      </c>
      <c r="C14" s="38" t="s">
        <v>165</v>
      </c>
      <c r="D14" s="21">
        <v>30</v>
      </c>
      <c r="E14" s="19"/>
      <c r="F14" s="20"/>
      <c r="G14" s="33"/>
    </row>
    <row r="15" spans="2:7" s="4" customFormat="1" ht="59.25" customHeight="1" x14ac:dyDescent="0.25">
      <c r="B15" s="37">
        <v>8</v>
      </c>
      <c r="C15" s="38" t="s">
        <v>166</v>
      </c>
      <c r="D15" s="21">
        <v>20</v>
      </c>
      <c r="E15" s="19"/>
      <c r="F15" s="20"/>
      <c r="G15" s="33"/>
    </row>
    <row r="16" spans="2:7" s="4" customFormat="1" ht="54" customHeight="1" x14ac:dyDescent="0.25">
      <c r="B16" s="6">
        <v>9</v>
      </c>
      <c r="C16" s="38" t="s">
        <v>167</v>
      </c>
      <c r="D16" s="21">
        <v>20</v>
      </c>
      <c r="E16" s="19"/>
      <c r="F16" s="20"/>
      <c r="G16" s="33"/>
    </row>
    <row r="17" spans="2:7" s="4" customFormat="1" ht="70.5" customHeight="1" x14ac:dyDescent="0.25">
      <c r="B17" s="6">
        <v>10</v>
      </c>
      <c r="C17" s="38" t="s">
        <v>168</v>
      </c>
      <c r="D17" s="21">
        <v>30</v>
      </c>
      <c r="E17" s="19"/>
      <c r="F17" s="20"/>
      <c r="G17" s="33"/>
    </row>
    <row r="18" spans="2:7" s="4" customFormat="1" ht="75.75" customHeight="1" x14ac:dyDescent="0.25">
      <c r="B18" s="37">
        <v>11</v>
      </c>
      <c r="C18" s="38" t="s">
        <v>169</v>
      </c>
      <c r="D18" s="21">
        <v>30</v>
      </c>
      <c r="E18" s="19"/>
      <c r="F18" s="20"/>
      <c r="G18" s="33"/>
    </row>
    <row r="19" spans="2:7" s="4" customFormat="1" ht="58.5" customHeight="1" x14ac:dyDescent="0.25">
      <c r="B19" s="6">
        <v>12</v>
      </c>
      <c r="C19" s="38" t="s">
        <v>170</v>
      </c>
      <c r="D19" s="21">
        <v>10</v>
      </c>
      <c r="E19" s="19"/>
      <c r="F19" s="20"/>
      <c r="G19" s="33"/>
    </row>
    <row r="20" spans="2:7" s="4" customFormat="1" ht="32.25" customHeight="1" x14ac:dyDescent="0.25">
      <c r="B20" s="6">
        <v>13</v>
      </c>
      <c r="C20" s="38" t="s">
        <v>171</v>
      </c>
      <c r="D20" s="21">
        <v>100</v>
      </c>
      <c r="E20" s="19"/>
      <c r="F20" s="20"/>
      <c r="G20" s="33"/>
    </row>
    <row r="21" spans="2:7" s="4" customFormat="1" ht="43.5" customHeight="1" x14ac:dyDescent="0.25">
      <c r="B21" s="37">
        <v>14</v>
      </c>
      <c r="C21" s="38" t="s">
        <v>172</v>
      </c>
      <c r="D21" s="21">
        <v>20</v>
      </c>
      <c r="E21" s="19"/>
      <c r="F21" s="20"/>
      <c r="G21" s="33"/>
    </row>
    <row r="22" spans="2:7" s="4" customFormat="1" ht="42" customHeight="1" x14ac:dyDescent="0.25">
      <c r="B22" s="6">
        <v>15</v>
      </c>
      <c r="C22" s="38" t="s">
        <v>173</v>
      </c>
      <c r="D22" s="21">
        <v>10</v>
      </c>
      <c r="E22" s="19"/>
      <c r="F22" s="20"/>
      <c r="G22" s="33"/>
    </row>
    <row r="23" spans="2:7" s="4" customFormat="1" ht="20.25" x14ac:dyDescent="0.25">
      <c r="B23" s="6">
        <v>16</v>
      </c>
      <c r="C23" s="38"/>
      <c r="D23" s="21"/>
      <c r="E23" s="19"/>
      <c r="F23" s="20"/>
      <c r="G23" s="33"/>
    </row>
    <row r="24" spans="2:7" s="4" customFormat="1" ht="20.25" x14ac:dyDescent="0.25">
      <c r="B24" s="37">
        <v>17</v>
      </c>
      <c r="C24" s="38"/>
      <c r="D24" s="21"/>
      <c r="E24" s="19"/>
      <c r="F24" s="20"/>
      <c r="G24" s="33"/>
    </row>
    <row r="25" spans="2:7" s="4" customFormat="1" ht="20.25" x14ac:dyDescent="0.25">
      <c r="B25" s="6">
        <v>18</v>
      </c>
      <c r="C25" s="38"/>
      <c r="D25" s="21"/>
      <c r="E25" s="19"/>
      <c r="F25" s="20"/>
      <c r="G25" s="33"/>
    </row>
    <row r="26" spans="2:7" s="4" customFormat="1" ht="21" thickBot="1" x14ac:dyDescent="0.3">
      <c r="B26" s="6">
        <v>19</v>
      </c>
      <c r="C26" s="38"/>
      <c r="D26" s="21"/>
      <c r="E26" s="19"/>
      <c r="F26" s="20"/>
      <c r="G26" s="33"/>
    </row>
    <row r="27" spans="2:7" s="12" customFormat="1" ht="18.75" thickBot="1" x14ac:dyDescent="0.3">
      <c r="B27" s="110" t="s">
        <v>14</v>
      </c>
      <c r="C27" s="111"/>
      <c r="D27" s="112" t="s">
        <v>7</v>
      </c>
      <c r="E27" s="113"/>
      <c r="F27" s="114"/>
      <c r="G27" s="24" t="s">
        <v>8</v>
      </c>
    </row>
    <row r="28" spans="2:7" x14ac:dyDescent="0.25">
      <c r="B28" s="115"/>
      <c r="C28" s="116"/>
      <c r="D28" s="116"/>
      <c r="E28" s="116"/>
      <c r="F28" s="116"/>
      <c r="G28" s="100"/>
    </row>
    <row r="29" spans="2:7" x14ac:dyDescent="0.25">
      <c r="B29" s="117"/>
      <c r="C29" s="118"/>
      <c r="D29" s="118"/>
      <c r="E29" s="118"/>
      <c r="F29" s="118"/>
      <c r="G29" s="101"/>
    </row>
    <row r="30" spans="2:7" x14ac:dyDescent="0.25">
      <c r="B30" s="117"/>
      <c r="C30" s="118"/>
      <c r="D30" s="118"/>
      <c r="E30" s="118"/>
      <c r="F30" s="118"/>
      <c r="G30" s="101"/>
    </row>
    <row r="31" spans="2:7" x14ac:dyDescent="0.25">
      <c r="B31" s="117"/>
      <c r="C31" s="118"/>
      <c r="D31" s="118"/>
      <c r="E31" s="118"/>
      <c r="F31" s="118"/>
      <c r="G31" s="101"/>
    </row>
    <row r="32" spans="2:7" ht="15.75" thickBot="1" x14ac:dyDescent="0.3">
      <c r="B32" s="119"/>
      <c r="C32" s="120"/>
      <c r="D32" s="120"/>
      <c r="E32" s="120"/>
      <c r="F32" s="120"/>
      <c r="G32" s="102"/>
    </row>
  </sheetData>
  <sheetProtection selectLockedCells="1"/>
  <mergeCells count="8">
    <mergeCell ref="B28:C32"/>
    <mergeCell ref="D28:F32"/>
    <mergeCell ref="G28:G32"/>
    <mergeCell ref="E6:F6"/>
    <mergeCell ref="B3:F3"/>
    <mergeCell ref="D4:F4"/>
    <mergeCell ref="B27:C27"/>
    <mergeCell ref="D27:F27"/>
  </mergeCells>
  <conditionalFormatting sqref="D8:D26">
    <cfRule type="cellIs" dxfId="37" priority="5" operator="equal">
      <formula>3</formula>
    </cfRule>
    <cfRule type="cellIs" dxfId="36" priority="6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4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C46A-2F99-44D4-90E4-1184C19184E9}">
  <sheetPr>
    <tabColor rgb="FFFFC000"/>
    <pageSetUpPr fitToPage="1"/>
  </sheetPr>
  <dimension ref="A1:G35"/>
  <sheetViews>
    <sheetView view="pageBreakPreview" zoomScale="60" zoomScaleNormal="63" zoomScalePageLayoutView="70" workbookViewId="0">
      <selection activeCell="L10" sqref="L1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203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31.5" x14ac:dyDescent="0.25">
      <c r="B5" s="67"/>
      <c r="C5" s="64" t="s">
        <v>248</v>
      </c>
      <c r="D5" s="68"/>
      <c r="E5" s="68"/>
      <c r="F5" s="68"/>
      <c r="G5" s="68"/>
    </row>
    <row r="6" spans="2:7" ht="42.75" thickBot="1" x14ac:dyDescent="0.3">
      <c r="B6" s="67"/>
      <c r="C6" s="66" t="s">
        <v>242</v>
      </c>
      <c r="D6" s="68"/>
      <c r="E6" s="68"/>
      <c r="F6" s="68"/>
      <c r="G6" s="68"/>
    </row>
    <row r="7" spans="2:7" ht="20.25" customHeight="1" thickBot="1" x14ac:dyDescent="0.3">
      <c r="C7" s="50"/>
      <c r="E7" s="108" t="s">
        <v>0</v>
      </c>
      <c r="F7" s="109"/>
    </row>
    <row r="8" spans="2:7" s="4" customFormat="1" ht="24" customHeight="1" thickBot="1" x14ac:dyDescent="0.3">
      <c r="B8" s="25" t="s">
        <v>1</v>
      </c>
      <c r="C8" s="26" t="s">
        <v>2</v>
      </c>
      <c r="D8" s="27" t="s">
        <v>3</v>
      </c>
      <c r="E8" s="29" t="s">
        <v>4</v>
      </c>
      <c r="F8" s="30" t="s">
        <v>5</v>
      </c>
      <c r="G8" s="28" t="s">
        <v>6</v>
      </c>
    </row>
    <row r="9" spans="2:7" s="4" customFormat="1" ht="64.5" customHeight="1" thickBot="1" x14ac:dyDescent="0.3">
      <c r="B9" s="5">
        <v>1</v>
      </c>
      <c r="C9" s="16" t="s">
        <v>195</v>
      </c>
      <c r="D9" s="21">
        <v>60</v>
      </c>
      <c r="E9" s="19"/>
      <c r="F9" s="20"/>
      <c r="G9" s="33"/>
    </row>
    <row r="10" spans="2:7" s="4" customFormat="1" ht="64.5" customHeight="1" thickBot="1" x14ac:dyDescent="0.3">
      <c r="B10" s="5">
        <v>2</v>
      </c>
      <c r="C10" s="38" t="s">
        <v>196</v>
      </c>
      <c r="D10" s="21">
        <v>20</v>
      </c>
      <c r="E10" s="19"/>
      <c r="F10" s="20"/>
      <c r="G10" s="33"/>
    </row>
    <row r="11" spans="2:7" s="4" customFormat="1" ht="64.5" customHeight="1" thickBot="1" x14ac:dyDescent="0.3">
      <c r="B11" s="5">
        <v>3</v>
      </c>
      <c r="C11" s="38" t="s">
        <v>197</v>
      </c>
      <c r="D11" s="21">
        <v>30</v>
      </c>
      <c r="E11" s="19"/>
      <c r="F11" s="20"/>
      <c r="G11" s="33"/>
    </row>
    <row r="12" spans="2:7" s="4" customFormat="1" ht="64.5" customHeight="1" thickBot="1" x14ac:dyDescent="0.3">
      <c r="B12" s="5">
        <v>4</v>
      </c>
      <c r="C12" s="38" t="s">
        <v>205</v>
      </c>
      <c r="D12" s="21">
        <v>25</v>
      </c>
      <c r="E12" s="19"/>
      <c r="F12" s="20"/>
      <c r="G12" s="33"/>
    </row>
    <row r="13" spans="2:7" s="4" customFormat="1" ht="64.5" customHeight="1" thickBot="1" x14ac:dyDescent="0.3">
      <c r="B13" s="5">
        <v>5</v>
      </c>
      <c r="C13" s="38" t="s">
        <v>206</v>
      </c>
      <c r="D13" s="21">
        <v>30</v>
      </c>
      <c r="E13" s="19"/>
      <c r="F13" s="20"/>
      <c r="G13" s="33"/>
    </row>
    <row r="14" spans="2:7" s="4" customFormat="1" ht="64.5" customHeight="1" thickBot="1" x14ac:dyDescent="0.3">
      <c r="B14" s="5">
        <v>6</v>
      </c>
      <c r="C14" s="38" t="s">
        <v>200</v>
      </c>
      <c r="D14" s="21">
        <v>20</v>
      </c>
      <c r="E14" s="19"/>
      <c r="F14" s="20"/>
      <c r="G14" s="33"/>
    </row>
    <row r="15" spans="2:7" s="4" customFormat="1" ht="64.5" customHeight="1" thickBot="1" x14ac:dyDescent="0.3">
      <c r="B15" s="5">
        <v>7</v>
      </c>
      <c r="C15" s="38" t="s">
        <v>234</v>
      </c>
      <c r="D15" s="21"/>
      <c r="E15" s="19"/>
      <c r="F15" s="20"/>
      <c r="G15" s="33"/>
    </row>
    <row r="16" spans="2:7" s="4" customFormat="1" ht="64.5" customHeight="1" thickBot="1" x14ac:dyDescent="0.3">
      <c r="B16" s="5">
        <v>8</v>
      </c>
      <c r="C16" s="38" t="s">
        <v>208</v>
      </c>
      <c r="D16" s="21">
        <v>30</v>
      </c>
      <c r="E16" s="19"/>
      <c r="F16" s="20"/>
      <c r="G16" s="33"/>
    </row>
    <row r="17" spans="2:7" ht="18.75" thickBot="1" x14ac:dyDescent="0.3">
      <c r="B17" s="110" t="s">
        <v>14</v>
      </c>
      <c r="C17" s="111"/>
      <c r="D17" s="112" t="s">
        <v>7</v>
      </c>
      <c r="E17" s="113"/>
      <c r="F17" s="114"/>
      <c r="G17" s="24" t="s">
        <v>8</v>
      </c>
    </row>
    <row r="18" spans="2:7" x14ac:dyDescent="0.25">
      <c r="B18" s="115"/>
      <c r="C18" s="116"/>
      <c r="D18" s="116"/>
      <c r="E18" s="116"/>
      <c r="F18" s="116"/>
      <c r="G18" s="100"/>
    </row>
    <row r="19" spans="2:7" x14ac:dyDescent="0.25">
      <c r="B19" s="117"/>
      <c r="C19" s="118"/>
      <c r="D19" s="118"/>
      <c r="E19" s="118"/>
      <c r="F19" s="118"/>
      <c r="G19" s="101"/>
    </row>
    <row r="20" spans="2:7" x14ac:dyDescent="0.25">
      <c r="B20" s="117"/>
      <c r="C20" s="118"/>
      <c r="D20" s="118"/>
      <c r="E20" s="118"/>
      <c r="F20" s="118"/>
      <c r="G20" s="101"/>
    </row>
    <row r="21" spans="2:7" x14ac:dyDescent="0.25">
      <c r="B21" s="117"/>
      <c r="C21" s="118"/>
      <c r="D21" s="118"/>
      <c r="E21" s="118"/>
      <c r="F21" s="118"/>
      <c r="G21" s="101"/>
    </row>
    <row r="22" spans="2:7" ht="15.75" thickBot="1" x14ac:dyDescent="0.3">
      <c r="B22" s="119"/>
      <c r="C22" s="120"/>
      <c r="D22" s="120"/>
      <c r="E22" s="120"/>
      <c r="F22" s="120"/>
      <c r="G22" s="102"/>
    </row>
    <row r="27" spans="2:7" x14ac:dyDescent="0.25">
      <c r="C27" s="1" t="s">
        <v>207</v>
      </c>
    </row>
    <row r="35" spans="1:1" ht="18.75" x14ac:dyDescent="0.25">
      <c r="A35" s="37">
        <f>+B13+1</f>
        <v>6</v>
      </c>
    </row>
  </sheetData>
  <sheetProtection selectLockedCells="1"/>
  <mergeCells count="8">
    <mergeCell ref="G18:G22"/>
    <mergeCell ref="B3:F3"/>
    <mergeCell ref="D4:F4"/>
    <mergeCell ref="E7:F7"/>
    <mergeCell ref="B17:C17"/>
    <mergeCell ref="D17:F17"/>
    <mergeCell ref="B18:C22"/>
    <mergeCell ref="D18:F22"/>
  </mergeCells>
  <conditionalFormatting sqref="D9:D16">
    <cfRule type="cellIs" dxfId="35" priority="1" operator="equal">
      <formula>3</formula>
    </cfRule>
    <cfRule type="cellIs" dxfId="3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97B9-F9F9-4C2E-8676-23E72311FB36}">
  <sheetPr>
    <tabColor rgb="FFFFC000"/>
    <pageSetUpPr fitToPage="1"/>
  </sheetPr>
  <dimension ref="A1:G35"/>
  <sheetViews>
    <sheetView view="pageBreakPreview" zoomScale="60" zoomScaleNormal="63" zoomScalePageLayoutView="70" workbookViewId="0">
      <selection activeCell="L10" sqref="L1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203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31.5" x14ac:dyDescent="0.25">
      <c r="B5" s="67"/>
      <c r="C5" s="64" t="s">
        <v>247</v>
      </c>
      <c r="D5" s="68"/>
      <c r="E5" s="68"/>
      <c r="F5" s="68"/>
      <c r="G5" s="68"/>
    </row>
    <row r="6" spans="2:7" ht="42.75" thickBot="1" x14ac:dyDescent="0.3">
      <c r="B6" s="67"/>
      <c r="C6" s="66" t="s">
        <v>242</v>
      </c>
      <c r="D6" s="68"/>
      <c r="E6" s="68"/>
      <c r="F6" s="68"/>
      <c r="G6" s="68"/>
    </row>
    <row r="7" spans="2:7" ht="20.25" customHeight="1" thickBot="1" x14ac:dyDescent="0.3">
      <c r="C7" s="50"/>
      <c r="E7" s="108" t="s">
        <v>0</v>
      </c>
      <c r="F7" s="109"/>
    </row>
    <row r="8" spans="2:7" s="4" customFormat="1" ht="24" customHeight="1" thickBot="1" x14ac:dyDescent="0.3">
      <c r="B8" s="25" t="s">
        <v>1</v>
      </c>
      <c r="C8" s="26" t="s">
        <v>2</v>
      </c>
      <c r="D8" s="27" t="s">
        <v>3</v>
      </c>
      <c r="E8" s="29" t="s">
        <v>4</v>
      </c>
      <c r="F8" s="30" t="s">
        <v>5</v>
      </c>
      <c r="G8" s="28" t="s">
        <v>6</v>
      </c>
    </row>
    <row r="9" spans="2:7" s="4" customFormat="1" ht="64.5" customHeight="1" thickBot="1" x14ac:dyDescent="0.3">
      <c r="B9" s="5">
        <v>1</v>
      </c>
      <c r="C9" s="16" t="s">
        <v>195</v>
      </c>
      <c r="D9" s="21">
        <v>60</v>
      </c>
      <c r="E9" s="19"/>
      <c r="F9" s="20"/>
      <c r="G9" s="33"/>
    </row>
    <row r="10" spans="2:7" s="4" customFormat="1" ht="64.5" customHeight="1" thickBot="1" x14ac:dyDescent="0.3">
      <c r="B10" s="5">
        <v>2</v>
      </c>
      <c r="C10" s="38" t="s">
        <v>196</v>
      </c>
      <c r="D10" s="21">
        <v>20</v>
      </c>
      <c r="E10" s="19"/>
      <c r="F10" s="20"/>
      <c r="G10" s="33"/>
    </row>
    <row r="11" spans="2:7" s="4" customFormat="1" ht="64.5" customHeight="1" thickBot="1" x14ac:dyDescent="0.3">
      <c r="B11" s="5">
        <v>3</v>
      </c>
      <c r="C11" s="38" t="s">
        <v>197</v>
      </c>
      <c r="D11" s="21">
        <v>30</v>
      </c>
      <c r="E11" s="19"/>
      <c r="F11" s="20"/>
      <c r="G11" s="33"/>
    </row>
    <row r="12" spans="2:7" s="4" customFormat="1" ht="64.5" customHeight="1" thickBot="1" x14ac:dyDescent="0.3">
      <c r="B12" s="5">
        <v>4</v>
      </c>
      <c r="C12" s="38" t="s">
        <v>205</v>
      </c>
      <c r="D12" s="21">
        <v>25</v>
      </c>
      <c r="E12" s="19"/>
      <c r="F12" s="20"/>
      <c r="G12" s="33"/>
    </row>
    <row r="13" spans="2:7" s="4" customFormat="1" ht="64.5" customHeight="1" thickBot="1" x14ac:dyDescent="0.3">
      <c r="B13" s="5">
        <v>5</v>
      </c>
      <c r="C13" s="38" t="s">
        <v>206</v>
      </c>
      <c r="D13" s="21">
        <v>30</v>
      </c>
      <c r="E13" s="19"/>
      <c r="F13" s="20"/>
      <c r="G13" s="33"/>
    </row>
    <row r="14" spans="2:7" s="4" customFormat="1" ht="64.5" customHeight="1" thickBot="1" x14ac:dyDescent="0.3">
      <c r="B14" s="5">
        <v>6</v>
      </c>
      <c r="C14" s="38" t="s">
        <v>200</v>
      </c>
      <c r="D14" s="21">
        <v>20</v>
      </c>
      <c r="E14" s="19"/>
      <c r="F14" s="20"/>
      <c r="G14" s="33"/>
    </row>
    <row r="15" spans="2:7" s="4" customFormat="1" ht="64.5" customHeight="1" thickBot="1" x14ac:dyDescent="0.3">
      <c r="B15" s="5">
        <v>7</v>
      </c>
      <c r="C15" s="38" t="s">
        <v>234</v>
      </c>
      <c r="D15" s="21"/>
      <c r="E15" s="19"/>
      <c r="F15" s="20"/>
      <c r="G15" s="33"/>
    </row>
    <row r="16" spans="2:7" s="4" customFormat="1" ht="64.5" customHeight="1" thickBot="1" x14ac:dyDescent="0.3">
      <c r="B16" s="5">
        <v>8</v>
      </c>
      <c r="C16" s="38" t="s">
        <v>208</v>
      </c>
      <c r="D16" s="21">
        <v>30</v>
      </c>
      <c r="E16" s="19"/>
      <c r="F16" s="20"/>
      <c r="G16" s="33"/>
    </row>
    <row r="17" spans="2:7" ht="18.75" thickBot="1" x14ac:dyDescent="0.3">
      <c r="B17" s="110" t="s">
        <v>14</v>
      </c>
      <c r="C17" s="111"/>
      <c r="D17" s="112" t="s">
        <v>7</v>
      </c>
      <c r="E17" s="113"/>
      <c r="F17" s="114"/>
      <c r="G17" s="24" t="s">
        <v>8</v>
      </c>
    </row>
    <row r="18" spans="2:7" x14ac:dyDescent="0.25">
      <c r="B18" s="115"/>
      <c r="C18" s="116"/>
      <c r="D18" s="116"/>
      <c r="E18" s="116"/>
      <c r="F18" s="116"/>
      <c r="G18" s="100"/>
    </row>
    <row r="19" spans="2:7" x14ac:dyDescent="0.25">
      <c r="B19" s="117"/>
      <c r="C19" s="118"/>
      <c r="D19" s="118"/>
      <c r="E19" s="118"/>
      <c r="F19" s="118"/>
      <c r="G19" s="101"/>
    </row>
    <row r="20" spans="2:7" x14ac:dyDescent="0.25">
      <c r="B20" s="117"/>
      <c r="C20" s="118"/>
      <c r="D20" s="118"/>
      <c r="E20" s="118"/>
      <c r="F20" s="118"/>
      <c r="G20" s="101"/>
    </row>
    <row r="21" spans="2:7" x14ac:dyDescent="0.25">
      <c r="B21" s="117"/>
      <c r="C21" s="118"/>
      <c r="D21" s="118"/>
      <c r="E21" s="118"/>
      <c r="F21" s="118"/>
      <c r="G21" s="101"/>
    </row>
    <row r="22" spans="2:7" ht="15.75" thickBot="1" x14ac:dyDescent="0.3">
      <c r="B22" s="119"/>
      <c r="C22" s="120"/>
      <c r="D22" s="120"/>
      <c r="E22" s="120"/>
      <c r="F22" s="120"/>
      <c r="G22" s="102"/>
    </row>
    <row r="27" spans="2:7" x14ac:dyDescent="0.25">
      <c r="C27" s="1" t="s">
        <v>207</v>
      </c>
    </row>
    <row r="35" spans="1:1" ht="18.75" x14ac:dyDescent="0.25">
      <c r="A35" s="37">
        <f>+B13+1</f>
        <v>6</v>
      </c>
    </row>
  </sheetData>
  <sheetProtection selectLockedCells="1"/>
  <mergeCells count="8">
    <mergeCell ref="G18:G22"/>
    <mergeCell ref="B3:F3"/>
    <mergeCell ref="D4:F4"/>
    <mergeCell ref="E7:F7"/>
    <mergeCell ref="B17:C17"/>
    <mergeCell ref="D17:F17"/>
    <mergeCell ref="B18:C22"/>
    <mergeCell ref="D18:F22"/>
  </mergeCells>
  <conditionalFormatting sqref="D9:D16">
    <cfRule type="cellIs" dxfId="33" priority="1" operator="equal">
      <formula>3</formula>
    </cfRule>
    <cfRule type="cellIs" dxfId="3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BE57-1EF5-438F-BC05-C17B7E4CB113}">
  <sheetPr>
    <tabColor rgb="FFFFC000"/>
    <pageSetUpPr fitToPage="1"/>
  </sheetPr>
  <dimension ref="A1:G35"/>
  <sheetViews>
    <sheetView view="pageBreakPreview" zoomScale="60" zoomScaleNormal="63" zoomScalePageLayoutView="70" workbookViewId="0">
      <selection activeCell="L10" sqref="L1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203</v>
      </c>
      <c r="D4" s="106" t="str">
        <f>+'Line &amp; frequency'!C1</f>
        <v>CHAINE…..</v>
      </c>
      <c r="E4" s="107"/>
      <c r="F4" s="107"/>
      <c r="G4" s="32" t="s">
        <v>212</v>
      </c>
    </row>
    <row r="5" spans="2:7" ht="31.5" x14ac:dyDescent="0.25">
      <c r="B5" s="67"/>
      <c r="C5" s="64" t="s">
        <v>246</v>
      </c>
      <c r="D5" s="68"/>
      <c r="E5" s="68"/>
      <c r="F5" s="68"/>
      <c r="G5" s="68"/>
    </row>
    <row r="6" spans="2:7" ht="42.75" thickBot="1" x14ac:dyDescent="0.3">
      <c r="B6" s="67"/>
      <c r="C6" s="66" t="s">
        <v>242</v>
      </c>
      <c r="D6" s="68"/>
      <c r="E6" s="68"/>
      <c r="F6" s="68"/>
      <c r="G6" s="68"/>
    </row>
    <row r="7" spans="2:7" ht="20.25" customHeight="1" thickBot="1" x14ac:dyDescent="0.3">
      <c r="C7" s="50"/>
      <c r="E7" s="108" t="s">
        <v>0</v>
      </c>
      <c r="F7" s="109"/>
    </row>
    <row r="8" spans="2:7" s="4" customFormat="1" ht="24" customHeight="1" thickBot="1" x14ac:dyDescent="0.3">
      <c r="B8" s="25" t="s">
        <v>1</v>
      </c>
      <c r="C8" s="26" t="s">
        <v>2</v>
      </c>
      <c r="D8" s="27" t="s">
        <v>3</v>
      </c>
      <c r="E8" s="29" t="s">
        <v>4</v>
      </c>
      <c r="F8" s="30" t="s">
        <v>5</v>
      </c>
      <c r="G8" s="28" t="s">
        <v>6</v>
      </c>
    </row>
    <row r="9" spans="2:7" s="4" customFormat="1" ht="64.5" customHeight="1" thickBot="1" x14ac:dyDescent="0.3">
      <c r="B9" s="5">
        <v>1</v>
      </c>
      <c r="C9" s="16" t="s">
        <v>195</v>
      </c>
      <c r="D9" s="21">
        <v>60</v>
      </c>
      <c r="E9" s="19"/>
      <c r="F9" s="20"/>
      <c r="G9" s="33"/>
    </row>
    <row r="10" spans="2:7" s="4" customFormat="1" ht="64.5" customHeight="1" thickBot="1" x14ac:dyDescent="0.3">
      <c r="B10" s="5">
        <v>2</v>
      </c>
      <c r="C10" s="38" t="s">
        <v>196</v>
      </c>
      <c r="D10" s="21">
        <v>20</v>
      </c>
      <c r="E10" s="19"/>
      <c r="F10" s="20"/>
      <c r="G10" s="33"/>
    </row>
    <row r="11" spans="2:7" s="4" customFormat="1" ht="64.5" customHeight="1" thickBot="1" x14ac:dyDescent="0.3">
      <c r="B11" s="5">
        <v>3</v>
      </c>
      <c r="C11" s="38" t="s">
        <v>197</v>
      </c>
      <c r="D11" s="21">
        <v>30</v>
      </c>
      <c r="E11" s="19"/>
      <c r="F11" s="20"/>
      <c r="G11" s="33"/>
    </row>
    <row r="12" spans="2:7" s="4" customFormat="1" ht="64.5" customHeight="1" thickBot="1" x14ac:dyDescent="0.3">
      <c r="B12" s="5">
        <v>4</v>
      </c>
      <c r="C12" s="38" t="s">
        <v>205</v>
      </c>
      <c r="D12" s="21">
        <v>25</v>
      </c>
      <c r="E12" s="19"/>
      <c r="F12" s="20"/>
      <c r="G12" s="33"/>
    </row>
    <row r="13" spans="2:7" s="4" customFormat="1" ht="64.5" customHeight="1" thickBot="1" x14ac:dyDescent="0.3">
      <c r="B13" s="5">
        <v>5</v>
      </c>
      <c r="C13" s="38" t="s">
        <v>206</v>
      </c>
      <c r="D13" s="21">
        <v>30</v>
      </c>
      <c r="E13" s="19"/>
      <c r="F13" s="20"/>
      <c r="G13" s="33"/>
    </row>
    <row r="14" spans="2:7" s="4" customFormat="1" ht="64.5" customHeight="1" thickBot="1" x14ac:dyDescent="0.3">
      <c r="B14" s="5">
        <v>6</v>
      </c>
      <c r="C14" s="38" t="s">
        <v>200</v>
      </c>
      <c r="D14" s="21">
        <v>20</v>
      </c>
      <c r="E14" s="19"/>
      <c r="F14" s="20"/>
      <c r="G14" s="33"/>
    </row>
    <row r="15" spans="2:7" s="4" customFormat="1" ht="64.5" customHeight="1" thickBot="1" x14ac:dyDescent="0.3">
      <c r="B15" s="5">
        <v>7</v>
      </c>
      <c r="C15" s="38" t="s">
        <v>234</v>
      </c>
      <c r="D15" s="21"/>
      <c r="E15" s="19"/>
      <c r="F15" s="20"/>
      <c r="G15" s="33"/>
    </row>
    <row r="16" spans="2:7" s="4" customFormat="1" ht="64.5" customHeight="1" thickBot="1" x14ac:dyDescent="0.3">
      <c r="B16" s="5">
        <v>8</v>
      </c>
      <c r="C16" s="38" t="s">
        <v>208</v>
      </c>
      <c r="D16" s="21">
        <v>30</v>
      </c>
      <c r="E16" s="19"/>
      <c r="F16" s="20"/>
      <c r="G16" s="33"/>
    </row>
    <row r="17" spans="2:7" ht="18.75" thickBot="1" x14ac:dyDescent="0.3">
      <c r="B17" s="110" t="s">
        <v>14</v>
      </c>
      <c r="C17" s="111"/>
      <c r="D17" s="112" t="s">
        <v>7</v>
      </c>
      <c r="E17" s="113"/>
      <c r="F17" s="114"/>
      <c r="G17" s="24" t="s">
        <v>8</v>
      </c>
    </row>
    <row r="18" spans="2:7" x14ac:dyDescent="0.25">
      <c r="B18" s="115"/>
      <c r="C18" s="116"/>
      <c r="D18" s="116"/>
      <c r="E18" s="116"/>
      <c r="F18" s="116"/>
      <c r="G18" s="100"/>
    </row>
    <row r="19" spans="2:7" x14ac:dyDescent="0.25">
      <c r="B19" s="117"/>
      <c r="C19" s="118"/>
      <c r="D19" s="118"/>
      <c r="E19" s="118"/>
      <c r="F19" s="118"/>
      <c r="G19" s="101"/>
    </row>
    <row r="20" spans="2:7" x14ac:dyDescent="0.25">
      <c r="B20" s="117"/>
      <c r="C20" s="118"/>
      <c r="D20" s="118"/>
      <c r="E20" s="118"/>
      <c r="F20" s="118"/>
      <c r="G20" s="101"/>
    </row>
    <row r="21" spans="2:7" x14ac:dyDescent="0.25">
      <c r="B21" s="117"/>
      <c r="C21" s="118"/>
      <c r="D21" s="118"/>
      <c r="E21" s="118"/>
      <c r="F21" s="118"/>
      <c r="G21" s="101"/>
    </row>
    <row r="22" spans="2:7" ht="15.75" thickBot="1" x14ac:dyDescent="0.3">
      <c r="B22" s="119"/>
      <c r="C22" s="120"/>
      <c r="D22" s="120"/>
      <c r="E22" s="120"/>
      <c r="F22" s="120"/>
      <c r="G22" s="102"/>
    </row>
    <row r="27" spans="2:7" x14ac:dyDescent="0.25">
      <c r="C27" s="1" t="s">
        <v>207</v>
      </c>
    </row>
    <row r="35" spans="1:1" ht="18.75" x14ac:dyDescent="0.25">
      <c r="A35" s="37">
        <f>+B13+1</f>
        <v>6</v>
      </c>
    </row>
  </sheetData>
  <sheetProtection selectLockedCells="1"/>
  <mergeCells count="8">
    <mergeCell ref="G18:G22"/>
    <mergeCell ref="B3:F3"/>
    <mergeCell ref="D4:F4"/>
    <mergeCell ref="E7:F7"/>
    <mergeCell ref="B17:C17"/>
    <mergeCell ref="D17:F17"/>
    <mergeCell ref="B18:C22"/>
    <mergeCell ref="D18:F22"/>
  </mergeCells>
  <conditionalFormatting sqref="D9:D16">
    <cfRule type="cellIs" dxfId="31" priority="1" operator="equal">
      <formula>3</formula>
    </cfRule>
    <cfRule type="cellIs" dxfId="3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B1:G30"/>
  <sheetViews>
    <sheetView view="pageBreakPreview" zoomScale="70" zoomScaleNormal="55" zoomScaleSheetLayoutView="70" zoomScalePageLayoutView="70" workbookViewId="0">
      <selection activeCell="L10" sqref="L1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92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213</v>
      </c>
      <c r="C3" s="104"/>
      <c r="D3" s="104"/>
      <c r="E3" s="104"/>
      <c r="F3" s="105"/>
      <c r="G3" s="61" t="s">
        <v>210</v>
      </c>
    </row>
    <row r="4" spans="2:7" ht="24" thickBot="1" x14ac:dyDescent="0.3">
      <c r="B4" s="14"/>
      <c r="C4" s="15" t="s">
        <v>16</v>
      </c>
      <c r="D4" s="106" t="str">
        <f>'Line &amp; frequency'!D1</f>
        <v>CHAINE 4</v>
      </c>
      <c r="E4" s="107"/>
      <c r="F4" s="107"/>
      <c r="G4" s="32" t="s">
        <v>212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C6" s="50" t="s">
        <v>134</v>
      </c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48.75" customHeight="1" thickBot="1" x14ac:dyDescent="0.3">
      <c r="B8" s="5">
        <v>1</v>
      </c>
      <c r="C8" s="16" t="s">
        <v>249</v>
      </c>
      <c r="D8" s="21">
        <v>5</v>
      </c>
      <c r="E8" s="19"/>
      <c r="F8" s="20"/>
      <c r="G8" s="33"/>
    </row>
    <row r="9" spans="2:7" s="4" customFormat="1" ht="39" customHeight="1" thickBot="1" x14ac:dyDescent="0.3">
      <c r="B9" s="5">
        <v>2</v>
      </c>
      <c r="C9" s="38" t="s">
        <v>250</v>
      </c>
      <c r="D9" s="21">
        <v>10</v>
      </c>
      <c r="E9" s="19"/>
      <c r="F9" s="20"/>
      <c r="G9" s="33"/>
    </row>
    <row r="10" spans="2:7" s="4" customFormat="1" ht="51.75" customHeight="1" thickBot="1" x14ac:dyDescent="0.3">
      <c r="B10" s="5">
        <v>3</v>
      </c>
      <c r="C10" s="38" t="s">
        <v>29</v>
      </c>
      <c r="D10" s="21">
        <v>15</v>
      </c>
      <c r="E10" s="19"/>
      <c r="F10" s="20"/>
      <c r="G10" s="33"/>
    </row>
    <row r="11" spans="2:7" s="4" customFormat="1" ht="38.25" customHeight="1" thickBot="1" x14ac:dyDescent="0.3">
      <c r="B11" s="5">
        <v>4</v>
      </c>
      <c r="C11" s="38" t="s">
        <v>30</v>
      </c>
      <c r="D11" s="21">
        <v>10</v>
      </c>
      <c r="E11" s="19"/>
      <c r="F11" s="20"/>
      <c r="G11" s="33"/>
    </row>
    <row r="12" spans="2:7" s="4" customFormat="1" ht="50.25" customHeight="1" thickBot="1" x14ac:dyDescent="0.3">
      <c r="B12" s="5">
        <v>5</v>
      </c>
      <c r="C12" s="38" t="s">
        <v>31</v>
      </c>
      <c r="D12" s="21">
        <v>10</v>
      </c>
      <c r="E12" s="19"/>
      <c r="F12" s="20"/>
      <c r="G12" s="33"/>
    </row>
    <row r="13" spans="2:7" s="4" customFormat="1" ht="59.25" customHeight="1" thickBot="1" x14ac:dyDescent="0.3">
      <c r="B13" s="5">
        <v>6</v>
      </c>
      <c r="C13" s="38" t="s">
        <v>32</v>
      </c>
      <c r="D13" s="21">
        <v>20</v>
      </c>
      <c r="E13" s="19"/>
      <c r="F13" s="20"/>
      <c r="G13" s="33"/>
    </row>
    <row r="14" spans="2:7" s="4" customFormat="1" ht="58.5" customHeight="1" thickBot="1" x14ac:dyDescent="0.3">
      <c r="B14" s="5">
        <v>7</v>
      </c>
      <c r="C14" s="57" t="s">
        <v>33</v>
      </c>
      <c r="D14" s="58">
        <v>5</v>
      </c>
      <c r="E14" s="19"/>
      <c r="F14" s="20"/>
      <c r="G14" s="33"/>
    </row>
    <row r="15" spans="2:7" s="4" customFormat="1" ht="45" customHeight="1" thickBot="1" x14ac:dyDescent="0.3">
      <c r="B15" s="5">
        <v>8</v>
      </c>
      <c r="C15" s="57" t="s">
        <v>131</v>
      </c>
      <c r="D15" s="58">
        <v>15</v>
      </c>
      <c r="E15" s="19"/>
      <c r="F15" s="20"/>
      <c r="G15" s="33"/>
    </row>
    <row r="16" spans="2:7" s="4" customFormat="1" ht="69" customHeight="1" thickBot="1" x14ac:dyDescent="0.3">
      <c r="B16" s="5">
        <v>9</v>
      </c>
      <c r="C16" s="57" t="s">
        <v>218</v>
      </c>
      <c r="D16" s="58">
        <v>30</v>
      </c>
      <c r="E16" s="19"/>
      <c r="F16" s="20"/>
      <c r="G16" s="33"/>
    </row>
    <row r="17" spans="2:7" s="4" customFormat="1" ht="69" customHeight="1" thickBot="1" x14ac:dyDescent="0.3">
      <c r="B17" s="5">
        <v>10</v>
      </c>
      <c r="C17" s="57" t="s">
        <v>237</v>
      </c>
      <c r="D17" s="58">
        <v>10</v>
      </c>
      <c r="E17" s="19"/>
      <c r="F17" s="20"/>
      <c r="G17" s="33"/>
    </row>
    <row r="18" spans="2:7" s="4" customFormat="1" ht="63.75" customHeight="1" thickBot="1" x14ac:dyDescent="0.3">
      <c r="B18" s="5">
        <v>11</v>
      </c>
      <c r="C18" s="57" t="s">
        <v>185</v>
      </c>
      <c r="D18" s="58">
        <v>5</v>
      </c>
      <c r="E18" s="19"/>
      <c r="F18" s="20"/>
      <c r="G18" s="33"/>
    </row>
    <row r="19" spans="2:7" s="4" customFormat="1" ht="65.25" customHeight="1" thickBot="1" x14ac:dyDescent="0.3">
      <c r="B19" s="5">
        <v>12</v>
      </c>
      <c r="C19" s="38" t="s">
        <v>214</v>
      </c>
      <c r="D19" s="47">
        <v>5</v>
      </c>
      <c r="E19" s="19"/>
      <c r="F19" s="20"/>
      <c r="G19" s="33"/>
    </row>
    <row r="20" spans="2:7" s="4" customFormat="1" ht="65.25" customHeight="1" thickBot="1" x14ac:dyDescent="0.3">
      <c r="B20" s="5">
        <v>13</v>
      </c>
      <c r="C20" s="38" t="s">
        <v>217</v>
      </c>
      <c r="D20" s="47">
        <v>10</v>
      </c>
      <c r="E20" s="19"/>
      <c r="F20" s="20"/>
      <c r="G20" s="33"/>
    </row>
    <row r="21" spans="2:7" s="4" customFormat="1" ht="65.25" customHeight="1" thickBot="1" x14ac:dyDescent="0.3">
      <c r="B21" s="5">
        <v>14</v>
      </c>
      <c r="C21" s="38" t="s">
        <v>215</v>
      </c>
      <c r="D21" s="47">
        <v>10</v>
      </c>
      <c r="E21" s="19"/>
      <c r="F21" s="20"/>
      <c r="G21" s="33"/>
    </row>
    <row r="22" spans="2:7" s="4" customFormat="1" ht="65.25" customHeight="1" thickBot="1" x14ac:dyDescent="0.3">
      <c r="B22" s="5">
        <v>15</v>
      </c>
      <c r="C22" s="38" t="s">
        <v>216</v>
      </c>
      <c r="D22" s="47">
        <v>5</v>
      </c>
      <c r="E22" s="19"/>
      <c r="F22" s="20"/>
      <c r="G22" s="33"/>
    </row>
    <row r="23" spans="2:7" s="4" customFormat="1" ht="65.25" customHeight="1" thickBot="1" x14ac:dyDescent="0.3">
      <c r="B23" s="5">
        <v>16</v>
      </c>
      <c r="C23" s="38" t="s">
        <v>251</v>
      </c>
      <c r="D23" s="47">
        <v>30</v>
      </c>
      <c r="E23" s="19"/>
      <c r="F23" s="20"/>
      <c r="G23" s="33"/>
    </row>
    <row r="24" spans="2:7" s="4" customFormat="1" ht="63" customHeight="1" thickBot="1" x14ac:dyDescent="0.3">
      <c r="B24" s="5">
        <v>17</v>
      </c>
      <c r="C24" s="38" t="s">
        <v>258</v>
      </c>
      <c r="D24" s="47">
        <v>30</v>
      </c>
      <c r="E24" s="19"/>
      <c r="F24" s="20"/>
      <c r="G24" s="33"/>
    </row>
    <row r="25" spans="2:7" ht="18.75" thickBot="1" x14ac:dyDescent="0.3">
      <c r="B25" s="110" t="s">
        <v>14</v>
      </c>
      <c r="C25" s="111"/>
      <c r="D25" s="112" t="s">
        <v>7</v>
      </c>
      <c r="E25" s="113"/>
      <c r="F25" s="114"/>
      <c r="G25" s="24" t="s">
        <v>8</v>
      </c>
    </row>
    <row r="26" spans="2:7" x14ac:dyDescent="0.25">
      <c r="B26" s="115"/>
      <c r="C26" s="116"/>
      <c r="D26" s="116"/>
      <c r="E26" s="116"/>
      <c r="F26" s="116"/>
      <c r="G26" s="100"/>
    </row>
    <row r="27" spans="2:7" x14ac:dyDescent="0.25">
      <c r="B27" s="117"/>
      <c r="C27" s="118"/>
      <c r="D27" s="118"/>
      <c r="E27" s="118"/>
      <c r="F27" s="118"/>
      <c r="G27" s="101"/>
    </row>
    <row r="28" spans="2:7" x14ac:dyDescent="0.25">
      <c r="B28" s="117"/>
      <c r="C28" s="118"/>
      <c r="D28" s="118"/>
      <c r="E28" s="118"/>
      <c r="F28" s="118"/>
      <c r="G28" s="101"/>
    </row>
    <row r="29" spans="2:7" x14ac:dyDescent="0.25">
      <c r="B29" s="117"/>
      <c r="C29" s="118"/>
      <c r="D29" s="118"/>
      <c r="E29" s="118"/>
      <c r="F29" s="118"/>
      <c r="G29" s="101"/>
    </row>
    <row r="30" spans="2:7" ht="15.75" thickBot="1" x14ac:dyDescent="0.3">
      <c r="B30" s="119"/>
      <c r="C30" s="120"/>
      <c r="D30" s="120"/>
      <c r="E30" s="120"/>
      <c r="F30" s="120"/>
      <c r="G30" s="102"/>
    </row>
  </sheetData>
  <sheetProtection selectLockedCells="1"/>
  <mergeCells count="8">
    <mergeCell ref="G26:G30"/>
    <mergeCell ref="B3:F3"/>
    <mergeCell ref="D4:F4"/>
    <mergeCell ref="E6:F6"/>
    <mergeCell ref="B25:C25"/>
    <mergeCell ref="D25:F25"/>
    <mergeCell ref="B26:C30"/>
    <mergeCell ref="D26:F30"/>
  </mergeCells>
  <conditionalFormatting sqref="D8:D24">
    <cfRule type="cellIs" dxfId="29" priority="1" operator="equal">
      <formula>3</formula>
    </cfRule>
    <cfRule type="cellIs" dxfId="2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4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>
    <tabColor rgb="FFFFC000"/>
    <pageSetUpPr fitToPage="1"/>
  </sheetPr>
  <dimension ref="B1:G39"/>
  <sheetViews>
    <sheetView view="pageBreakPreview" topLeftCell="A20" zoomScale="60" zoomScaleNormal="55" zoomScalePageLayoutView="70" workbookViewId="0">
      <selection activeCell="P46" sqref="P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44">
        <f>+'Line &amp; frequency'!C3</f>
        <v>44985</v>
      </c>
    </row>
    <row r="4" spans="2:7" ht="24" thickBot="1" x14ac:dyDescent="0.3">
      <c r="B4" s="14"/>
      <c r="C4" s="15" t="s">
        <v>16</v>
      </c>
      <c r="D4" s="106" t="str">
        <f>+'Line &amp; frequency'!C1</f>
        <v>CHAINE…..</v>
      </c>
      <c r="E4" s="107"/>
      <c r="F4" s="107"/>
      <c r="G4" s="32" t="str">
        <f>+'Line &amp; frequency'!C2</f>
        <v>JOURNALIERE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C6" s="50" t="s">
        <v>134</v>
      </c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75" customHeight="1" x14ac:dyDescent="0.25">
      <c r="B8" s="5">
        <v>1</v>
      </c>
      <c r="C8" s="16" t="s">
        <v>280</v>
      </c>
      <c r="D8" s="21">
        <v>5</v>
      </c>
      <c r="E8" s="19"/>
      <c r="F8" s="20"/>
      <c r="G8" s="33"/>
    </row>
    <row r="9" spans="2:7" s="4" customFormat="1" ht="75" customHeight="1" x14ac:dyDescent="0.25">
      <c r="B9" s="6">
        <f>B8+1</f>
        <v>2</v>
      </c>
      <c r="C9" s="38" t="s">
        <v>281</v>
      </c>
      <c r="D9" s="21">
        <v>5</v>
      </c>
      <c r="E9" s="19"/>
      <c r="F9" s="20"/>
      <c r="G9" s="33"/>
    </row>
    <row r="10" spans="2:7" s="4" customFormat="1" ht="75" customHeight="1" x14ac:dyDescent="0.25">
      <c r="B10" s="37">
        <f>+B9+1</f>
        <v>3</v>
      </c>
      <c r="C10" s="38" t="s">
        <v>282</v>
      </c>
      <c r="D10" s="21">
        <v>10</v>
      </c>
      <c r="E10" s="19"/>
      <c r="F10" s="20"/>
      <c r="G10" s="33"/>
    </row>
    <row r="11" spans="2:7" s="4" customFormat="1" ht="75" customHeight="1" x14ac:dyDescent="0.25">
      <c r="B11" s="6">
        <f t="shared" ref="B11" si="0">B10+1</f>
        <v>4</v>
      </c>
      <c r="C11" s="38" t="s">
        <v>283</v>
      </c>
      <c r="D11" s="21">
        <v>10</v>
      </c>
      <c r="E11" s="19"/>
      <c r="F11" s="20"/>
      <c r="G11" s="33"/>
    </row>
    <row r="12" spans="2:7" s="4" customFormat="1" ht="75" customHeight="1" x14ac:dyDescent="0.25">
      <c r="B12" s="37">
        <f t="shared" ref="B12" si="1">+B11+1</f>
        <v>5</v>
      </c>
      <c r="C12" s="38" t="s">
        <v>284</v>
      </c>
      <c r="D12" s="21">
        <v>5</v>
      </c>
      <c r="E12" s="19"/>
      <c r="F12" s="20"/>
      <c r="G12" s="33"/>
    </row>
    <row r="13" spans="2:7" s="4" customFormat="1" ht="75" customHeight="1" x14ac:dyDescent="0.25">
      <c r="B13" s="6">
        <f t="shared" ref="B13" si="2">B12+1</f>
        <v>6</v>
      </c>
      <c r="C13" s="38" t="s">
        <v>285</v>
      </c>
      <c r="D13" s="21">
        <v>5</v>
      </c>
      <c r="E13" s="19"/>
      <c r="F13" s="20"/>
      <c r="G13" s="33"/>
    </row>
    <row r="14" spans="2:7" s="4" customFormat="1" ht="75" customHeight="1" x14ac:dyDescent="0.25">
      <c r="B14" s="37">
        <f t="shared" ref="B14" si="3">+B13+1</f>
        <v>7</v>
      </c>
      <c r="C14" s="38" t="s">
        <v>286</v>
      </c>
      <c r="D14" s="21">
        <v>15</v>
      </c>
      <c r="E14" s="19"/>
      <c r="F14" s="20"/>
      <c r="G14" s="33"/>
    </row>
    <row r="15" spans="2:7" s="4" customFormat="1" ht="75" customHeight="1" x14ac:dyDescent="0.25">
      <c r="B15" s="6">
        <f t="shared" ref="B15" si="4">B14+1</f>
        <v>8</v>
      </c>
      <c r="C15" s="38" t="s">
        <v>287</v>
      </c>
      <c r="D15" s="21">
        <v>10</v>
      </c>
      <c r="E15" s="19"/>
      <c r="F15" s="20"/>
      <c r="G15" s="33"/>
    </row>
    <row r="16" spans="2:7" s="4" customFormat="1" ht="75" customHeight="1" x14ac:dyDescent="0.25">
      <c r="B16" s="37">
        <f t="shared" ref="B16" si="5">+B15+1</f>
        <v>9</v>
      </c>
      <c r="C16" s="38" t="s">
        <v>288</v>
      </c>
      <c r="D16" s="21">
        <v>10</v>
      </c>
      <c r="E16" s="19"/>
      <c r="F16" s="20"/>
      <c r="G16" s="33"/>
    </row>
    <row r="17" spans="2:7" s="4" customFormat="1" ht="75" customHeight="1" x14ac:dyDescent="0.25">
      <c r="B17" s="6">
        <f t="shared" ref="B17" si="6">B16+1</f>
        <v>10</v>
      </c>
      <c r="C17" s="38" t="s">
        <v>289</v>
      </c>
      <c r="D17" s="21">
        <v>10</v>
      </c>
      <c r="E17" s="19"/>
      <c r="F17" s="20"/>
      <c r="G17" s="33"/>
    </row>
    <row r="18" spans="2:7" s="4" customFormat="1" ht="75" customHeight="1" x14ac:dyDescent="0.25">
      <c r="B18" s="37">
        <f t="shared" ref="B18" si="7">+B17+1</f>
        <v>11</v>
      </c>
      <c r="C18" s="38" t="s">
        <v>290</v>
      </c>
      <c r="D18" s="21">
        <v>10</v>
      </c>
      <c r="E18" s="19"/>
      <c r="F18" s="20"/>
      <c r="G18" s="33"/>
    </row>
    <row r="19" spans="2:7" s="4" customFormat="1" ht="75" customHeight="1" x14ac:dyDescent="0.25">
      <c r="B19" s="6">
        <f t="shared" ref="B19" si="8">B18+1</f>
        <v>12</v>
      </c>
      <c r="C19" s="38" t="s">
        <v>291</v>
      </c>
      <c r="D19" s="21">
        <v>10</v>
      </c>
      <c r="E19" s="19"/>
      <c r="F19" s="20"/>
      <c r="G19" s="33"/>
    </row>
    <row r="20" spans="2:7" s="4" customFormat="1" ht="75" customHeight="1" x14ac:dyDescent="0.25">
      <c r="B20" s="37">
        <f t="shared" ref="B20" si="9">+B19+1</f>
        <v>13</v>
      </c>
      <c r="C20" s="38" t="s">
        <v>292</v>
      </c>
      <c r="D20" s="21">
        <v>10</v>
      </c>
      <c r="E20" s="19"/>
      <c r="F20" s="20"/>
      <c r="G20" s="33"/>
    </row>
    <row r="21" spans="2:7" s="4" customFormat="1" ht="75" customHeight="1" x14ac:dyDescent="0.25">
      <c r="B21" s="6">
        <f t="shared" ref="B21" si="10">B20+1</f>
        <v>14</v>
      </c>
      <c r="C21" s="38" t="s">
        <v>293</v>
      </c>
      <c r="D21" s="21">
        <v>15</v>
      </c>
      <c r="E21" s="19"/>
      <c r="F21" s="20"/>
      <c r="G21" s="33"/>
    </row>
    <row r="22" spans="2:7" s="4" customFormat="1" ht="75" customHeight="1" x14ac:dyDescent="0.25">
      <c r="B22" s="37">
        <f t="shared" ref="B22" si="11">+B21+1</f>
        <v>15</v>
      </c>
      <c r="C22" s="38" t="s">
        <v>294</v>
      </c>
      <c r="D22" s="21">
        <v>15</v>
      </c>
      <c r="E22" s="19"/>
      <c r="F22" s="20"/>
      <c r="G22" s="33"/>
    </row>
    <row r="23" spans="2:7" s="4" customFormat="1" ht="75" customHeight="1" x14ac:dyDescent="0.25">
      <c r="B23" s="6">
        <f t="shared" ref="B23" si="12">B22+1</f>
        <v>16</v>
      </c>
      <c r="C23" s="38" t="s">
        <v>295</v>
      </c>
      <c r="D23" s="21">
        <v>10</v>
      </c>
      <c r="E23" s="19"/>
      <c r="F23" s="20"/>
      <c r="G23" s="33"/>
    </row>
    <row r="24" spans="2:7" s="4" customFormat="1" ht="75" customHeight="1" x14ac:dyDescent="0.25">
      <c r="B24" s="37">
        <f t="shared" ref="B24" si="13">+B23+1</f>
        <v>17</v>
      </c>
      <c r="C24" s="38" t="s">
        <v>296</v>
      </c>
      <c r="D24" s="21">
        <v>5</v>
      </c>
      <c r="E24" s="19"/>
      <c r="F24" s="20"/>
      <c r="G24" s="33"/>
    </row>
    <row r="25" spans="2:7" s="4" customFormat="1" ht="75" customHeight="1" thickBot="1" x14ac:dyDescent="0.3">
      <c r="B25" s="6">
        <f t="shared" ref="B25" si="14">B24+1</f>
        <v>18</v>
      </c>
      <c r="C25" s="38" t="s">
        <v>258</v>
      </c>
      <c r="D25" s="21">
        <v>30</v>
      </c>
      <c r="E25" s="19"/>
      <c r="F25" s="20"/>
      <c r="G25" s="33"/>
    </row>
    <row r="26" spans="2:7" s="4" customFormat="1" ht="75" customHeight="1" x14ac:dyDescent="0.25">
      <c r="B26" s="37">
        <f t="shared" ref="B26:B32" si="15">+B25+1</f>
        <v>19</v>
      </c>
      <c r="C26" s="38"/>
      <c r="D26" s="21"/>
      <c r="E26" s="19"/>
      <c r="F26" s="20"/>
      <c r="G26" s="33"/>
    </row>
    <row r="27" spans="2:7" s="4" customFormat="1" ht="75" customHeight="1" x14ac:dyDescent="0.25">
      <c r="B27" s="6">
        <f t="shared" ref="B27:B33" si="16">B26+1</f>
        <v>20</v>
      </c>
      <c r="C27" s="38"/>
      <c r="D27" s="21"/>
      <c r="E27" s="19"/>
      <c r="F27" s="20"/>
      <c r="G27" s="33"/>
    </row>
    <row r="28" spans="2:7" s="4" customFormat="1" ht="25.5" customHeight="1" x14ac:dyDescent="0.25">
      <c r="B28" s="37">
        <f t="shared" si="15"/>
        <v>21</v>
      </c>
      <c r="C28" s="46"/>
      <c r="D28" s="47"/>
      <c r="E28" s="19"/>
      <c r="F28" s="20"/>
      <c r="G28" s="33"/>
    </row>
    <row r="29" spans="2:7" s="4" customFormat="1" ht="25.5" customHeight="1" x14ac:dyDescent="0.25">
      <c r="B29" s="6">
        <f t="shared" si="16"/>
        <v>22</v>
      </c>
      <c r="C29" s="46"/>
      <c r="D29" s="47"/>
      <c r="E29" s="19"/>
      <c r="F29" s="20"/>
      <c r="G29" s="33"/>
    </row>
    <row r="30" spans="2:7" s="4" customFormat="1" ht="20.25" x14ac:dyDescent="0.25">
      <c r="B30" s="37">
        <f t="shared" si="15"/>
        <v>23</v>
      </c>
      <c r="C30" s="46"/>
      <c r="D30" s="47"/>
      <c r="E30" s="19"/>
      <c r="F30" s="20"/>
      <c r="G30" s="33"/>
    </row>
    <row r="31" spans="2:7" s="4" customFormat="1" ht="20.25" x14ac:dyDescent="0.25">
      <c r="B31" s="6">
        <f t="shared" si="16"/>
        <v>24</v>
      </c>
      <c r="C31" s="46"/>
      <c r="D31" s="47"/>
      <c r="E31" s="19"/>
      <c r="F31" s="20"/>
      <c r="G31" s="33"/>
    </row>
    <row r="32" spans="2:7" s="4" customFormat="1" ht="20.25" x14ac:dyDescent="0.25">
      <c r="B32" s="37">
        <f t="shared" si="15"/>
        <v>25</v>
      </c>
      <c r="C32" s="38"/>
      <c r="D32" s="21"/>
      <c r="E32" s="19"/>
      <c r="F32" s="20"/>
      <c r="G32" s="33"/>
    </row>
    <row r="33" spans="2:7" s="4" customFormat="1" ht="21" thickBot="1" x14ac:dyDescent="0.3">
      <c r="B33" s="6">
        <f t="shared" si="16"/>
        <v>26</v>
      </c>
      <c r="C33" s="38"/>
      <c r="D33" s="21"/>
      <c r="E33" s="19"/>
      <c r="F33" s="20"/>
      <c r="G33" s="33"/>
    </row>
    <row r="34" spans="2:7" ht="18.75" thickBot="1" x14ac:dyDescent="0.3">
      <c r="B34" s="110" t="s">
        <v>14</v>
      </c>
      <c r="C34" s="111"/>
      <c r="D34" s="112" t="s">
        <v>7</v>
      </c>
      <c r="E34" s="113"/>
      <c r="F34" s="114"/>
      <c r="G34" s="24" t="s">
        <v>8</v>
      </c>
    </row>
    <row r="35" spans="2:7" x14ac:dyDescent="0.25">
      <c r="B35" s="115"/>
      <c r="C35" s="116"/>
      <c r="D35" s="116"/>
      <c r="E35" s="116"/>
      <c r="F35" s="116"/>
      <c r="G35" s="100"/>
    </row>
    <row r="36" spans="2:7" x14ac:dyDescent="0.25">
      <c r="B36" s="117"/>
      <c r="C36" s="118"/>
      <c r="D36" s="118"/>
      <c r="E36" s="118"/>
      <c r="F36" s="118"/>
      <c r="G36" s="101"/>
    </row>
    <row r="37" spans="2:7" x14ac:dyDescent="0.25">
      <c r="B37" s="117"/>
      <c r="C37" s="118"/>
      <c r="D37" s="118"/>
      <c r="E37" s="118"/>
      <c r="F37" s="118"/>
      <c r="G37" s="101"/>
    </row>
    <row r="38" spans="2:7" x14ac:dyDescent="0.25">
      <c r="B38" s="117"/>
      <c r="C38" s="118"/>
      <c r="D38" s="118"/>
      <c r="E38" s="118"/>
      <c r="F38" s="118"/>
      <c r="G38" s="101"/>
    </row>
    <row r="39" spans="2:7" ht="15.75" thickBot="1" x14ac:dyDescent="0.3">
      <c r="B39" s="119"/>
      <c r="C39" s="120"/>
      <c r="D39" s="120"/>
      <c r="E39" s="120"/>
      <c r="F39" s="120"/>
      <c r="G39" s="102"/>
    </row>
  </sheetData>
  <sheetProtection selectLockedCells="1"/>
  <mergeCells count="8">
    <mergeCell ref="G35:G39"/>
    <mergeCell ref="B3:F3"/>
    <mergeCell ref="D4:F4"/>
    <mergeCell ref="E6:F6"/>
    <mergeCell ref="B34:C34"/>
    <mergeCell ref="D34:F34"/>
    <mergeCell ref="B35:C39"/>
    <mergeCell ref="D35:F39"/>
  </mergeCells>
  <conditionalFormatting sqref="D8:D33">
    <cfRule type="cellIs" dxfId="27" priority="1" operator="equal">
      <formula>3</formula>
    </cfRule>
    <cfRule type="cellIs" dxfId="2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44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B455-0035-4016-A895-0F01999993E1}">
  <sheetPr>
    <tabColor rgb="FFFFC000"/>
    <pageSetUpPr fitToPage="1"/>
  </sheetPr>
  <dimension ref="B1:O27"/>
  <sheetViews>
    <sheetView tabSelected="1" zoomScale="55" zoomScaleNormal="55" zoomScalePageLayoutView="70" workbookViewId="0">
      <selection activeCell="M33" sqref="L32:M3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92.710937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9.7109375" style="1" bestFit="1" customWidth="1"/>
    <col min="9" max="9" width="7.85546875" style="1" customWidth="1"/>
    <col min="10" max="10" width="8.140625" style="1" customWidth="1"/>
    <col min="11" max="11" width="52.28515625" style="1" bestFit="1" customWidth="1"/>
    <col min="12" max="13" width="11.42578125" style="1" customWidth="1"/>
    <col min="14" max="14" width="8.85546875" style="1" customWidth="1"/>
    <col min="15" max="15" width="52.28515625" style="1" bestFit="1" customWidth="1"/>
    <col min="16" max="17" width="11.42578125" style="1" customWidth="1"/>
    <col min="18" max="18" width="2.140625" style="1" customWidth="1"/>
    <col min="19" max="16384" width="11.42578125" style="1"/>
  </cols>
  <sheetData>
    <row r="1" spans="2:15" ht="1.5" customHeight="1" x14ac:dyDescent="0.25"/>
    <row r="2" spans="2:15" ht="1.5" customHeight="1" thickBot="1" x14ac:dyDescent="0.3"/>
    <row r="3" spans="2:15" ht="62.25" customHeight="1" thickBot="1" x14ac:dyDescent="0.3">
      <c r="B3" s="103" t="s">
        <v>213</v>
      </c>
      <c r="C3" s="104"/>
      <c r="D3" s="104"/>
      <c r="E3" s="104"/>
      <c r="F3" s="105"/>
      <c r="G3" s="160" t="s">
        <v>210</v>
      </c>
      <c r="H3" s="161"/>
      <c r="I3" s="161"/>
      <c r="J3" s="161"/>
      <c r="K3" s="161"/>
      <c r="L3" s="161"/>
      <c r="M3" s="161"/>
      <c r="N3" s="161"/>
      <c r="O3" s="162"/>
    </row>
    <row r="4" spans="2:15" ht="24" thickBot="1" x14ac:dyDescent="0.3">
      <c r="B4" s="14"/>
      <c r="C4" s="15" t="s">
        <v>304</v>
      </c>
      <c r="D4" s="106" t="str">
        <f>'Line &amp; frequency'!C1</f>
        <v>CHAINE…..</v>
      </c>
      <c r="E4" s="107"/>
      <c r="F4" s="107"/>
      <c r="G4" s="146"/>
      <c r="H4" s="106" t="s">
        <v>202</v>
      </c>
      <c r="I4" s="107"/>
      <c r="J4" s="107"/>
      <c r="K4" s="107"/>
      <c r="L4" s="107"/>
      <c r="M4" s="107"/>
      <c r="N4" s="107"/>
      <c r="O4" s="107"/>
    </row>
    <row r="5" spans="2:15" ht="30" customHeight="1" thickBot="1" x14ac:dyDescent="0.3">
      <c r="B5" s="2"/>
      <c r="C5" s="2"/>
      <c r="D5" s="155" t="s">
        <v>303</v>
      </c>
      <c r="E5" s="156"/>
      <c r="F5" s="156"/>
      <c r="G5" s="157"/>
      <c r="H5" s="155" t="s">
        <v>302</v>
      </c>
      <c r="I5" s="156"/>
      <c r="J5" s="156"/>
      <c r="K5" s="157"/>
      <c r="L5" s="156" t="s">
        <v>301</v>
      </c>
      <c r="M5" s="156"/>
      <c r="N5" s="156"/>
      <c r="O5" s="157"/>
    </row>
    <row r="6" spans="2:15" ht="20.25" customHeight="1" thickBot="1" x14ac:dyDescent="0.3">
      <c r="C6" s="50"/>
      <c r="D6" s="99"/>
      <c r="E6" s="158" t="s">
        <v>0</v>
      </c>
      <c r="F6" s="159"/>
      <c r="G6" s="98"/>
      <c r="H6" s="97"/>
      <c r="I6" s="158" t="s">
        <v>0</v>
      </c>
      <c r="J6" s="159"/>
      <c r="K6" s="96"/>
      <c r="M6" s="158" t="s">
        <v>0</v>
      </c>
      <c r="N6" s="159"/>
    </row>
    <row r="7" spans="2:15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  <c r="H7" s="27" t="s">
        <v>3</v>
      </c>
      <c r="I7" s="29" t="s">
        <v>4</v>
      </c>
      <c r="J7" s="30" t="s">
        <v>5</v>
      </c>
      <c r="K7" s="28" t="s">
        <v>6</v>
      </c>
      <c r="L7" s="95" t="s">
        <v>3</v>
      </c>
      <c r="M7" s="29" t="s">
        <v>4</v>
      </c>
      <c r="N7" s="30" t="s">
        <v>5</v>
      </c>
      <c r="O7" s="28" t="s">
        <v>6</v>
      </c>
    </row>
    <row r="8" spans="2:15" s="4" customFormat="1" ht="64.5" customHeight="1" x14ac:dyDescent="0.25">
      <c r="B8" s="37">
        <v>1</v>
      </c>
      <c r="C8" s="38" t="s">
        <v>187</v>
      </c>
      <c r="D8" s="70">
        <v>2</v>
      </c>
      <c r="E8" s="19"/>
      <c r="F8" s="20"/>
      <c r="G8" s="33"/>
      <c r="H8" s="70">
        <v>2</v>
      </c>
      <c r="I8" s="19"/>
      <c r="J8" s="20"/>
      <c r="K8" s="33"/>
      <c r="L8" s="70">
        <v>2</v>
      </c>
      <c r="M8" s="19"/>
      <c r="N8" s="20"/>
      <c r="O8" s="33"/>
    </row>
    <row r="9" spans="2:15" s="4" customFormat="1" ht="64.5" customHeight="1" x14ac:dyDescent="0.25">
      <c r="B9" s="6">
        <f>B8+1</f>
        <v>2</v>
      </c>
      <c r="C9" s="38" t="s">
        <v>188</v>
      </c>
      <c r="D9" s="153">
        <v>2</v>
      </c>
      <c r="E9" s="19"/>
      <c r="F9" s="20"/>
      <c r="G9" s="33"/>
      <c r="H9" s="153">
        <v>2</v>
      </c>
      <c r="I9" s="19"/>
      <c r="J9" s="20"/>
      <c r="K9" s="33"/>
      <c r="L9" s="153">
        <v>2</v>
      </c>
      <c r="M9" s="19"/>
      <c r="N9" s="20"/>
      <c r="O9" s="33"/>
    </row>
    <row r="10" spans="2:15" s="4" customFormat="1" ht="64.5" customHeight="1" x14ac:dyDescent="0.25">
      <c r="B10" s="37">
        <f>+B9+1</f>
        <v>3</v>
      </c>
      <c r="C10" s="38" t="s">
        <v>189</v>
      </c>
      <c r="D10" s="154"/>
      <c r="E10" s="19"/>
      <c r="F10" s="20"/>
      <c r="G10" s="33"/>
      <c r="H10" s="154"/>
      <c r="I10" s="19"/>
      <c r="J10" s="20"/>
      <c r="K10" s="33"/>
      <c r="L10" s="154"/>
      <c r="M10" s="19"/>
      <c r="N10" s="20"/>
      <c r="O10" s="33"/>
    </row>
    <row r="11" spans="2:15" s="4" customFormat="1" ht="64.5" customHeight="1" x14ac:dyDescent="0.25">
      <c r="B11" s="37">
        <v>4</v>
      </c>
      <c r="C11" s="38" t="s">
        <v>190</v>
      </c>
      <c r="D11" s="70">
        <v>10</v>
      </c>
      <c r="E11" s="19"/>
      <c r="F11" s="20"/>
      <c r="G11" s="33"/>
      <c r="H11" s="70">
        <v>10</v>
      </c>
      <c r="I11" s="19"/>
      <c r="J11" s="20"/>
      <c r="K11" s="33"/>
      <c r="L11" s="70">
        <v>10</v>
      </c>
      <c r="M11" s="19"/>
      <c r="N11" s="20"/>
      <c r="O11" s="33"/>
    </row>
    <row r="12" spans="2:15" s="4" customFormat="1" ht="64.5" customHeight="1" x14ac:dyDescent="0.25">
      <c r="B12" s="37">
        <v>5</v>
      </c>
      <c r="C12" s="38" t="s">
        <v>191</v>
      </c>
      <c r="D12" s="70">
        <v>5</v>
      </c>
      <c r="E12" s="19"/>
      <c r="F12" s="20"/>
      <c r="G12" s="33"/>
      <c r="H12" s="70">
        <v>5</v>
      </c>
      <c r="I12" s="19"/>
      <c r="J12" s="20"/>
      <c r="K12" s="33"/>
      <c r="L12" s="70">
        <v>5</v>
      </c>
      <c r="M12" s="19"/>
      <c r="N12" s="20"/>
      <c r="O12" s="33"/>
    </row>
    <row r="13" spans="2:15" s="4" customFormat="1" ht="64.5" customHeight="1" x14ac:dyDescent="0.25">
      <c r="B13" s="6">
        <v>6</v>
      </c>
      <c r="C13" s="38" t="s">
        <v>192</v>
      </c>
      <c r="D13" s="70">
        <v>2</v>
      </c>
      <c r="E13" s="19"/>
      <c r="F13" s="20"/>
      <c r="G13" s="33"/>
      <c r="H13" s="70">
        <v>2</v>
      </c>
      <c r="I13" s="19"/>
      <c r="J13" s="20"/>
      <c r="K13" s="33"/>
      <c r="L13" s="70">
        <v>2</v>
      </c>
      <c r="M13" s="19"/>
      <c r="N13" s="20"/>
      <c r="O13" s="33"/>
    </row>
    <row r="14" spans="2:15" s="4" customFormat="1" ht="64.5" customHeight="1" x14ac:dyDescent="0.25">
      <c r="B14" s="37">
        <v>7</v>
      </c>
      <c r="C14" s="38" t="s">
        <v>300</v>
      </c>
      <c r="D14" s="70">
        <v>2</v>
      </c>
      <c r="E14" s="19"/>
      <c r="F14" s="20"/>
      <c r="G14" s="33"/>
      <c r="H14" s="70">
        <v>2</v>
      </c>
      <c r="I14" s="19"/>
      <c r="J14" s="20"/>
      <c r="K14" s="33"/>
      <c r="L14" s="70">
        <v>2</v>
      </c>
      <c r="M14" s="19"/>
      <c r="N14" s="20"/>
      <c r="O14" s="33"/>
    </row>
    <row r="15" spans="2:15" s="4" customFormat="1" ht="64.5" customHeight="1" x14ac:dyDescent="0.25">
      <c r="B15" s="37">
        <v>8</v>
      </c>
      <c r="C15" s="38" t="s">
        <v>299</v>
      </c>
      <c r="D15" s="70">
        <v>2</v>
      </c>
      <c r="E15" s="19"/>
      <c r="F15" s="20"/>
      <c r="G15" s="33"/>
      <c r="H15" s="70">
        <v>2</v>
      </c>
      <c r="I15" s="19"/>
      <c r="J15" s="20"/>
      <c r="K15" s="33"/>
      <c r="L15" s="70">
        <v>2</v>
      </c>
      <c r="M15" s="19"/>
      <c r="N15" s="20"/>
      <c r="O15" s="33"/>
    </row>
    <row r="16" spans="2:15" s="4" customFormat="1" ht="64.5" customHeight="1" x14ac:dyDescent="0.25">
      <c r="B16" s="37">
        <v>9</v>
      </c>
      <c r="C16" s="38" t="s">
        <v>298</v>
      </c>
      <c r="D16" s="70">
        <v>5</v>
      </c>
      <c r="E16" s="19"/>
      <c r="F16" s="20"/>
      <c r="G16" s="33"/>
      <c r="H16" s="70">
        <v>5</v>
      </c>
      <c r="I16" s="19"/>
      <c r="J16" s="20"/>
      <c r="K16" s="33"/>
      <c r="L16" s="70">
        <v>5</v>
      </c>
      <c r="M16" s="19"/>
      <c r="N16" s="20"/>
      <c r="O16" s="33"/>
    </row>
    <row r="17" spans="2:15" s="4" customFormat="1" ht="64.5" customHeight="1" thickBot="1" x14ac:dyDescent="0.3">
      <c r="B17" s="37">
        <v>10</v>
      </c>
      <c r="C17" s="38" t="s">
        <v>297</v>
      </c>
      <c r="D17" s="70">
        <v>2</v>
      </c>
      <c r="E17" s="19"/>
      <c r="F17" s="20"/>
      <c r="G17" s="33"/>
      <c r="H17" s="70">
        <v>2</v>
      </c>
      <c r="I17" s="19"/>
      <c r="J17" s="20"/>
      <c r="K17" s="33"/>
      <c r="L17" s="70">
        <v>2</v>
      </c>
      <c r="M17" s="19"/>
      <c r="N17" s="20"/>
      <c r="O17" s="33"/>
    </row>
    <row r="18" spans="2:15" ht="18.75" customHeight="1" thickBot="1" x14ac:dyDescent="0.3">
      <c r="B18" s="110" t="s">
        <v>14</v>
      </c>
      <c r="C18" s="111"/>
      <c r="D18" s="112" t="s">
        <v>7</v>
      </c>
      <c r="E18" s="113"/>
      <c r="F18" s="114"/>
      <c r="G18" s="24" t="s">
        <v>8</v>
      </c>
      <c r="H18" s="112" t="s">
        <v>7</v>
      </c>
      <c r="I18" s="113"/>
      <c r="J18" s="114"/>
      <c r="K18" s="24" t="s">
        <v>8</v>
      </c>
      <c r="L18" s="112" t="s">
        <v>7</v>
      </c>
      <c r="M18" s="113"/>
      <c r="N18" s="114"/>
      <c r="O18" s="24" t="s">
        <v>8</v>
      </c>
    </row>
    <row r="19" spans="2:15" x14ac:dyDescent="0.25">
      <c r="B19" s="115"/>
      <c r="C19" s="116"/>
      <c r="D19" s="116"/>
      <c r="E19" s="116"/>
      <c r="F19" s="116"/>
      <c r="G19" s="100"/>
      <c r="H19" s="116"/>
      <c r="I19" s="116"/>
      <c r="J19" s="116"/>
      <c r="K19" s="100"/>
      <c r="L19" s="116"/>
      <c r="M19" s="116"/>
      <c r="N19" s="116"/>
      <c r="O19" s="100"/>
    </row>
    <row r="20" spans="2:15" x14ac:dyDescent="0.25">
      <c r="B20" s="117"/>
      <c r="C20" s="118"/>
      <c r="D20" s="118"/>
      <c r="E20" s="118"/>
      <c r="F20" s="118"/>
      <c r="G20" s="101"/>
      <c r="H20" s="118"/>
      <c r="I20" s="118"/>
      <c r="J20" s="118"/>
      <c r="K20" s="101"/>
      <c r="L20" s="118"/>
      <c r="M20" s="118"/>
      <c r="N20" s="118"/>
      <c r="O20" s="101"/>
    </row>
    <row r="21" spans="2:15" x14ac:dyDescent="0.25">
      <c r="B21" s="117"/>
      <c r="C21" s="118"/>
      <c r="D21" s="118"/>
      <c r="E21" s="118"/>
      <c r="F21" s="118"/>
      <c r="G21" s="101"/>
      <c r="H21" s="118"/>
      <c r="I21" s="118"/>
      <c r="J21" s="118"/>
      <c r="K21" s="101"/>
      <c r="L21" s="118"/>
      <c r="M21" s="118"/>
      <c r="N21" s="118"/>
      <c r="O21" s="101"/>
    </row>
    <row r="22" spans="2:15" x14ac:dyDescent="0.25">
      <c r="B22" s="117"/>
      <c r="C22" s="118"/>
      <c r="D22" s="118"/>
      <c r="E22" s="118"/>
      <c r="F22" s="118"/>
      <c r="G22" s="101"/>
      <c r="H22" s="118"/>
      <c r="I22" s="118"/>
      <c r="J22" s="118"/>
      <c r="K22" s="101"/>
      <c r="L22" s="118"/>
      <c r="M22" s="118"/>
      <c r="N22" s="118"/>
      <c r="O22" s="101"/>
    </row>
    <row r="23" spans="2:15" ht="15.75" thickBot="1" x14ac:dyDescent="0.3">
      <c r="B23" s="119"/>
      <c r="C23" s="120"/>
      <c r="D23" s="120"/>
      <c r="E23" s="120"/>
      <c r="F23" s="120"/>
      <c r="G23" s="102"/>
      <c r="H23" s="120"/>
      <c r="I23" s="120"/>
      <c r="J23" s="120"/>
      <c r="K23" s="102"/>
      <c r="L23" s="120"/>
      <c r="M23" s="120"/>
      <c r="N23" s="120"/>
      <c r="O23" s="102"/>
    </row>
    <row r="27" spans="2:15" x14ac:dyDescent="0.25">
      <c r="C27" s="59" t="s">
        <v>207</v>
      </c>
    </row>
  </sheetData>
  <sheetProtection selectLockedCells="1"/>
  <mergeCells count="24">
    <mergeCell ref="B19:C23"/>
    <mergeCell ref="D19:F23"/>
    <mergeCell ref="G19:G23"/>
    <mergeCell ref="B3:F3"/>
    <mergeCell ref="E6:F6"/>
    <mergeCell ref="B18:C18"/>
    <mergeCell ref="D18:F18"/>
    <mergeCell ref="D5:G5"/>
    <mergeCell ref="G3:O3"/>
    <mergeCell ref="D4:G4"/>
    <mergeCell ref="H4:O4"/>
    <mergeCell ref="D9:D10"/>
    <mergeCell ref="H9:H10"/>
    <mergeCell ref="L9:L10"/>
    <mergeCell ref="O19:O23"/>
    <mergeCell ref="H5:K5"/>
    <mergeCell ref="L5:O5"/>
    <mergeCell ref="I6:J6"/>
    <mergeCell ref="M6:N6"/>
    <mergeCell ref="H18:J18"/>
    <mergeCell ref="L18:N18"/>
    <mergeCell ref="H19:J23"/>
    <mergeCell ref="K19:K23"/>
    <mergeCell ref="L19:N23"/>
  </mergeCells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31" t="s">
        <v>12</v>
      </c>
    </row>
    <row r="4" spans="2:7" ht="24" thickBot="1" x14ac:dyDescent="0.3">
      <c r="B4" s="14"/>
      <c r="C4" s="15" t="s">
        <v>22</v>
      </c>
      <c r="D4" s="106" t="str">
        <f>+'Line &amp; frequency'!C1</f>
        <v>CHAINE…..</v>
      </c>
      <c r="E4" s="107"/>
      <c r="F4" s="107"/>
      <c r="G4" s="32" t="str">
        <f>+'Line &amp; frequency'!C2</f>
        <v>JOURNALIERE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/>
      <c r="D8" s="21"/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110" t="s">
        <v>14</v>
      </c>
      <c r="C108" s="111"/>
      <c r="D108" s="112" t="s">
        <v>7</v>
      </c>
      <c r="E108" s="113"/>
      <c r="F108" s="114"/>
      <c r="G108" s="24" t="s">
        <v>8</v>
      </c>
    </row>
    <row r="109" spans="2:7" x14ac:dyDescent="0.25">
      <c r="B109" s="115"/>
      <c r="C109" s="116"/>
      <c r="D109" s="116"/>
      <c r="E109" s="116"/>
      <c r="F109" s="116"/>
      <c r="G109" s="100"/>
    </row>
    <row r="110" spans="2:7" x14ac:dyDescent="0.25">
      <c r="B110" s="117"/>
      <c r="C110" s="118"/>
      <c r="D110" s="118"/>
      <c r="E110" s="118"/>
      <c r="F110" s="118"/>
      <c r="G110" s="101"/>
    </row>
    <row r="111" spans="2:7" x14ac:dyDescent="0.25">
      <c r="B111" s="117"/>
      <c r="C111" s="118"/>
      <c r="D111" s="118"/>
      <c r="E111" s="118"/>
      <c r="F111" s="118"/>
      <c r="G111" s="101"/>
    </row>
    <row r="112" spans="2:7" x14ac:dyDescent="0.25">
      <c r="B112" s="117"/>
      <c r="C112" s="118"/>
      <c r="D112" s="118"/>
      <c r="E112" s="118"/>
      <c r="F112" s="118"/>
      <c r="G112" s="101"/>
    </row>
    <row r="113" spans="2:7" ht="15.75" thickBot="1" x14ac:dyDescent="0.3">
      <c r="B113" s="119"/>
      <c r="C113" s="120"/>
      <c r="D113" s="120"/>
      <c r="E113" s="120"/>
      <c r="F113" s="120"/>
      <c r="G113" s="102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5" priority="3" operator="equal">
      <formula>3</formula>
    </cfRule>
    <cfRule type="cellIs" dxfId="24" priority="4" operator="equal">
      <formula>4</formula>
    </cfRule>
  </conditionalFormatting>
  <conditionalFormatting sqref="D89">
    <cfRule type="cellIs" dxfId="23" priority="1" operator="equal">
      <formula>3</formula>
    </cfRule>
    <cfRule type="cellIs" dxfId="2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2">
    <tabColor theme="0" tint="-0.14999847407452621"/>
    <pageSetUpPr fitToPage="1"/>
  </sheetPr>
  <dimension ref="B1:G113"/>
  <sheetViews>
    <sheetView topLeftCell="A42"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31" t="s">
        <v>12</v>
      </c>
    </row>
    <row r="4" spans="2:7" ht="24" thickBot="1" x14ac:dyDescent="0.3">
      <c r="B4" s="14"/>
      <c r="C4" s="15" t="s">
        <v>110</v>
      </c>
      <c r="D4" s="106" t="str">
        <f>+'Line &amp; frequency'!C1</f>
        <v>CHAINE…..</v>
      </c>
      <c r="E4" s="107"/>
      <c r="F4" s="107"/>
      <c r="G4" s="32" t="str">
        <f>+'Line &amp; frequency'!C2</f>
        <v>JOURNALIERE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23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111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112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113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114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115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116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117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23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118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112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113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116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118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114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115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116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 t="s">
        <v>23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 t="s">
        <v>111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 t="s">
        <v>118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 t="s">
        <v>112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 t="s">
        <v>113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 t="s">
        <v>116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 t="s">
        <v>118</v>
      </c>
      <c r="D31" s="21">
        <v>30</v>
      </c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 t="s">
        <v>116</v>
      </c>
      <c r="D32" s="21">
        <v>30</v>
      </c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 t="s">
        <v>117</v>
      </c>
      <c r="D33" s="21">
        <v>25</v>
      </c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 t="s">
        <v>23</v>
      </c>
      <c r="D34" s="21">
        <v>10</v>
      </c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 t="s">
        <v>111</v>
      </c>
      <c r="D35" s="21">
        <v>30</v>
      </c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 t="s">
        <v>118</v>
      </c>
      <c r="D36" s="21">
        <v>30</v>
      </c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 t="s">
        <v>119</v>
      </c>
      <c r="D37" s="21">
        <v>30</v>
      </c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 t="s">
        <v>113</v>
      </c>
      <c r="D38" s="21">
        <v>30</v>
      </c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 t="s">
        <v>116</v>
      </c>
      <c r="D39" s="21">
        <v>30</v>
      </c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 t="s">
        <v>117</v>
      </c>
      <c r="D40" s="21">
        <v>25</v>
      </c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 t="s">
        <v>120</v>
      </c>
      <c r="D41" s="21">
        <v>120</v>
      </c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 t="s">
        <v>121</v>
      </c>
      <c r="D42" s="21">
        <v>60</v>
      </c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 t="s">
        <v>23</v>
      </c>
      <c r="D43" s="21">
        <v>10</v>
      </c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 t="s">
        <v>122</v>
      </c>
      <c r="D44" s="21">
        <v>30</v>
      </c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110" t="s">
        <v>14</v>
      </c>
      <c r="C108" s="111"/>
      <c r="D108" s="112" t="s">
        <v>7</v>
      </c>
      <c r="E108" s="113"/>
      <c r="F108" s="114"/>
      <c r="G108" s="24" t="s">
        <v>8</v>
      </c>
    </row>
    <row r="109" spans="2:7" x14ac:dyDescent="0.25">
      <c r="B109" s="115"/>
      <c r="C109" s="116"/>
      <c r="D109" s="116"/>
      <c r="E109" s="116"/>
      <c r="F109" s="116"/>
      <c r="G109" s="100"/>
    </row>
    <row r="110" spans="2:7" x14ac:dyDescent="0.25">
      <c r="B110" s="117"/>
      <c r="C110" s="118"/>
      <c r="D110" s="118"/>
      <c r="E110" s="118"/>
      <c r="F110" s="118"/>
      <c r="G110" s="101"/>
    </row>
    <row r="111" spans="2:7" x14ac:dyDescent="0.25">
      <c r="B111" s="117"/>
      <c r="C111" s="118"/>
      <c r="D111" s="118"/>
      <c r="E111" s="118"/>
      <c r="F111" s="118"/>
      <c r="G111" s="101"/>
    </row>
    <row r="112" spans="2:7" x14ac:dyDescent="0.25">
      <c r="B112" s="117"/>
      <c r="C112" s="118"/>
      <c r="D112" s="118"/>
      <c r="E112" s="118"/>
      <c r="F112" s="118"/>
      <c r="G112" s="101"/>
    </row>
    <row r="113" spans="2:7" ht="15.75" thickBot="1" x14ac:dyDescent="0.3">
      <c r="B113" s="119"/>
      <c r="C113" s="120"/>
      <c r="D113" s="120"/>
      <c r="E113" s="120"/>
      <c r="F113" s="120"/>
      <c r="G113" s="102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1" priority="3" operator="equal">
      <formula>3</formula>
    </cfRule>
    <cfRule type="cellIs" dxfId="20" priority="4" operator="equal">
      <formula>4</formula>
    </cfRule>
  </conditionalFormatting>
  <conditionalFormatting sqref="D89">
    <cfRule type="cellIs" dxfId="19" priority="1" operator="equal">
      <formula>3</formula>
    </cfRule>
    <cfRule type="cellIs" dxfId="1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3"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31" t="s">
        <v>12</v>
      </c>
    </row>
    <row r="4" spans="2:7" ht="24" thickBot="1" x14ac:dyDescent="0.3">
      <c r="B4" s="14"/>
      <c r="C4" s="15" t="s">
        <v>123</v>
      </c>
      <c r="D4" s="106" t="str">
        <f>+'Line &amp; frequency'!C1</f>
        <v>CHAINE…..</v>
      </c>
      <c r="E4" s="107"/>
      <c r="F4" s="107"/>
      <c r="G4" s="32" t="str">
        <f>+'Line &amp; frequency'!C2</f>
        <v>JOURNALIERE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23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111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112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113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114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115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116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117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23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118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112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113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116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118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114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115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116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 t="s">
        <v>23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 t="s">
        <v>111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 t="s">
        <v>118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 t="s">
        <v>119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 t="s">
        <v>113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 t="s">
        <v>116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 t="s">
        <v>117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 t="s">
        <v>120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 t="s">
        <v>121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110" t="s">
        <v>14</v>
      </c>
      <c r="C108" s="111"/>
      <c r="D108" s="112" t="s">
        <v>7</v>
      </c>
      <c r="E108" s="113"/>
      <c r="F108" s="114"/>
      <c r="G108" s="24" t="s">
        <v>8</v>
      </c>
    </row>
    <row r="109" spans="2:7" x14ac:dyDescent="0.25">
      <c r="B109" s="115"/>
      <c r="C109" s="116"/>
      <c r="D109" s="116"/>
      <c r="E109" s="116"/>
      <c r="F109" s="116"/>
      <c r="G109" s="100"/>
    </row>
    <row r="110" spans="2:7" x14ac:dyDescent="0.25">
      <c r="B110" s="117"/>
      <c r="C110" s="118"/>
      <c r="D110" s="118"/>
      <c r="E110" s="118"/>
      <c r="F110" s="118"/>
      <c r="G110" s="101"/>
    </row>
    <row r="111" spans="2:7" x14ac:dyDescent="0.25">
      <c r="B111" s="117"/>
      <c r="C111" s="118"/>
      <c r="D111" s="118"/>
      <c r="E111" s="118"/>
      <c r="F111" s="118"/>
      <c r="G111" s="101"/>
    </row>
    <row r="112" spans="2:7" x14ac:dyDescent="0.25">
      <c r="B112" s="117"/>
      <c r="C112" s="118"/>
      <c r="D112" s="118"/>
      <c r="E112" s="118"/>
      <c r="F112" s="118"/>
      <c r="G112" s="101"/>
    </row>
    <row r="113" spans="2:7" ht="15.75" thickBot="1" x14ac:dyDescent="0.3">
      <c r="B113" s="119"/>
      <c r="C113" s="120"/>
      <c r="D113" s="120"/>
      <c r="E113" s="120"/>
      <c r="F113" s="120"/>
      <c r="G113" s="102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17" priority="3" operator="equal">
      <formula>3</formula>
    </cfRule>
    <cfRule type="cellIs" dxfId="16" priority="4" operator="equal">
      <formula>4</formula>
    </cfRule>
  </conditionalFormatting>
  <conditionalFormatting sqref="D89">
    <cfRule type="cellIs" dxfId="15" priority="1" operator="equal">
      <formula>3</formula>
    </cfRule>
    <cfRule type="cellIs" dxfId="1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4">
    <tabColor theme="0" tint="-0.14999847407452621"/>
    <pageSetUpPr fitToPage="1"/>
  </sheetPr>
  <dimension ref="B1:G38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31" t="s">
        <v>12</v>
      </c>
    </row>
    <row r="4" spans="2:7" ht="24" thickBot="1" x14ac:dyDescent="0.3">
      <c r="B4" s="14"/>
      <c r="C4" s="15" t="s">
        <v>125</v>
      </c>
      <c r="D4" s="106" t="str">
        <f>+'Line &amp; frequency'!C1</f>
        <v>CHAINE…..</v>
      </c>
      <c r="E4" s="107"/>
      <c r="F4" s="107"/>
      <c r="G4" s="32" t="str">
        <f>+'Line &amp; frequency'!C2</f>
        <v>JOURNALIERE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23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111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112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113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114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115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116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117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23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118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112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113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116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118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114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115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116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 x14ac:dyDescent="0.3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 x14ac:dyDescent="0.3">
      <c r="B33" s="110" t="s">
        <v>14</v>
      </c>
      <c r="C33" s="111"/>
      <c r="D33" s="112" t="s">
        <v>7</v>
      </c>
      <c r="E33" s="113"/>
      <c r="F33" s="114"/>
      <c r="G33" s="24" t="s">
        <v>8</v>
      </c>
    </row>
    <row r="34" spans="2:7" x14ac:dyDescent="0.25">
      <c r="B34" s="115"/>
      <c r="C34" s="116"/>
      <c r="D34" s="116"/>
      <c r="E34" s="116"/>
      <c r="F34" s="116"/>
      <c r="G34" s="100"/>
    </row>
    <row r="35" spans="2:7" x14ac:dyDescent="0.25">
      <c r="B35" s="117"/>
      <c r="C35" s="118"/>
      <c r="D35" s="118"/>
      <c r="E35" s="118"/>
      <c r="F35" s="118"/>
      <c r="G35" s="101"/>
    </row>
    <row r="36" spans="2:7" x14ac:dyDescent="0.25">
      <c r="B36" s="117"/>
      <c r="C36" s="118"/>
      <c r="D36" s="118"/>
      <c r="E36" s="118"/>
      <c r="F36" s="118"/>
      <c r="G36" s="101"/>
    </row>
    <row r="37" spans="2:7" x14ac:dyDescent="0.25">
      <c r="B37" s="117"/>
      <c r="C37" s="118"/>
      <c r="D37" s="118"/>
      <c r="E37" s="118"/>
      <c r="F37" s="118"/>
      <c r="G37" s="101"/>
    </row>
    <row r="38" spans="2:7" ht="15.75" thickBot="1" x14ac:dyDescent="0.3">
      <c r="B38" s="119"/>
      <c r="C38" s="120"/>
      <c r="D38" s="120"/>
      <c r="E38" s="120"/>
      <c r="F38" s="120"/>
      <c r="G38" s="102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13" priority="3" operator="equal">
      <formula>3</formula>
    </cfRule>
    <cfRule type="cellIs" dxfId="12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tabColor theme="0" tint="-0.14999847407452621"/>
    <pageSetUpPr fitToPage="1"/>
  </sheetPr>
  <dimension ref="B1:G4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31" t="s">
        <v>12</v>
      </c>
    </row>
    <row r="4" spans="2:7" ht="24" thickBot="1" x14ac:dyDescent="0.3">
      <c r="B4" s="14"/>
      <c r="C4" s="15" t="s">
        <v>124</v>
      </c>
      <c r="D4" s="106" t="str">
        <f>+'Line &amp; frequency'!C1</f>
        <v>CHAINE…..</v>
      </c>
      <c r="E4" s="107"/>
      <c r="F4" s="107"/>
      <c r="G4" s="32" t="str">
        <f>+'Line &amp; frequency'!C2</f>
        <v>JOURNALIERE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23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111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112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113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114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115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116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117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23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118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112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113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116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118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114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115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116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23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111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118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112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113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116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118</v>
      </c>
      <c r="D31" s="21">
        <v>30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116</v>
      </c>
      <c r="D32" s="21">
        <v>30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117</v>
      </c>
      <c r="D33" s="21">
        <v>25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110" t="s">
        <v>14</v>
      </c>
      <c r="C38" s="111"/>
      <c r="D38" s="112" t="s">
        <v>7</v>
      </c>
      <c r="E38" s="113"/>
      <c r="F38" s="114"/>
      <c r="G38" s="24" t="s">
        <v>8</v>
      </c>
    </row>
    <row r="39" spans="2:7" x14ac:dyDescent="0.25">
      <c r="B39" s="115"/>
      <c r="C39" s="116"/>
      <c r="D39" s="116"/>
      <c r="E39" s="116"/>
      <c r="F39" s="116"/>
      <c r="G39" s="100"/>
    </row>
    <row r="40" spans="2:7" x14ac:dyDescent="0.25">
      <c r="B40" s="117"/>
      <c r="C40" s="118"/>
      <c r="D40" s="118"/>
      <c r="E40" s="118"/>
      <c r="F40" s="118"/>
      <c r="G40" s="101"/>
    </row>
    <row r="41" spans="2:7" x14ac:dyDescent="0.25">
      <c r="B41" s="117"/>
      <c r="C41" s="118"/>
      <c r="D41" s="118"/>
      <c r="E41" s="118"/>
      <c r="F41" s="118"/>
      <c r="G41" s="101"/>
    </row>
    <row r="42" spans="2:7" x14ac:dyDescent="0.25">
      <c r="B42" s="117"/>
      <c r="C42" s="118"/>
      <c r="D42" s="118"/>
      <c r="E42" s="118"/>
      <c r="F42" s="118"/>
      <c r="G42" s="101"/>
    </row>
    <row r="43" spans="2:7" ht="15.75" thickBot="1" x14ac:dyDescent="0.3">
      <c r="B43" s="119"/>
      <c r="C43" s="120"/>
      <c r="D43" s="120"/>
      <c r="E43" s="120"/>
      <c r="F43" s="120"/>
      <c r="G43" s="10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1" priority="1" operator="equal">
      <formula>3</formula>
    </cfRule>
    <cfRule type="cellIs" dxfId="1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6">
    <tabColor theme="0" tint="-0.14999847407452621"/>
    <pageSetUpPr fitToPage="1"/>
  </sheetPr>
  <dimension ref="B1:G43"/>
  <sheetViews>
    <sheetView topLeftCell="A13"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31" t="s">
        <v>12</v>
      </c>
    </row>
    <row r="4" spans="2:7" ht="24" thickBot="1" x14ac:dyDescent="0.3">
      <c r="B4" s="14"/>
      <c r="C4" s="15" t="s">
        <v>126</v>
      </c>
      <c r="D4" s="106" t="str">
        <f>+'Line &amp; frequency'!C1</f>
        <v>CHAINE…..</v>
      </c>
      <c r="E4" s="107"/>
      <c r="F4" s="107"/>
      <c r="G4" s="32" t="str">
        <f>+'Line &amp; frequency'!C2</f>
        <v>JOURNALIERE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23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111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112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113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114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115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116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117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23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118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112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113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116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118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114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115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116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110" t="s">
        <v>14</v>
      </c>
      <c r="C38" s="111"/>
      <c r="D38" s="112" t="s">
        <v>7</v>
      </c>
      <c r="E38" s="113"/>
      <c r="F38" s="114"/>
      <c r="G38" s="24" t="s">
        <v>8</v>
      </c>
    </row>
    <row r="39" spans="2:7" x14ac:dyDescent="0.25">
      <c r="B39" s="115"/>
      <c r="C39" s="116"/>
      <c r="D39" s="116"/>
      <c r="E39" s="116"/>
      <c r="F39" s="116"/>
      <c r="G39" s="100"/>
    </row>
    <row r="40" spans="2:7" x14ac:dyDescent="0.25">
      <c r="B40" s="117"/>
      <c r="C40" s="118"/>
      <c r="D40" s="118"/>
      <c r="E40" s="118"/>
      <c r="F40" s="118"/>
      <c r="G40" s="101"/>
    </row>
    <row r="41" spans="2:7" x14ac:dyDescent="0.25">
      <c r="B41" s="117"/>
      <c r="C41" s="118"/>
      <c r="D41" s="118"/>
      <c r="E41" s="118"/>
      <c r="F41" s="118"/>
      <c r="G41" s="101"/>
    </row>
    <row r="42" spans="2:7" x14ac:dyDescent="0.25">
      <c r="B42" s="117"/>
      <c r="C42" s="118"/>
      <c r="D42" s="118"/>
      <c r="E42" s="118"/>
      <c r="F42" s="118"/>
      <c r="G42" s="101"/>
    </row>
    <row r="43" spans="2:7" ht="15.75" thickBot="1" x14ac:dyDescent="0.3">
      <c r="B43" s="119"/>
      <c r="C43" s="120"/>
      <c r="D43" s="120"/>
      <c r="E43" s="120"/>
      <c r="F43" s="120"/>
      <c r="G43" s="10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7">
    <tabColor theme="0" tint="-0.14999847407452621"/>
    <pageSetUpPr fitToPage="1"/>
  </sheetPr>
  <dimension ref="B1:G4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31" t="s">
        <v>12</v>
      </c>
    </row>
    <row r="4" spans="2:7" ht="24" thickBot="1" x14ac:dyDescent="0.3">
      <c r="B4" s="14"/>
      <c r="C4" s="15" t="s">
        <v>127</v>
      </c>
      <c r="D4" s="106" t="str">
        <f>+'Line &amp; frequency'!C1</f>
        <v>CHAINE…..</v>
      </c>
      <c r="E4" s="107"/>
      <c r="F4" s="107"/>
      <c r="G4" s="32" t="str">
        <f>+'Line &amp; frequency'!C2</f>
        <v>JOURNALIERE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23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111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112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113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114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115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116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117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23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118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112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113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116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118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114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115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116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23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111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118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119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113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116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117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120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121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110" t="s">
        <v>14</v>
      </c>
      <c r="C38" s="111"/>
      <c r="D38" s="112" t="s">
        <v>7</v>
      </c>
      <c r="E38" s="113"/>
      <c r="F38" s="114"/>
      <c r="G38" s="24" t="s">
        <v>8</v>
      </c>
    </row>
    <row r="39" spans="2:7" x14ac:dyDescent="0.25">
      <c r="B39" s="115"/>
      <c r="C39" s="116"/>
      <c r="D39" s="116"/>
      <c r="E39" s="116"/>
      <c r="F39" s="116"/>
      <c r="G39" s="100"/>
    </row>
    <row r="40" spans="2:7" x14ac:dyDescent="0.25">
      <c r="B40" s="117"/>
      <c r="C40" s="118"/>
      <c r="D40" s="118"/>
      <c r="E40" s="118"/>
      <c r="F40" s="118"/>
      <c r="G40" s="101"/>
    </row>
    <row r="41" spans="2:7" x14ac:dyDescent="0.25">
      <c r="B41" s="117"/>
      <c r="C41" s="118"/>
      <c r="D41" s="118"/>
      <c r="E41" s="118"/>
      <c r="F41" s="118"/>
      <c r="G41" s="101"/>
    </row>
    <row r="42" spans="2:7" x14ac:dyDescent="0.25">
      <c r="B42" s="117"/>
      <c r="C42" s="118"/>
      <c r="D42" s="118"/>
      <c r="E42" s="118"/>
      <c r="F42" s="118"/>
      <c r="G42" s="101"/>
    </row>
    <row r="43" spans="2:7" ht="15.75" thickBot="1" x14ac:dyDescent="0.3">
      <c r="B43" s="119"/>
      <c r="C43" s="120"/>
      <c r="D43" s="120"/>
      <c r="E43" s="120"/>
      <c r="F43" s="120"/>
      <c r="G43" s="10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8"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31" t="s">
        <v>12</v>
      </c>
    </row>
    <row r="4" spans="2:7" ht="24" thickBot="1" x14ac:dyDescent="0.3">
      <c r="B4" s="14"/>
      <c r="C4" s="15" t="s">
        <v>128</v>
      </c>
      <c r="D4" s="106" t="str">
        <f>+'Line &amp; frequency'!C1</f>
        <v>CHAINE…..</v>
      </c>
      <c r="E4" s="107"/>
      <c r="F4" s="107"/>
      <c r="G4" s="32" t="str">
        <f>+'Line &amp; frequency'!C2</f>
        <v>JOURNALIERE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23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111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112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113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114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115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116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117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23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118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112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113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116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118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114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115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116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23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111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118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119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113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116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117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120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121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110" t="s">
        <v>14</v>
      </c>
      <c r="C38" s="111"/>
      <c r="D38" s="112" t="s">
        <v>7</v>
      </c>
      <c r="E38" s="113"/>
      <c r="F38" s="114"/>
      <c r="G38" s="24" t="s">
        <v>8</v>
      </c>
    </row>
    <row r="39" spans="2:7" x14ac:dyDescent="0.25">
      <c r="B39" s="115"/>
      <c r="C39" s="116"/>
      <c r="D39" s="116"/>
      <c r="E39" s="116"/>
      <c r="F39" s="116"/>
      <c r="G39" s="100"/>
    </row>
    <row r="40" spans="2:7" x14ac:dyDescent="0.25">
      <c r="B40" s="117"/>
      <c r="C40" s="118"/>
      <c r="D40" s="118"/>
      <c r="E40" s="118"/>
      <c r="F40" s="118"/>
      <c r="G40" s="101"/>
    </row>
    <row r="41" spans="2:7" x14ac:dyDescent="0.25">
      <c r="B41" s="117"/>
      <c r="C41" s="118"/>
      <c r="D41" s="118"/>
      <c r="E41" s="118"/>
      <c r="F41" s="118"/>
      <c r="G41" s="101"/>
    </row>
    <row r="42" spans="2:7" x14ac:dyDescent="0.25">
      <c r="B42" s="117"/>
      <c r="C42" s="118"/>
      <c r="D42" s="118"/>
      <c r="E42" s="118"/>
      <c r="F42" s="118"/>
      <c r="G42" s="101"/>
    </row>
    <row r="43" spans="2:7" ht="15.75" thickBot="1" x14ac:dyDescent="0.3">
      <c r="B43" s="119"/>
      <c r="C43" s="120"/>
      <c r="D43" s="120"/>
      <c r="E43" s="120"/>
      <c r="F43" s="120"/>
      <c r="G43" s="10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9"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103" t="s">
        <v>11</v>
      </c>
      <c r="C3" s="104"/>
      <c r="D3" s="104"/>
      <c r="E3" s="104"/>
      <c r="F3" s="105"/>
      <c r="G3" s="31" t="s">
        <v>12</v>
      </c>
    </row>
    <row r="4" spans="2:7" ht="24" thickBot="1" x14ac:dyDescent="0.3">
      <c r="B4" s="14"/>
      <c r="C4" s="15" t="s">
        <v>129</v>
      </c>
      <c r="D4" s="106" t="str">
        <f>+'Line &amp; frequency'!C1</f>
        <v>CHAINE…..</v>
      </c>
      <c r="E4" s="107"/>
      <c r="F4" s="107"/>
      <c r="G4" s="32" t="str">
        <f>+'Line &amp; frequency'!C2</f>
        <v>JOURNALIERE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108" t="s">
        <v>0</v>
      </c>
      <c r="F6" s="10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23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111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112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113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114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115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116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117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23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111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118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119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113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116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117</v>
      </c>
      <c r="D22" s="21">
        <v>25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120</v>
      </c>
      <c r="D23" s="21">
        <v>120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121</v>
      </c>
      <c r="D24" s="21">
        <v>60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110" t="s">
        <v>14</v>
      </c>
      <c r="C38" s="111"/>
      <c r="D38" s="112" t="s">
        <v>7</v>
      </c>
      <c r="E38" s="113"/>
      <c r="F38" s="114"/>
      <c r="G38" s="24" t="s">
        <v>8</v>
      </c>
    </row>
    <row r="39" spans="2:7" x14ac:dyDescent="0.25">
      <c r="B39" s="115"/>
      <c r="C39" s="116"/>
      <c r="D39" s="116"/>
      <c r="E39" s="116"/>
      <c r="F39" s="116"/>
      <c r="G39" s="100"/>
    </row>
    <row r="40" spans="2:7" x14ac:dyDescent="0.25">
      <c r="B40" s="117"/>
      <c r="C40" s="118"/>
      <c r="D40" s="118"/>
      <c r="E40" s="118"/>
      <c r="F40" s="118"/>
      <c r="G40" s="101"/>
    </row>
    <row r="41" spans="2:7" x14ac:dyDescent="0.25">
      <c r="B41" s="117"/>
      <c r="C41" s="118"/>
      <c r="D41" s="118"/>
      <c r="E41" s="118"/>
      <c r="F41" s="118"/>
      <c r="G41" s="101"/>
    </row>
    <row r="42" spans="2:7" x14ac:dyDescent="0.25">
      <c r="B42" s="117"/>
      <c r="C42" s="118"/>
      <c r="D42" s="118"/>
      <c r="E42" s="118"/>
      <c r="F42" s="118"/>
      <c r="G42" s="101"/>
    </row>
    <row r="43" spans="2:7" ht="15.75" thickBot="1" x14ac:dyDescent="0.3">
      <c r="B43" s="119"/>
      <c r="C43" s="120"/>
      <c r="D43" s="120"/>
      <c r="E43" s="120"/>
      <c r="F43" s="120"/>
      <c r="G43" s="10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tabColor rgb="FFFF0000"/>
  </sheetPr>
  <dimension ref="B1:G3"/>
  <sheetViews>
    <sheetView workbookViewId="0">
      <selection activeCell="C1" sqref="C1"/>
    </sheetView>
  </sheetViews>
  <sheetFormatPr baseColWidth="10" defaultColWidth="11.42578125" defaultRowHeight="15" x14ac:dyDescent="0.25"/>
  <cols>
    <col min="3" max="3" width="15.42578125" bestFit="1" customWidth="1"/>
    <col min="7" max="7" width="46.28515625" bestFit="1" customWidth="1"/>
  </cols>
  <sheetData>
    <row r="1" spans="2:7" x14ac:dyDescent="0.25">
      <c r="B1" t="s">
        <v>9</v>
      </c>
      <c r="C1" s="13" t="s">
        <v>260</v>
      </c>
      <c r="D1" t="s">
        <v>279</v>
      </c>
    </row>
    <row r="2" spans="2:7" x14ac:dyDescent="0.25">
      <c r="B2" t="s">
        <v>10</v>
      </c>
      <c r="C2" s="13" t="s">
        <v>233</v>
      </c>
    </row>
    <row r="3" spans="2:7" ht="19.5" customHeight="1" x14ac:dyDescent="0.25">
      <c r="B3" s="48" t="s">
        <v>12</v>
      </c>
      <c r="C3" s="49">
        <v>44985</v>
      </c>
      <c r="G3" s="45">
        <f>+'Line &amp; frequency'!C3</f>
        <v>44985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>
      <selection activeCell="C6" sqref="C6"/>
    </sheetView>
  </sheetViews>
  <sheetFormatPr baseColWidth="10" defaultColWidth="11.5703125"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/>
  <dimension ref="B1:I65"/>
  <sheetViews>
    <sheetView zoomScale="85" zoomScaleNormal="85" workbookViewId="0">
      <selection activeCell="C6" sqref="C6"/>
    </sheetView>
  </sheetViews>
  <sheetFormatPr baseColWidth="10" defaultColWidth="11.42578125" defaultRowHeight="15" x14ac:dyDescent="0.25"/>
  <cols>
    <col min="2" max="2" width="56.85546875" customWidth="1"/>
    <col min="3" max="3" width="9.5703125" customWidth="1"/>
  </cols>
  <sheetData>
    <row r="1" spans="2:9" ht="15.75" thickBot="1" x14ac:dyDescent="0.3">
      <c r="B1" t="s">
        <v>135</v>
      </c>
      <c r="C1" t="s">
        <v>136</v>
      </c>
    </row>
    <row r="2" spans="2:9" ht="40.5" x14ac:dyDescent="0.25">
      <c r="B2" s="53" t="s">
        <v>62</v>
      </c>
      <c r="C2" s="54">
        <v>10</v>
      </c>
    </row>
    <row r="3" spans="2:9" ht="40.5" x14ac:dyDescent="0.25">
      <c r="B3" s="55" t="s">
        <v>63</v>
      </c>
      <c r="C3" s="54">
        <v>10</v>
      </c>
    </row>
    <row r="4" spans="2:9" ht="60.75" x14ac:dyDescent="0.25">
      <c r="B4" s="55" t="s">
        <v>64</v>
      </c>
      <c r="C4" s="54">
        <v>5</v>
      </c>
      <c r="D4">
        <f>+C4*1.5</f>
        <v>7.5</v>
      </c>
    </row>
    <row r="5" spans="2:9" ht="60.75" x14ac:dyDescent="0.25">
      <c r="B5" s="51" t="s">
        <v>65</v>
      </c>
      <c r="C5" s="52">
        <v>90</v>
      </c>
    </row>
    <row r="6" spans="2:9" ht="40.5" x14ac:dyDescent="0.25">
      <c r="B6" s="38" t="s">
        <v>66</v>
      </c>
      <c r="C6" s="21">
        <v>15</v>
      </c>
    </row>
    <row r="7" spans="2:9" ht="60.75" x14ac:dyDescent="0.25">
      <c r="B7" s="38" t="s">
        <v>67</v>
      </c>
      <c r="C7" s="21">
        <v>5</v>
      </c>
      <c r="I7">
        <f>970/60</f>
        <v>16.166666666666668</v>
      </c>
    </row>
    <row r="8" spans="2:9" ht="40.5" x14ac:dyDescent="0.25">
      <c r="B8" s="38" t="s">
        <v>68</v>
      </c>
      <c r="C8" s="21">
        <v>5</v>
      </c>
    </row>
    <row r="9" spans="2:9" ht="40.5" x14ac:dyDescent="0.25">
      <c r="B9" s="38" t="s">
        <v>69</v>
      </c>
      <c r="C9" s="21">
        <v>5</v>
      </c>
    </row>
    <row r="10" spans="2:9" ht="40.5" x14ac:dyDescent="0.25">
      <c r="B10" s="38" t="s">
        <v>70</v>
      </c>
      <c r="C10" s="21">
        <v>5</v>
      </c>
    </row>
    <row r="11" spans="2:9" ht="60.75" x14ac:dyDescent="0.25">
      <c r="B11" s="38" t="s">
        <v>71</v>
      </c>
      <c r="C11" s="21">
        <v>5</v>
      </c>
    </row>
    <row r="12" spans="2:9" ht="60.75" x14ac:dyDescent="0.25">
      <c r="B12" s="38" t="s">
        <v>72</v>
      </c>
      <c r="C12" s="21">
        <v>10</v>
      </c>
    </row>
    <row r="13" spans="2:9" ht="60.75" x14ac:dyDescent="0.25">
      <c r="B13" s="38" t="s">
        <v>73</v>
      </c>
      <c r="C13" s="21">
        <v>10</v>
      </c>
    </row>
    <row r="14" spans="2:9" ht="40.5" x14ac:dyDescent="0.25">
      <c r="B14" s="38" t="s">
        <v>74</v>
      </c>
      <c r="C14" s="21">
        <v>5</v>
      </c>
    </row>
    <row r="15" spans="2:9" ht="60.75" x14ac:dyDescent="0.25">
      <c r="B15" s="38" t="s">
        <v>75</v>
      </c>
      <c r="C15" s="21">
        <v>5</v>
      </c>
    </row>
    <row r="16" spans="2:9" ht="40.5" x14ac:dyDescent="0.25">
      <c r="B16" s="38" t="s">
        <v>76</v>
      </c>
      <c r="C16" s="21">
        <v>10</v>
      </c>
    </row>
    <row r="17" spans="2:3" ht="40.5" x14ac:dyDescent="0.25">
      <c r="B17" s="38" t="s">
        <v>77</v>
      </c>
      <c r="C17" s="21">
        <v>15</v>
      </c>
    </row>
    <row r="18" spans="2:3" ht="60.75" x14ac:dyDescent="0.25">
      <c r="B18" s="38" t="s">
        <v>78</v>
      </c>
      <c r="C18" s="21">
        <v>10</v>
      </c>
    </row>
    <row r="19" spans="2:3" ht="20.25" x14ac:dyDescent="0.25">
      <c r="B19" s="38" t="s">
        <v>79</v>
      </c>
      <c r="C19" s="21">
        <v>5</v>
      </c>
    </row>
    <row r="20" spans="2:3" ht="40.5" x14ac:dyDescent="0.25">
      <c r="B20" s="38" t="s">
        <v>80</v>
      </c>
      <c r="C20" s="21">
        <v>5</v>
      </c>
    </row>
    <row r="21" spans="2:3" ht="40.5" x14ac:dyDescent="0.25">
      <c r="B21" s="38" t="s">
        <v>81</v>
      </c>
      <c r="C21" s="21">
        <v>10</v>
      </c>
    </row>
    <row r="22" spans="2:3" ht="40.5" x14ac:dyDescent="0.25">
      <c r="B22" s="38" t="s">
        <v>82</v>
      </c>
      <c r="C22" s="21">
        <v>15</v>
      </c>
    </row>
    <row r="23" spans="2:3" ht="60.75" x14ac:dyDescent="0.25">
      <c r="B23" s="38" t="s">
        <v>83</v>
      </c>
      <c r="C23" s="21">
        <v>5</v>
      </c>
    </row>
    <row r="24" spans="2:3" ht="60.75" x14ac:dyDescent="0.25">
      <c r="B24" s="38" t="s">
        <v>84</v>
      </c>
      <c r="C24" s="21">
        <v>30</v>
      </c>
    </row>
    <row r="25" spans="2:3" ht="81" x14ac:dyDescent="0.25">
      <c r="B25" s="38" t="s">
        <v>85</v>
      </c>
      <c r="C25" s="21">
        <v>5</v>
      </c>
    </row>
    <row r="26" spans="2:3" ht="60.75" x14ac:dyDescent="0.25">
      <c r="B26" s="38" t="s">
        <v>86</v>
      </c>
      <c r="C26" s="21">
        <v>5</v>
      </c>
    </row>
    <row r="27" spans="2:3" ht="60.75" x14ac:dyDescent="0.25">
      <c r="B27" s="38" t="s">
        <v>86</v>
      </c>
      <c r="C27" s="21">
        <v>5</v>
      </c>
    </row>
    <row r="28" spans="2:3" ht="40.5" x14ac:dyDescent="0.25">
      <c r="B28" s="38" t="s">
        <v>41</v>
      </c>
      <c r="C28" s="21">
        <v>10</v>
      </c>
    </row>
    <row r="29" spans="2:3" ht="81" x14ac:dyDescent="0.25">
      <c r="B29" s="38" t="s">
        <v>42</v>
      </c>
      <c r="C29" s="21">
        <v>5</v>
      </c>
    </row>
    <row r="30" spans="2:3" ht="60.75" x14ac:dyDescent="0.25">
      <c r="B30" s="38" t="s">
        <v>43</v>
      </c>
      <c r="C30" s="21">
        <v>5</v>
      </c>
    </row>
    <row r="31" spans="2:3" ht="60.75" x14ac:dyDescent="0.25">
      <c r="B31" s="38" t="s">
        <v>87</v>
      </c>
      <c r="C31" s="21">
        <v>15</v>
      </c>
    </row>
    <row r="32" spans="2:3" ht="60.75" x14ac:dyDescent="0.25">
      <c r="B32" s="38" t="s">
        <v>88</v>
      </c>
      <c r="C32" s="21">
        <v>30</v>
      </c>
    </row>
    <row r="33" spans="2:3" ht="40.5" x14ac:dyDescent="0.25">
      <c r="B33" s="38" t="s">
        <v>89</v>
      </c>
      <c r="C33" s="21">
        <v>5</v>
      </c>
    </row>
    <row r="34" spans="2:3" ht="60.75" x14ac:dyDescent="0.25">
      <c r="B34" s="38" t="s">
        <v>90</v>
      </c>
      <c r="C34" s="21">
        <v>30</v>
      </c>
    </row>
    <row r="35" spans="2:3" ht="60.75" x14ac:dyDescent="0.25">
      <c r="B35" s="38" t="s">
        <v>91</v>
      </c>
      <c r="C35" s="21">
        <v>15</v>
      </c>
    </row>
    <row r="36" spans="2:3" ht="81" x14ac:dyDescent="0.25">
      <c r="B36" s="38" t="s">
        <v>92</v>
      </c>
      <c r="C36" s="21">
        <v>30</v>
      </c>
    </row>
    <row r="37" spans="2:3" ht="60.75" x14ac:dyDescent="0.25">
      <c r="B37" s="38" t="s">
        <v>93</v>
      </c>
      <c r="C37" s="21">
        <v>5</v>
      </c>
    </row>
    <row r="38" spans="2:3" ht="60.75" x14ac:dyDescent="0.25">
      <c r="B38" s="38" t="s">
        <v>94</v>
      </c>
      <c r="C38" s="21">
        <v>15</v>
      </c>
    </row>
    <row r="39" spans="2:3" ht="60.75" x14ac:dyDescent="0.25">
      <c r="B39" s="38" t="s">
        <v>95</v>
      </c>
      <c r="C39" s="21">
        <v>60</v>
      </c>
    </row>
    <row r="40" spans="2:3" ht="81" x14ac:dyDescent="0.25">
      <c r="B40" s="38" t="s">
        <v>96</v>
      </c>
      <c r="C40" s="21">
        <v>15</v>
      </c>
    </row>
    <row r="41" spans="2:3" ht="81" x14ac:dyDescent="0.25">
      <c r="B41" s="38" t="s">
        <v>97</v>
      </c>
      <c r="C41" s="21">
        <v>5</v>
      </c>
    </row>
    <row r="42" spans="2:3" ht="81" x14ac:dyDescent="0.25">
      <c r="B42" s="38" t="s">
        <v>98</v>
      </c>
      <c r="C42" s="21">
        <v>30</v>
      </c>
    </row>
    <row r="43" spans="2:3" ht="60.75" x14ac:dyDescent="0.25">
      <c r="B43" s="38" t="s">
        <v>99</v>
      </c>
      <c r="C43" s="21">
        <v>5</v>
      </c>
    </row>
    <row r="44" spans="2:3" ht="81" x14ac:dyDescent="0.25">
      <c r="B44" s="38" t="s">
        <v>100</v>
      </c>
      <c r="C44" s="21">
        <v>15</v>
      </c>
    </row>
    <row r="45" spans="2:3" ht="60.75" x14ac:dyDescent="0.25">
      <c r="B45" s="38" t="s">
        <v>101</v>
      </c>
      <c r="C45" s="21">
        <v>10</v>
      </c>
    </row>
    <row r="46" spans="2:3" ht="60.75" x14ac:dyDescent="0.25">
      <c r="B46" s="38" t="s">
        <v>102</v>
      </c>
      <c r="C46" s="21">
        <v>10</v>
      </c>
    </row>
    <row r="47" spans="2:3" ht="40.5" x14ac:dyDescent="0.25">
      <c r="B47" s="38" t="s">
        <v>103</v>
      </c>
      <c r="C47" s="21">
        <v>5</v>
      </c>
    </row>
    <row r="48" spans="2:3" ht="60.75" x14ac:dyDescent="0.25">
      <c r="B48" s="38" t="s">
        <v>104</v>
      </c>
      <c r="C48" s="21">
        <v>5</v>
      </c>
    </row>
    <row r="49" spans="2:3" ht="40.5" x14ac:dyDescent="0.25">
      <c r="B49" s="38" t="s">
        <v>105</v>
      </c>
      <c r="C49" s="21">
        <v>15</v>
      </c>
    </row>
    <row r="50" spans="2:3" ht="60.75" x14ac:dyDescent="0.25">
      <c r="B50" s="38" t="s">
        <v>106</v>
      </c>
      <c r="C50" s="21">
        <v>10</v>
      </c>
    </row>
    <row r="51" spans="2:3" ht="60.75" x14ac:dyDescent="0.25">
      <c r="B51" s="38" t="s">
        <v>107</v>
      </c>
      <c r="C51" s="21">
        <v>15</v>
      </c>
    </row>
    <row r="52" spans="2:3" ht="40.5" x14ac:dyDescent="0.25">
      <c r="B52" s="17" t="s">
        <v>108</v>
      </c>
      <c r="C52" s="22">
        <v>10</v>
      </c>
    </row>
    <row r="53" spans="2:3" ht="60.75" x14ac:dyDescent="0.25">
      <c r="B53" s="17" t="s">
        <v>109</v>
      </c>
      <c r="C53" s="22">
        <v>20</v>
      </c>
    </row>
    <row r="54" spans="2:3" ht="81.75" thickBot="1" x14ac:dyDescent="0.3">
      <c r="B54" s="17" t="s">
        <v>130</v>
      </c>
      <c r="C54" s="22">
        <v>20</v>
      </c>
    </row>
    <row r="55" spans="2:3" ht="40.5" x14ac:dyDescent="0.25">
      <c r="B55" s="16" t="s">
        <v>51</v>
      </c>
      <c r="C55" s="21">
        <v>10</v>
      </c>
    </row>
    <row r="56" spans="2:3" ht="40.5" x14ac:dyDescent="0.25">
      <c r="B56" s="38" t="s">
        <v>52</v>
      </c>
      <c r="C56" s="21">
        <v>15</v>
      </c>
    </row>
    <row r="57" spans="2:3" ht="40.5" x14ac:dyDescent="0.25">
      <c r="B57" s="38" t="s">
        <v>53</v>
      </c>
      <c r="C57" s="21">
        <v>5</v>
      </c>
    </row>
    <row r="58" spans="2:3" ht="40.5" x14ac:dyDescent="0.25">
      <c r="B58" s="38" t="s">
        <v>54</v>
      </c>
      <c r="C58" s="21">
        <v>5</v>
      </c>
    </row>
    <row r="59" spans="2:3" ht="60.75" x14ac:dyDescent="0.25">
      <c r="B59" s="38" t="s">
        <v>55</v>
      </c>
      <c r="C59" s="21">
        <v>15</v>
      </c>
    </row>
    <row r="60" spans="2:3" ht="60.75" x14ac:dyDescent="0.25">
      <c r="B60" s="38" t="s">
        <v>56</v>
      </c>
      <c r="C60" s="21">
        <v>10</v>
      </c>
    </row>
    <row r="61" spans="2:3" ht="60.75" x14ac:dyDescent="0.25">
      <c r="B61" s="38" t="s">
        <v>57</v>
      </c>
      <c r="C61" s="21">
        <v>30</v>
      </c>
    </row>
    <row r="62" spans="2:3" ht="60.75" x14ac:dyDescent="0.25">
      <c r="B62" s="38" t="s">
        <v>58</v>
      </c>
      <c r="C62" s="21">
        <v>45</v>
      </c>
    </row>
    <row r="63" spans="2:3" ht="60.75" x14ac:dyDescent="0.25">
      <c r="B63" s="38" t="s">
        <v>59</v>
      </c>
      <c r="C63" s="21">
        <v>20</v>
      </c>
    </row>
    <row r="64" spans="2:3" ht="60.75" x14ac:dyDescent="0.25">
      <c r="B64" s="38" t="s">
        <v>60</v>
      </c>
      <c r="C64" s="21">
        <v>90</v>
      </c>
    </row>
    <row r="65" spans="2:3" ht="40.5" x14ac:dyDescent="0.25">
      <c r="B65" s="38" t="s">
        <v>61</v>
      </c>
      <c r="C65" s="21">
        <v>5</v>
      </c>
    </row>
  </sheetData>
  <conditionalFormatting sqref="C2:C65">
    <cfRule type="cellIs" dxfId="1" priority="3" operator="equal">
      <formula>3</formula>
    </cfRule>
    <cfRule type="cellIs" dxfId="0" priority="4" operator="equal">
      <formula>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28</vt:i4>
      </vt:variant>
    </vt:vector>
  </HeadingPairs>
  <TitlesOfParts>
    <vt:vector size="59" baseType="lpstr">
      <vt:lpstr>Convoyeur casiers</vt:lpstr>
      <vt:lpstr>Décaisseuse </vt:lpstr>
      <vt:lpstr>Encaisseuse</vt:lpstr>
      <vt:lpstr>Soutireuse</vt:lpstr>
      <vt:lpstr>Lave-caisses Ancien</vt:lpstr>
      <vt:lpstr>Laveuse - EBI</vt:lpstr>
      <vt:lpstr>Convoyeur bouteilles</vt:lpstr>
      <vt:lpstr>Pasteurisateur</vt:lpstr>
      <vt:lpstr>Crater - Apollo 3</vt:lpstr>
      <vt:lpstr>Apollo 4 - Palletizer</vt:lpstr>
      <vt:lpstr>Etiqueteuse</vt:lpstr>
      <vt:lpstr>Palettiseur</vt:lpstr>
      <vt:lpstr>Dépalettiseur</vt:lpstr>
      <vt:lpstr>Apollo1 - Apollo2</vt:lpstr>
      <vt:lpstr>Apollo2 - Decaisseuse</vt:lpstr>
      <vt:lpstr>Depal - Apollo 1</vt:lpstr>
      <vt:lpstr> Laveuse L4</vt:lpstr>
      <vt:lpstr>Laveuse L5</vt:lpstr>
      <vt:lpstr>Apollos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Feuil2</vt:lpstr>
      <vt:lpstr>Feuil1</vt:lpstr>
      <vt:lpstr>' Laveuse L4'!Zone_d_impression</vt:lpstr>
      <vt:lpstr>'Apollo 4 - Palletizer'!Zone_d_impression</vt:lpstr>
      <vt:lpstr>'Apollo1 - Apollo2'!Zone_d_impression</vt:lpstr>
      <vt:lpstr>'Apollo2 - Decaisseuse'!Zone_d_impression</vt:lpstr>
      <vt:lpstr>Apollos!Zone_d_impression</vt:lpstr>
      <vt:lpstr>'CC C1'!Zone_d_impression</vt:lpstr>
      <vt:lpstr>'CC C2'!Zone_d_impression</vt:lpstr>
      <vt:lpstr>'CC C3'!Zone_d_impression</vt:lpstr>
      <vt:lpstr>'CC C4'!Zone_d_impression</vt:lpstr>
      <vt:lpstr>'CC C5'!Zone_d_impression</vt:lpstr>
      <vt:lpstr>'CC C6'!Zone_d_impression</vt:lpstr>
      <vt:lpstr>'CC C7'!Zone_d_impression</vt:lpstr>
      <vt:lpstr>'CC C8'!Zone_d_impression</vt:lpstr>
      <vt:lpstr>'Convoyeur bouteilles'!Zone_d_impression</vt:lpstr>
      <vt:lpstr>'Convoyeur casiers'!Zone_d_impression</vt:lpstr>
      <vt:lpstr>'Crater - Apollo 3'!Zone_d_impression</vt:lpstr>
      <vt:lpstr>'Cvyr Btles'!Zone_d_impression</vt:lpstr>
      <vt:lpstr>'Décaisseuse '!Zone_d_impression</vt:lpstr>
      <vt:lpstr>'Depal - Apollo 1'!Zone_d_impression</vt:lpstr>
      <vt:lpstr>Dépalettiseur!Zone_d_impression</vt:lpstr>
      <vt:lpstr>Encaisseuse!Zone_d_impression</vt:lpstr>
      <vt:lpstr>Etiqueteuse!Zone_d_impression</vt:lpstr>
      <vt:lpstr>'Lave-caisses Ancien'!Zone_d_impression</vt:lpstr>
      <vt:lpstr>'Laveuse - EBI'!Zone_d_impression</vt:lpstr>
      <vt:lpstr>'Laveuse L5'!Zone_d_impression</vt:lpstr>
      <vt:lpstr>Palettiseur!Zone_d_impression</vt:lpstr>
      <vt:lpstr>Pasteurisateur!Zone_d_impression</vt:lpstr>
      <vt:lpstr>Soutireuse!Zone_d_impression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TUETE MAMNO JESSIE MAUREEN</cp:lastModifiedBy>
  <cp:lastPrinted>2025-09-10T15:28:25Z</cp:lastPrinted>
  <dcterms:created xsi:type="dcterms:W3CDTF">2021-01-06T16:50:41Z</dcterms:created>
  <dcterms:modified xsi:type="dcterms:W3CDTF">2025-11-13T14:13:39Z</dcterms:modified>
</cp:coreProperties>
</file>