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embeddings/oleObject3.bin" ContentType="application/vnd.openxmlformats-officedocument.oleObject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aintenance 2025\"/>
    </mc:Choice>
  </mc:AlternateContent>
  <xr:revisionPtr revIDLastSave="0" documentId="13_ncr:1_{DA187274-877F-4FE7-9202-736A613BCE6A}" xr6:coauthVersionLast="47" xr6:coauthVersionMax="47" xr10:uidLastSave="{00000000-0000-0000-0000-000000000000}"/>
  <bookViews>
    <workbookView xWindow="-120" yWindow="-120" windowWidth="20730" windowHeight="11160" xr2:uid="{CCB759FA-444F-4D54-A6F7-CE80BD9DAA56}"/>
  </bookViews>
  <sheets>
    <sheet name="MONTHY PERFORMANCE TRACKER" sheetId="1" r:id="rId1"/>
    <sheet name="Sheet2" sheetId="2" r:id="rId2"/>
    <sheet name="Sheet4" sheetId="4" r:id="rId3"/>
    <sheet name="Sheet3" sheetId="3" r:id="rId4"/>
    <sheet name="Availability report" sheetId="6" r:id="rId5"/>
    <sheet name="Availabbility of October 2025" sheetId="8" r:id="rId6"/>
    <sheet name="Availabbility of september 2025" sheetId="7" r:id="rId7"/>
    <sheet name="Sheet5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6" l="1"/>
  <c r="G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F5" i="8"/>
  <c r="F14" i="8" s="1"/>
  <c r="G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F5" i="7"/>
  <c r="F14" i="7" s="1"/>
  <c r="F12" i="6"/>
  <c r="G12" i="6"/>
  <c r="F6" i="6"/>
  <c r="F7" i="6"/>
  <c r="F8" i="6"/>
  <c r="F9" i="6"/>
  <c r="F10" i="6"/>
  <c r="F11" i="6"/>
  <c r="F13" i="6"/>
  <c r="G13" i="6"/>
  <c r="G11" i="6"/>
  <c r="G10" i="6"/>
  <c r="G9" i="6"/>
  <c r="G8" i="6"/>
  <c r="G7" i="6"/>
  <c r="G6" i="6"/>
  <c r="F5" i="6"/>
  <c r="F14" i="6" l="1"/>
  <c r="G14" i="6"/>
</calcChain>
</file>

<file path=xl/sharedStrings.xml><?xml version="1.0" encoding="utf-8"?>
<sst xmlns="http://schemas.openxmlformats.org/spreadsheetml/2006/main" count="323" uniqueCount="143">
  <si>
    <t>In Utility, Everything is Possible Because Possibilities Lie in Our DNA</t>
  </si>
  <si>
    <t>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</si>
  <si>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</si>
  <si>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</si>
  <si>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</si>
  <si>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</si>
  <si>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</si>
  <si>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</si>
  <si>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</si>
  <si>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</si>
  <si>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</si>
  <si>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</si>
  <si>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</si>
  <si>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</si>
  <si>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LTI (Lost Time Injuries)</t>
  </si>
  <si>
    <t>First Aid Injury (FAI)</t>
  </si>
  <si>
    <t>Behavioural Safety Compliance</t>
  </si>
  <si>
    <t xml:space="preserve">Safety Incidence &amp; Observations (Behaviours, Hazards, etc) </t>
  </si>
  <si>
    <t>&gt; 80</t>
  </si>
  <si>
    <t xml:space="preserve">Utility Equipment Availability </t>
  </si>
  <si>
    <t>Preventive Maintenance Compliance</t>
  </si>
  <si>
    <t>&gt; 90%</t>
  </si>
  <si>
    <t>&gt;12</t>
  </si>
  <si>
    <t>Utility Index</t>
  </si>
  <si>
    <t>Utility Downtime To Brewing (UDTB)</t>
  </si>
  <si>
    <t>&lt; 2%</t>
  </si>
  <si>
    <t>Utility Downtime To Packaging (UDTP)</t>
  </si>
  <si>
    <t>GHK/5S Score</t>
  </si>
  <si>
    <t>&gt;75%</t>
  </si>
  <si>
    <t>Adherence to Annual Planned Schedule Maintenance &amp; Calibration</t>
  </si>
  <si>
    <t>&gt; 85%</t>
  </si>
  <si>
    <t>Adherence to Work Order Closure</t>
  </si>
  <si>
    <t>Water Usage Ratio</t>
  </si>
  <si>
    <t>Energy Usage Ratio</t>
  </si>
  <si>
    <t>Power Outage</t>
  </si>
  <si>
    <t>MTD</t>
  </si>
  <si>
    <t>Adherence to Annual Schedule Maintenance &amp; Calibration</t>
  </si>
  <si>
    <t xml:space="preserve">                UTILITY KEY PERFORMANCE INDICATORS DASHBOARD</t>
  </si>
  <si>
    <t xml:space="preserve">                                                      YEAR IN VIEW: </t>
  </si>
  <si>
    <t xml:space="preserve">Key Performance Indicators </t>
  </si>
  <si>
    <t>MONTHLY PERFORMANCE TRACKER</t>
  </si>
  <si>
    <t>WEEKLY PERFORMANCE TRACKER</t>
  </si>
  <si>
    <t xml:space="preserve">Key Performance Indicators  </t>
  </si>
  <si>
    <t>Safety Incidence &amp; Observations (Behaviours, Hazards, etc) Identified &amp; Closed</t>
  </si>
  <si>
    <t>Mean Time Between Failure (MTBF)</t>
  </si>
  <si>
    <t>Mean Time To Repair (MTTR)</t>
  </si>
  <si>
    <t>&gt;90%</t>
  </si>
  <si>
    <t>UOM</t>
  </si>
  <si>
    <t>COMMENT</t>
  </si>
  <si>
    <t>%</t>
  </si>
  <si>
    <t>Kg/LOF</t>
  </si>
  <si>
    <t>Kwhr/hl</t>
  </si>
  <si>
    <t>hl/hl</t>
  </si>
  <si>
    <t xml:space="preserve">Diesel Generator Specific Consumption </t>
  </si>
  <si>
    <t xml:space="preserve">Steam Fuel Ratio </t>
  </si>
  <si>
    <t>No</t>
  </si>
  <si>
    <t>hr</t>
  </si>
  <si>
    <t>Number of RCA Completed</t>
  </si>
  <si>
    <t>Training Plan vs Completed</t>
  </si>
  <si>
    <t>Equipment</t>
  </si>
  <si>
    <t>No Installed</t>
  </si>
  <si>
    <t>Uptime Hour/WK</t>
  </si>
  <si>
    <t>Downtime Hour/Wk</t>
  </si>
  <si>
    <t>Number of Failure/Wk</t>
  </si>
  <si>
    <t>Availability  (%)</t>
  </si>
  <si>
    <t>Failure Rate</t>
  </si>
  <si>
    <t>Breakdown Remark</t>
  </si>
  <si>
    <t>Chiller-Sabroe</t>
  </si>
  <si>
    <t>Boiler</t>
  </si>
  <si>
    <t>WTP (UF+RO+Madiba UF)</t>
  </si>
  <si>
    <t>CO2 Plant (CO2 comp 1 &amp; 2) + CO2 Cooling compressor</t>
  </si>
  <si>
    <t>Generator Radiator</t>
  </si>
  <si>
    <t>KPI Score Card</t>
  </si>
  <si>
    <t>Failure Rate &lt;1%</t>
  </si>
  <si>
    <t>Diesel Generator (Power)</t>
  </si>
  <si>
    <t>Condensers + CO2  Cooling Tower</t>
  </si>
  <si>
    <t>Air Compressor</t>
  </si>
  <si>
    <t xml:space="preserve">EQUIPMENT AVAILABILITY </t>
  </si>
  <si>
    <t xml:space="preserve">Monthly Availability </t>
  </si>
  <si>
    <t>Month in View: April</t>
  </si>
  <si>
    <t xml:space="preserve"> </t>
  </si>
  <si>
    <t>Weekly tracker Kpi</t>
  </si>
  <si>
    <t>Week 16</t>
  </si>
  <si>
    <t>Week 17</t>
  </si>
  <si>
    <t>Kpi</t>
  </si>
  <si>
    <t>Score</t>
  </si>
  <si>
    <t xml:space="preserve">Mean Time to Repair (MTTR) </t>
  </si>
  <si>
    <t xml:space="preserve">&lt;0.5 Hrs </t>
  </si>
  <si>
    <t xml:space="preserve">Mean Time Between Failures (MTBF) </t>
  </si>
  <si>
    <t xml:space="preserve">&gt;10 Hrs/13Hrs </t>
  </si>
  <si>
    <t>NA</t>
  </si>
  <si>
    <t xml:space="preserve">Maintenance Plan Attainment (MPA) </t>
  </si>
  <si>
    <t xml:space="preserve">&gt;95% </t>
  </si>
  <si>
    <t>TARGET</t>
  </si>
  <si>
    <t>ACTUAL SCORE</t>
  </si>
  <si>
    <t>Months</t>
  </si>
  <si>
    <t>&lt;0.5</t>
  </si>
  <si>
    <t>&gt;10</t>
  </si>
  <si>
    <t>Week 21 to Week 23</t>
  </si>
  <si>
    <t>Kg/m3</t>
  </si>
  <si>
    <t>Ltr/kWhr</t>
  </si>
  <si>
    <t>≤ 0.24</t>
  </si>
  <si>
    <t>UTILITY EQUIPMENT AVAILABILITY</t>
  </si>
  <si>
    <t>Installed Equipment Nos.</t>
  </si>
  <si>
    <t>Breakdown (Hours)</t>
  </si>
  <si>
    <t>Major Breakdown/Remarks</t>
  </si>
  <si>
    <t>Air compressor</t>
  </si>
  <si>
    <t>Cooling Compressor (Sabroe)</t>
  </si>
  <si>
    <t>Borehole</t>
  </si>
  <si>
    <t>Diesel Generator</t>
  </si>
  <si>
    <t>CO2 Compressor</t>
  </si>
  <si>
    <t>CO2 Cooling Compressor</t>
  </si>
  <si>
    <t>WTP</t>
  </si>
  <si>
    <t xml:space="preserve">Average Equipment Avaibility </t>
  </si>
  <si>
    <t>Sn</t>
  </si>
  <si>
    <t xml:space="preserve">Equipment Down </t>
  </si>
  <si>
    <t>Remark</t>
  </si>
  <si>
    <t>Boiler 10Tons &amp; 15ton overhaul</t>
  </si>
  <si>
    <t>Overhaul maintenance completed</t>
  </si>
  <si>
    <t>Sabroe 5 Condenser leaking</t>
  </si>
  <si>
    <t>Review of progress preparation</t>
  </si>
  <si>
    <t>CO2 compressor 1</t>
  </si>
  <si>
    <t>Awaiting spares</t>
  </si>
  <si>
    <t>Sabroe 8 VFD</t>
  </si>
  <si>
    <t>VFD Replacement required</t>
  </si>
  <si>
    <t>Reliability</t>
  </si>
  <si>
    <t>Sabroe 8 Compressor is down</t>
  </si>
  <si>
    <t>Week</t>
  </si>
  <si>
    <t xml:space="preserve">the auxiliary contactor failed </t>
  </si>
  <si>
    <t>≤ 0.25</t>
  </si>
  <si>
    <t>Utility Quality Index</t>
  </si>
  <si>
    <t>WK 44</t>
  </si>
  <si>
    <t>MTTR</t>
  </si>
  <si>
    <t>96H</t>
  </si>
  <si>
    <t>&gt;0.5H</t>
  </si>
  <si>
    <t>MONTH IN VIEW: November 2025</t>
  </si>
  <si>
    <t>WK 45</t>
  </si>
  <si>
    <t>WK 46</t>
  </si>
  <si>
    <t>WK 47</t>
  </si>
  <si>
    <t>WK 48</t>
  </si>
  <si>
    <t>W42</t>
  </si>
  <si>
    <t>W43</t>
  </si>
  <si>
    <r>
      <rPr>
        <b/>
        <sz val="11"/>
        <color theme="1"/>
        <rFont val="Calibri"/>
        <family val="2"/>
        <scheme val="minor"/>
      </rPr>
      <t xml:space="preserve">The Utility Equipment Availability </t>
    </r>
    <r>
      <rPr>
        <sz val="11"/>
        <color theme="1"/>
        <rFont val="Calibri"/>
        <family val="2"/>
        <scheme val="minor"/>
      </rPr>
      <t xml:space="preserve">was affected by the:                                                                                                                             -Two coils are burnt out on the sabroe 8 compressor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Utilities : 91.87%;  impacted by:</t>
    </r>
    <r>
      <rPr>
        <sz val="11"/>
        <color theme="1"/>
        <rFont val="Calibri"/>
        <family val="2"/>
        <scheme val="minor"/>
      </rPr>
      <t xml:space="preserve">
      Phosphate content in boilers water, 78.57% in spec.
Sulphate content in boilers water, 78.57% in spec.
Air micro, 0% in spec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</si>
</sst>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0.0%"/>
    <numFmt numFmtId="165" formatCode="_-* #,##0.00_-;\-* #,##0.00_-;_-* &quot;-&quot;_-;_-@_-"/>
    <numFmt numFmtId="166" formatCode="#,##0;[Red]#,##0"/>
    <numFmt numFmtId="167" formatCode="0;[Red]0"/>
    <numFmt numFmtId="168" formatCode="#,##0.0;[Red]#,##0.0"/>
    <numFmt numFmtId="169" formatCode="0.00;[Red]0.00"/>
    <numFmt numFmtId="170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1"/>
      <name val="Lucida Calligraphy"/>
      <family val="4"/>
    </font>
    <font>
      <sz val="8"/>
      <name val="Calibri"/>
      <family val="2"/>
      <scheme val="minor"/>
    </font>
    <font>
      <b/>
      <sz val="11"/>
      <color theme="1"/>
      <name val="Bahnschrift SemiLight"/>
      <family val="2"/>
    </font>
    <font>
      <b/>
      <sz val="12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0"/>
      <color rgb="FF000000"/>
      <name val="Calibri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009900"/>
      <name val="Arial"/>
      <family val="2"/>
    </font>
    <font>
      <b/>
      <sz val="14"/>
      <color rgb="FFFF0000"/>
      <name val="Calibri"/>
      <family val="2"/>
    </font>
    <font>
      <b/>
      <sz val="14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Bradley Hand ITC"/>
      <family val="4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4">
    <xf numFmtId="0" fontId="0" fillId="0" borderId="0" xfId="0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9" fontId="6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9" fontId="2" fillId="2" borderId="3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wrapText="1"/>
    </xf>
    <xf numFmtId="9" fontId="7" fillId="2" borderId="3" xfId="1" applyFont="1" applyFill="1" applyBorder="1" applyAlignment="1">
      <alignment horizontal="center"/>
    </xf>
    <xf numFmtId="0" fontId="2" fillId="2" borderId="7" xfId="0" applyFont="1" applyFill="1" applyBorder="1"/>
    <xf numFmtId="0" fontId="8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9" fontId="8" fillId="2" borderId="3" xfId="1" applyFont="1" applyFill="1" applyBorder="1" applyAlignment="1">
      <alignment horizontal="center"/>
    </xf>
    <xf numFmtId="0" fontId="2" fillId="2" borderId="8" xfId="0" applyFont="1" applyFill="1" applyBorder="1"/>
    <xf numFmtId="0" fontId="4" fillId="2" borderId="2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center"/>
    </xf>
    <xf numFmtId="9" fontId="8" fillId="2" borderId="20" xfId="1" applyFont="1" applyFill="1" applyBorder="1" applyAlignment="1">
      <alignment horizontal="center"/>
    </xf>
    <xf numFmtId="9" fontId="8" fillId="2" borderId="21" xfId="1" applyFont="1" applyFill="1" applyBorder="1" applyAlignment="1">
      <alignment horizontal="center"/>
    </xf>
    <xf numFmtId="0" fontId="2" fillId="2" borderId="2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9" fontId="7" fillId="2" borderId="23" xfId="1" applyFont="1" applyFill="1" applyBorder="1" applyAlignment="1">
      <alignment horizontal="center"/>
    </xf>
    <xf numFmtId="1" fontId="7" fillId="2" borderId="13" xfId="1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2" borderId="3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top" wrapText="1"/>
    </xf>
    <xf numFmtId="10" fontId="0" fillId="0" borderId="4" xfId="1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13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10" fontId="13" fillId="0" borderId="4" xfId="0" applyNumberFormat="1" applyFont="1" applyBorder="1" applyAlignment="1">
      <alignment horizontal="center"/>
    </xf>
    <xf numFmtId="10" fontId="13" fillId="0" borderId="4" xfId="1" applyNumberFormat="1" applyFont="1" applyBorder="1" applyAlignment="1">
      <alignment horizontal="center" vertical="top" wrapText="1"/>
    </xf>
    <xf numFmtId="0" fontId="13" fillId="4" borderId="4" xfId="0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/>
    </xf>
    <xf numFmtId="0" fontId="16" fillId="0" borderId="35" xfId="0" applyFont="1" applyBorder="1" applyAlignment="1">
      <alignment horizontal="left" wrapText="1" readingOrder="1"/>
    </xf>
    <xf numFmtId="0" fontId="17" fillId="0" borderId="35" xfId="0" applyFont="1" applyBorder="1" applyAlignment="1">
      <alignment horizontal="left" wrapText="1" readingOrder="1"/>
    </xf>
    <xf numFmtId="0" fontId="18" fillId="0" borderId="35" xfId="0" applyFont="1" applyBorder="1" applyAlignment="1">
      <alignment horizontal="center" wrapText="1" readingOrder="1"/>
    </xf>
    <xf numFmtId="0" fontId="17" fillId="0" borderId="35" xfId="0" applyFont="1" applyBorder="1" applyAlignment="1">
      <alignment horizontal="center" wrapText="1" readingOrder="1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" fontId="4" fillId="2" borderId="4" xfId="1" applyNumberFormat="1" applyFont="1" applyFill="1" applyBorder="1" applyAlignment="1">
      <alignment horizontal="center"/>
    </xf>
    <xf numFmtId="17" fontId="0" fillId="0" borderId="38" xfId="0" applyNumberFormat="1" applyBorder="1"/>
    <xf numFmtId="17" fontId="0" fillId="0" borderId="17" xfId="0" applyNumberFormat="1" applyBorder="1"/>
    <xf numFmtId="17" fontId="0" fillId="0" borderId="2" xfId="0" applyNumberFormat="1" applyBorder="1"/>
    <xf numFmtId="9" fontId="7" fillId="2" borderId="2" xfId="1" applyFont="1" applyFill="1" applyBorder="1" applyAlignment="1">
      <alignment horizontal="center"/>
    </xf>
    <xf numFmtId="0" fontId="2" fillId="0" borderId="32" xfId="0" applyFont="1" applyBorder="1"/>
    <xf numFmtId="0" fontId="2" fillId="0" borderId="2" xfId="0" applyFont="1" applyBorder="1"/>
    <xf numFmtId="0" fontId="2" fillId="0" borderId="34" xfId="0" applyFont="1" applyBorder="1"/>
    <xf numFmtId="10" fontId="7" fillId="2" borderId="2" xfId="1" applyNumberFormat="1" applyFont="1" applyFill="1" applyBorder="1" applyAlignment="1">
      <alignment horizontal="center"/>
    </xf>
    <xf numFmtId="10" fontId="7" fillId="2" borderId="39" xfId="1" applyNumberFormat="1" applyFont="1" applyFill="1" applyBorder="1" applyAlignment="1">
      <alignment horizontal="center"/>
    </xf>
    <xf numFmtId="10" fontId="7" fillId="2" borderId="31" xfId="1" applyNumberFormat="1" applyFont="1" applyFill="1" applyBorder="1" applyAlignment="1">
      <alignment horizontal="center"/>
    </xf>
    <xf numFmtId="10" fontId="7" fillId="2" borderId="40" xfId="1" applyNumberFormat="1" applyFont="1" applyFill="1" applyBorder="1" applyAlignment="1">
      <alignment horizontal="center"/>
    </xf>
    <xf numFmtId="164" fontId="7" fillId="2" borderId="3" xfId="1" applyNumberFormat="1" applyFont="1" applyFill="1" applyBorder="1" applyAlignment="1">
      <alignment horizontal="center"/>
    </xf>
    <xf numFmtId="10" fontId="7" fillId="2" borderId="3" xfId="1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165" fontId="9" fillId="2" borderId="4" xfId="2" applyNumberFormat="1" applyFont="1" applyFill="1" applyBorder="1" applyAlignment="1">
      <alignment horizontal="center"/>
    </xf>
    <xf numFmtId="167" fontId="9" fillId="2" borderId="9" xfId="1" applyNumberFormat="1" applyFont="1" applyFill="1" applyBorder="1" applyAlignment="1">
      <alignment horizontal="center"/>
    </xf>
    <xf numFmtId="167" fontId="6" fillId="2" borderId="4" xfId="1" applyNumberFormat="1" applyFont="1" applyFill="1" applyBorder="1" applyAlignment="1">
      <alignment horizontal="center"/>
    </xf>
    <xf numFmtId="166" fontId="9" fillId="2" borderId="4" xfId="1" applyNumberFormat="1" applyFont="1" applyFill="1" applyBorder="1" applyAlignment="1">
      <alignment horizontal="center"/>
    </xf>
    <xf numFmtId="166" fontId="6" fillId="2" borderId="4" xfId="1" applyNumberFormat="1" applyFont="1" applyFill="1" applyBorder="1" applyAlignment="1">
      <alignment horizontal="center"/>
    </xf>
    <xf numFmtId="169" fontId="6" fillId="2" borderId="4" xfId="1" applyNumberFormat="1" applyFont="1" applyFill="1" applyBorder="1" applyAlignment="1">
      <alignment horizontal="center"/>
    </xf>
    <xf numFmtId="1" fontId="20" fillId="2" borderId="4" xfId="1" applyNumberFormat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0" fillId="0" borderId="4" xfId="0" applyBorder="1"/>
    <xf numFmtId="0" fontId="0" fillId="0" borderId="47" xfId="0" applyBorder="1"/>
    <xf numFmtId="0" fontId="0" fillId="0" borderId="4" xfId="0" applyBorder="1" applyAlignment="1">
      <alignment horizontal="center" vertical="center"/>
    </xf>
    <xf numFmtId="0" fontId="21" fillId="0" borderId="35" xfId="0" applyFont="1" applyBorder="1" applyAlignment="1">
      <alignment horizontal="center" vertical="center" wrapText="1" readingOrder="1"/>
    </xf>
    <xf numFmtId="0" fontId="22" fillId="0" borderId="35" xfId="0" applyFont="1" applyBorder="1" applyAlignment="1">
      <alignment horizontal="center" vertical="center" wrapText="1" readingOrder="1"/>
    </xf>
    <xf numFmtId="166" fontId="9" fillId="2" borderId="4" xfId="2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7" fontId="6" fillId="2" borderId="5" xfId="1" applyNumberFormat="1" applyFont="1" applyFill="1" applyBorder="1" applyAlignment="1">
      <alignment horizontal="center"/>
    </xf>
    <xf numFmtId="1" fontId="4" fillId="2" borderId="5" xfId="1" applyNumberFormat="1" applyFont="1" applyFill="1" applyBorder="1" applyAlignment="1">
      <alignment horizontal="center"/>
    </xf>
    <xf numFmtId="169" fontId="6" fillId="2" borderId="5" xfId="1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66" fontId="9" fillId="2" borderId="5" xfId="1" applyNumberFormat="1" applyFont="1" applyFill="1" applyBorder="1" applyAlignment="1">
      <alignment horizontal="center"/>
    </xf>
    <xf numFmtId="166" fontId="6" fillId="2" borderId="5" xfId="1" applyNumberFormat="1" applyFont="1" applyFill="1" applyBorder="1" applyAlignment="1">
      <alignment horizontal="center"/>
    </xf>
    <xf numFmtId="166" fontId="9" fillId="2" borderId="5" xfId="2" applyNumberFormat="1" applyFont="1" applyFill="1" applyBorder="1" applyAlignment="1">
      <alignment horizontal="center"/>
    </xf>
    <xf numFmtId="1" fontId="20" fillId="2" borderId="5" xfId="1" applyNumberFormat="1" applyFont="1" applyFill="1" applyBorder="1" applyAlignment="1">
      <alignment horizontal="center"/>
    </xf>
    <xf numFmtId="165" fontId="9" fillId="2" borderId="5" xfId="2" applyNumberFormat="1" applyFont="1" applyFill="1" applyBorder="1" applyAlignment="1">
      <alignment horizontal="center"/>
    </xf>
    <xf numFmtId="167" fontId="9" fillId="2" borderId="48" xfId="1" applyNumberFormat="1" applyFont="1" applyFill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15" fillId="0" borderId="49" xfId="0" applyFont="1" applyBorder="1" applyAlignment="1">
      <alignment horizontal="center" vertical="center" wrapText="1" readingOrder="1"/>
    </xf>
    <xf numFmtId="0" fontId="15" fillId="0" borderId="50" xfId="0" applyFont="1" applyBorder="1" applyAlignment="1">
      <alignment horizontal="center" vertical="center" wrapText="1" readingOrder="1"/>
    </xf>
    <xf numFmtId="0" fontId="0" fillId="0" borderId="51" xfId="0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7" fontId="6" fillId="2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69" fontId="6" fillId="2" borderId="4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166" fontId="9" fillId="2" borderId="4" xfId="1" applyNumberFormat="1" applyFont="1" applyFill="1" applyBorder="1" applyAlignment="1">
      <alignment horizontal="center" vertical="center"/>
    </xf>
    <xf numFmtId="168" fontId="9" fillId="2" borderId="4" xfId="1" applyNumberFormat="1" applyFont="1" applyFill="1" applyBorder="1" applyAlignment="1">
      <alignment horizontal="center" vertical="center"/>
    </xf>
    <xf numFmtId="166" fontId="6" fillId="2" borderId="4" xfId="1" applyNumberFormat="1" applyFont="1" applyFill="1" applyBorder="1" applyAlignment="1">
      <alignment horizontal="center" vertical="center"/>
    </xf>
    <xf numFmtId="166" fontId="9" fillId="2" borderId="4" xfId="2" applyNumberFormat="1" applyFont="1" applyFill="1" applyBorder="1" applyAlignment="1">
      <alignment horizontal="center" vertical="center"/>
    </xf>
    <xf numFmtId="166" fontId="20" fillId="2" borderId="4" xfId="2" applyNumberFormat="1" applyFont="1" applyFill="1" applyBorder="1" applyAlignment="1">
      <alignment horizontal="center" vertical="center"/>
    </xf>
    <xf numFmtId="1" fontId="9" fillId="2" borderId="4" xfId="1" applyNumberFormat="1" applyFont="1" applyFill="1" applyBorder="1" applyAlignment="1">
      <alignment horizontal="center" vertical="center"/>
    </xf>
    <xf numFmtId="1" fontId="19" fillId="2" borderId="4" xfId="1" applyNumberFormat="1" applyFont="1" applyFill="1" applyBorder="1" applyAlignment="1">
      <alignment horizontal="center" vertical="center"/>
    </xf>
    <xf numFmtId="1" fontId="20" fillId="2" borderId="4" xfId="1" applyNumberFormat="1" applyFont="1" applyFill="1" applyBorder="1" applyAlignment="1">
      <alignment horizontal="center" vertical="center"/>
    </xf>
    <xf numFmtId="165" fontId="9" fillId="2" borderId="4" xfId="2" applyNumberFormat="1" applyFont="1" applyFill="1" applyBorder="1" applyAlignment="1">
      <alignment horizontal="center" vertical="center"/>
    </xf>
    <xf numFmtId="167" fontId="9" fillId="2" borderId="9" xfId="1" applyNumberFormat="1" applyFont="1" applyFill="1" applyBorder="1" applyAlignment="1">
      <alignment horizontal="center" vertical="center"/>
    </xf>
    <xf numFmtId="167" fontId="4" fillId="0" borderId="0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5" fontId="19" fillId="2" borderId="4" xfId="2" applyNumberFormat="1" applyFont="1" applyFill="1" applyBorder="1" applyAlignment="1">
      <alignment horizontal="center" vertical="center"/>
    </xf>
    <xf numFmtId="166" fontId="19" fillId="2" borderId="4" xfId="2" applyNumberFormat="1" applyFont="1" applyFill="1" applyBorder="1" applyAlignment="1">
      <alignment horizontal="center" vertical="center"/>
    </xf>
    <xf numFmtId="169" fontId="5" fillId="2" borderId="4" xfId="1" applyNumberFormat="1" applyFont="1" applyFill="1" applyBorder="1" applyAlignment="1">
      <alignment horizontal="center" vertical="center"/>
    </xf>
    <xf numFmtId="10" fontId="2" fillId="2" borderId="14" xfId="0" applyNumberFormat="1" applyFont="1" applyFill="1" applyBorder="1" applyAlignment="1">
      <alignment horizontal="center"/>
    </xf>
    <xf numFmtId="0" fontId="24" fillId="0" borderId="35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10" fontId="0" fillId="0" borderId="4" xfId="1" applyNumberFormat="1" applyFont="1" applyBorder="1" applyAlignment="1">
      <alignment horizontal="center" vertical="center" wrapText="1"/>
    </xf>
    <xf numFmtId="2" fontId="0" fillId="0" borderId="25" xfId="1" applyNumberFormat="1" applyFont="1" applyBorder="1" applyAlignment="1">
      <alignment horizontal="center" vertical="center" wrapText="1"/>
    </xf>
    <xf numFmtId="2" fontId="21" fillId="0" borderId="35" xfId="0" applyNumberFormat="1" applyFont="1" applyBorder="1" applyAlignment="1">
      <alignment horizontal="center" vertical="center" wrapText="1" readingOrder="1"/>
    </xf>
    <xf numFmtId="1" fontId="19" fillId="2" borderId="4" xfId="1" applyNumberFormat="1" applyFont="1" applyFill="1" applyBorder="1" applyAlignment="1">
      <alignment horizontal="center"/>
    </xf>
    <xf numFmtId="165" fontId="19" fillId="2" borderId="4" xfId="2" applyNumberFormat="1" applyFont="1" applyFill="1" applyBorder="1" applyAlignment="1">
      <alignment horizontal="center"/>
    </xf>
    <xf numFmtId="170" fontId="20" fillId="2" borderId="4" xfId="1" applyNumberFormat="1" applyFont="1" applyFill="1" applyBorder="1" applyAlignment="1">
      <alignment horizontal="center"/>
    </xf>
    <xf numFmtId="170" fontId="19" fillId="2" borderId="4" xfId="1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9" fontId="3" fillId="2" borderId="32" xfId="0" applyNumberFormat="1" applyFont="1" applyFill="1" applyBorder="1" applyAlignment="1">
      <alignment horizontal="center" vertical="center"/>
    </xf>
    <xf numFmtId="9" fontId="3" fillId="2" borderId="33" xfId="0" applyNumberFormat="1" applyFont="1" applyFill="1" applyBorder="1" applyAlignment="1">
      <alignment horizontal="center" vertical="center"/>
    </xf>
    <xf numFmtId="9" fontId="3" fillId="2" borderId="34" xfId="0" applyNumberFormat="1" applyFont="1" applyFill="1" applyBorder="1" applyAlignment="1">
      <alignment horizontal="center" vertical="center"/>
    </xf>
    <xf numFmtId="9" fontId="23" fillId="2" borderId="32" xfId="0" applyNumberFormat="1" applyFont="1" applyFill="1" applyBorder="1" applyAlignment="1">
      <alignment horizontal="center" vertical="center" wrapText="1"/>
    </xf>
    <xf numFmtId="9" fontId="23" fillId="2" borderId="33" xfId="0" applyNumberFormat="1" applyFont="1" applyFill="1" applyBorder="1" applyAlignment="1">
      <alignment horizontal="center" vertical="center" wrapText="1"/>
    </xf>
    <xf numFmtId="9" fontId="23" fillId="2" borderId="34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top"/>
    </xf>
    <xf numFmtId="17" fontId="13" fillId="3" borderId="25" xfId="0" applyNumberFormat="1" applyFont="1" applyFill="1" applyBorder="1" applyAlignment="1">
      <alignment horizontal="center" vertical="top" wrapText="1"/>
    </xf>
    <xf numFmtId="0" fontId="13" fillId="3" borderId="28" xfId="0" applyFont="1" applyFill="1" applyBorder="1" applyAlignment="1">
      <alignment horizontal="center" vertical="top" wrapText="1"/>
    </xf>
    <xf numFmtId="0" fontId="13" fillId="3" borderId="24" xfId="0" applyFont="1" applyFill="1" applyBorder="1" applyAlignment="1">
      <alignment horizontal="center" vertical="top" wrapText="1"/>
    </xf>
    <xf numFmtId="0" fontId="6" fillId="2" borderId="25" xfId="0" applyFont="1" applyFill="1" applyBorder="1" applyAlignment="1">
      <alignment horizontal="center" vertical="top"/>
    </xf>
    <xf numFmtId="0" fontId="6" fillId="2" borderId="28" xfId="0" applyFont="1" applyFill="1" applyBorder="1" applyAlignment="1">
      <alignment horizontal="center" vertical="top"/>
    </xf>
    <xf numFmtId="0" fontId="6" fillId="2" borderId="24" xfId="0" applyFont="1" applyFill="1" applyBorder="1" applyAlignment="1">
      <alignment horizontal="center" vertical="top"/>
    </xf>
    <xf numFmtId="0" fontId="16" fillId="0" borderId="36" xfId="0" applyFont="1" applyBorder="1" applyAlignment="1">
      <alignment horizontal="center" wrapText="1" readingOrder="1"/>
    </xf>
    <xf numFmtId="0" fontId="16" fillId="0" borderId="37" xfId="0" applyFont="1" applyBorder="1" applyAlignment="1">
      <alignment horizontal="center" wrapText="1" readingOrder="1"/>
    </xf>
    <xf numFmtId="0" fontId="4" fillId="5" borderId="41" xfId="0" applyFont="1" applyFill="1" applyBorder="1" applyAlignment="1">
      <alignment horizontal="center" vertical="top"/>
    </xf>
    <xf numFmtId="0" fontId="4" fillId="5" borderId="42" xfId="0" applyFont="1" applyFill="1" applyBorder="1" applyAlignment="1">
      <alignment horizontal="center" vertical="top"/>
    </xf>
    <xf numFmtId="0" fontId="4" fillId="5" borderId="43" xfId="0" applyFont="1" applyFill="1" applyBorder="1" applyAlignment="1">
      <alignment horizontal="center" vertical="top"/>
    </xf>
    <xf numFmtId="0" fontId="4" fillId="5" borderId="44" xfId="0" applyFont="1" applyFill="1" applyBorder="1" applyAlignment="1">
      <alignment horizontal="center" vertical="top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</cellXfs>
  <cellStyles count="3">
    <cellStyle name="Milliers [0]" xfId="2" builtinId="6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Sheet4!$H$10:$I$13</c:f>
              <c:strCache>
                <c:ptCount val="4"/>
                <c:pt idx="0">
                  <c:v>Mean Time to Repair (MTTR) </c:v>
                </c:pt>
                <c:pt idx="1">
                  <c:v>Mean Time Between Failures (MTBF) </c:v>
                </c:pt>
                <c:pt idx="2">
                  <c:v>Maintenance Plan Attainment (MPA) </c:v>
                </c:pt>
                <c:pt idx="3">
                  <c:v>Preventive Maintenance Compliance</c:v>
                </c:pt>
              </c:strCache>
            </c:strRef>
          </c:cat>
          <c:val>
            <c:numRef>
              <c:f>Sheet4!$J$10:$J$13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F-41B7-9BC8-7EEA01DE140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Sheet4!$H$10:$I$13</c:f>
              <c:strCache>
                <c:ptCount val="4"/>
                <c:pt idx="0">
                  <c:v>Mean Time to Repair (MTTR) </c:v>
                </c:pt>
                <c:pt idx="1">
                  <c:v>Mean Time Between Failures (MTBF) </c:v>
                </c:pt>
                <c:pt idx="2">
                  <c:v>Maintenance Plan Attainment (MPA) </c:v>
                </c:pt>
                <c:pt idx="3">
                  <c:v>Preventive Maintenance Compliance</c:v>
                </c:pt>
              </c:strCache>
            </c:strRef>
          </c:cat>
          <c:val>
            <c:numRef>
              <c:f>Sheet4!$K$10:$K$13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F-41B7-9BC8-7EEA01DE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222223"/>
        <c:axId val="1595222639"/>
      </c:barChart>
      <c:catAx>
        <c:axId val="159522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595222639"/>
        <c:crosses val="autoZero"/>
        <c:auto val="1"/>
        <c:lblAlgn val="ctr"/>
        <c:lblOffset val="100"/>
        <c:noMultiLvlLbl val="0"/>
      </c:catAx>
      <c:valAx>
        <c:axId val="15952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59522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Sheet3!$D$3</c:f>
              <c:strCache>
                <c:ptCount val="1"/>
                <c:pt idx="0">
                  <c:v>Uptime Hour/WK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Sheet3!$B$4:$B$12</c:f>
              <c:strCache>
                <c:ptCount val="9"/>
                <c:pt idx="0">
                  <c:v>Air Compressor</c:v>
                </c:pt>
                <c:pt idx="1">
                  <c:v>Chiller-Sabroe</c:v>
                </c:pt>
                <c:pt idx="2">
                  <c:v>Boiler</c:v>
                </c:pt>
                <c:pt idx="3">
                  <c:v>WTP (UF+RO+Madiba UF)</c:v>
                </c:pt>
                <c:pt idx="4">
                  <c:v>Diesel Generator (Power)</c:v>
                </c:pt>
                <c:pt idx="5">
                  <c:v>CO2 Plant (CO2 comp 1 &amp; 2) + CO2 Cooling compressor</c:v>
                </c:pt>
                <c:pt idx="6">
                  <c:v>Generator Radiator</c:v>
                </c:pt>
                <c:pt idx="7">
                  <c:v>Condensers + CO2  Cooling Tower</c:v>
                </c:pt>
                <c:pt idx="8">
                  <c:v>KPI Score Card</c:v>
                </c:pt>
              </c:strCache>
            </c:strRef>
          </c:cat>
          <c:val>
            <c:numRef>
              <c:f>Sheet3!$D$4:$D$12</c:f>
              <c:numCache>
                <c:formatCode>General</c:formatCode>
                <c:ptCount val="9"/>
                <c:pt idx="0">
                  <c:v>0.84</c:v>
                </c:pt>
                <c:pt idx="1">
                  <c:v>168</c:v>
                </c:pt>
                <c:pt idx="2">
                  <c:v>168</c:v>
                </c:pt>
                <c:pt idx="3">
                  <c:v>168</c:v>
                </c:pt>
                <c:pt idx="4">
                  <c:v>168</c:v>
                </c:pt>
                <c:pt idx="5">
                  <c:v>168</c:v>
                </c:pt>
                <c:pt idx="6">
                  <c:v>168</c:v>
                </c:pt>
                <c:pt idx="7">
                  <c:v>168</c:v>
                </c:pt>
                <c:pt idx="8">
                  <c:v>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0-4974-B306-723D87F1DB27}"/>
            </c:ext>
          </c:extLst>
        </c:ser>
        <c:ser>
          <c:idx val="2"/>
          <c:order val="2"/>
          <c:tx>
            <c:strRef>
              <c:f>Sheet3!$E$3</c:f>
              <c:strCache>
                <c:ptCount val="1"/>
                <c:pt idx="0">
                  <c:v>Downtime Hour/Wk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Sheet3!$B$4:$B$12</c:f>
              <c:strCache>
                <c:ptCount val="9"/>
                <c:pt idx="0">
                  <c:v>Air Compressor</c:v>
                </c:pt>
                <c:pt idx="1">
                  <c:v>Chiller-Sabroe</c:v>
                </c:pt>
                <c:pt idx="2">
                  <c:v>Boiler</c:v>
                </c:pt>
                <c:pt idx="3">
                  <c:v>WTP (UF+RO+Madiba UF)</c:v>
                </c:pt>
                <c:pt idx="4">
                  <c:v>Diesel Generator (Power)</c:v>
                </c:pt>
                <c:pt idx="5">
                  <c:v>CO2 Plant (CO2 comp 1 &amp; 2) + CO2 Cooling compressor</c:v>
                </c:pt>
                <c:pt idx="6">
                  <c:v>Generator Radiator</c:v>
                </c:pt>
                <c:pt idx="7">
                  <c:v>Condensers + CO2  Cooling Tower</c:v>
                </c:pt>
                <c:pt idx="8">
                  <c:v>KPI Score Card</c:v>
                </c:pt>
              </c:strCache>
            </c:strRef>
          </c:cat>
          <c:val>
            <c:numRef>
              <c:f>Sheet3!$E$4:$E$12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0.84</c:v>
                </c:pt>
                <c:pt idx="6">
                  <c:v>0</c:v>
                </c:pt>
                <c:pt idx="7">
                  <c:v>168</c:v>
                </c:pt>
                <c:pt idx="8">
                  <c:v>168.84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0-4974-B306-723D87F1D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981247"/>
        <c:axId val="11449654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Sheet3!$C$3</c15:sqref>
                        </c15:formulaRef>
                      </c:ext>
                    </c:extLst>
                    <c:strCache>
                      <c:ptCount val="1"/>
                      <c:pt idx="0">
                        <c:v>No Installed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Sheet3!$B$4:$B$12</c15:sqref>
                        </c15:formulaRef>
                      </c:ext>
                    </c:extLst>
                    <c:strCache>
                      <c:ptCount val="9"/>
                      <c:pt idx="0">
                        <c:v>Air Compressor</c:v>
                      </c:pt>
                      <c:pt idx="1">
                        <c:v>Chiller-Sabroe</c:v>
                      </c:pt>
                      <c:pt idx="2">
                        <c:v>Boiler</c:v>
                      </c:pt>
                      <c:pt idx="3">
                        <c:v>WTP (UF+RO+Madiba UF)</c:v>
                      </c:pt>
                      <c:pt idx="4">
                        <c:v>Diesel Generator (Power)</c:v>
                      </c:pt>
                      <c:pt idx="5">
                        <c:v>CO2 Plant (CO2 comp 1 &amp; 2) + CO2 Cooling compressor</c:v>
                      </c:pt>
                      <c:pt idx="6">
                        <c:v>Generator Radiator</c:v>
                      </c:pt>
                      <c:pt idx="7">
                        <c:v>Condensers + CO2  Cooling Tower</c:v>
                      </c:pt>
                      <c:pt idx="8">
                        <c:v>KPI Score Card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Sheet3!$C$4:$C$12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</c:v>
                      </c:pt>
                      <c:pt idx="1">
                        <c:v>5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6</c:v>
                      </c:pt>
                      <c:pt idx="8">
                        <c:v>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270-4974-B306-723D87F1DB2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Sheet3!$F$3</c:f>
              <c:strCache>
                <c:ptCount val="1"/>
                <c:pt idx="0">
                  <c:v>Number of Failure/Wk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Sheet3!$B$4:$B$12</c:f>
              <c:strCache>
                <c:ptCount val="9"/>
                <c:pt idx="0">
                  <c:v>Air Compressor</c:v>
                </c:pt>
                <c:pt idx="1">
                  <c:v>Chiller-Sabroe</c:v>
                </c:pt>
                <c:pt idx="2">
                  <c:v>Boiler</c:v>
                </c:pt>
                <c:pt idx="3">
                  <c:v>WTP (UF+RO+Madiba UF)</c:v>
                </c:pt>
                <c:pt idx="4">
                  <c:v>Diesel Generator (Power)</c:v>
                </c:pt>
                <c:pt idx="5">
                  <c:v>CO2 Plant (CO2 comp 1 &amp; 2) + CO2 Cooling compressor</c:v>
                </c:pt>
                <c:pt idx="6">
                  <c:v>Generator Radiator</c:v>
                </c:pt>
                <c:pt idx="7">
                  <c:v>Condensers + CO2  Cooling Tower</c:v>
                </c:pt>
                <c:pt idx="8">
                  <c:v>KPI Score Card</c:v>
                </c:pt>
              </c:strCache>
            </c:strRef>
          </c:cat>
          <c:val>
            <c:numRef>
              <c:f>Sheet3!$F$4:$F$12</c:f>
              <c:numCache>
                <c:formatCode>General</c:formatCode>
                <c:ptCount val="9"/>
                <c:pt idx="0" formatCode="0.00%">
                  <c:v>0.66659999999999997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70-4974-B306-723D87F1D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981247"/>
        <c:axId val="114496543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Sheet3!$H$3</c15:sqref>
                        </c15:formulaRef>
                      </c:ext>
                    </c:extLst>
                    <c:strCache>
                      <c:ptCount val="1"/>
                      <c:pt idx="0">
                        <c:v>Failure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Sheet3!$B$4:$B$12</c15:sqref>
                        </c15:formulaRef>
                      </c:ext>
                    </c:extLst>
                    <c:strCache>
                      <c:ptCount val="9"/>
                      <c:pt idx="0">
                        <c:v>Air Compressor</c:v>
                      </c:pt>
                      <c:pt idx="1">
                        <c:v>Chiller-Sabroe</c:v>
                      </c:pt>
                      <c:pt idx="2">
                        <c:v>Boiler</c:v>
                      </c:pt>
                      <c:pt idx="3">
                        <c:v>WTP (UF+RO+Madiba UF)</c:v>
                      </c:pt>
                      <c:pt idx="4">
                        <c:v>Diesel Generator (Power)</c:v>
                      </c:pt>
                      <c:pt idx="5">
                        <c:v>CO2 Plant (CO2 comp 1 &amp; 2) + CO2 Cooling compressor</c:v>
                      </c:pt>
                      <c:pt idx="6">
                        <c:v>Generator Radiator</c:v>
                      </c:pt>
                      <c:pt idx="7">
                        <c:v>Condensers + CO2  Cooling Tower</c:v>
                      </c:pt>
                      <c:pt idx="8">
                        <c:v>KPI Score Card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Sheet3!$H$4:$H$12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6.0000000000000001E-3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6.0000000000000001E-3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270-4974-B306-723D87F1DB27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Sheet3!$G$3</c:f>
              <c:strCache>
                <c:ptCount val="1"/>
                <c:pt idx="0">
                  <c:v>Availability 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Sheet3!$B$4:$B$12</c:f>
              <c:strCache>
                <c:ptCount val="9"/>
                <c:pt idx="0">
                  <c:v>Air Compressor</c:v>
                </c:pt>
                <c:pt idx="1">
                  <c:v>Chiller-Sabroe</c:v>
                </c:pt>
                <c:pt idx="2">
                  <c:v>Boiler</c:v>
                </c:pt>
                <c:pt idx="3">
                  <c:v>WTP (UF+RO+Madiba UF)</c:v>
                </c:pt>
                <c:pt idx="4">
                  <c:v>Diesel Generator (Power)</c:v>
                </c:pt>
                <c:pt idx="5">
                  <c:v>CO2 Plant (CO2 comp 1 &amp; 2) + CO2 Cooling compressor</c:v>
                </c:pt>
                <c:pt idx="6">
                  <c:v>Generator Radiator</c:v>
                </c:pt>
                <c:pt idx="7">
                  <c:v>Condensers + CO2  Cooling Tower</c:v>
                </c:pt>
                <c:pt idx="8">
                  <c:v>KPI Score Card</c:v>
                </c:pt>
              </c:strCache>
            </c:strRef>
          </c:cat>
          <c:val>
            <c:numRef>
              <c:f>Sheet3!$G$4:$G$12</c:f>
              <c:numCache>
                <c:formatCode>0.00%</c:formatCode>
                <c:ptCount val="9"/>
                <c:pt idx="0">
                  <c:v>6.0000000000000001E-3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0.66659999999999997</c:v>
                </c:pt>
                <c:pt idx="6">
                  <c:v>1</c:v>
                </c:pt>
                <c:pt idx="7">
                  <c:v>1</c:v>
                </c:pt>
                <c:pt idx="8">
                  <c:v>0.95830000000000004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70-4974-B306-723D87F1D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30687"/>
        <c:axId val="1252941231"/>
      </c:lineChart>
      <c:catAx>
        <c:axId val="114498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144965439"/>
        <c:crosses val="autoZero"/>
        <c:auto val="1"/>
        <c:lblAlgn val="ctr"/>
        <c:lblOffset val="100"/>
        <c:noMultiLvlLbl val="0"/>
      </c:catAx>
      <c:valAx>
        <c:axId val="11449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144981247"/>
        <c:crosses val="autoZero"/>
        <c:crossBetween val="between"/>
      </c:valAx>
      <c:valAx>
        <c:axId val="125294123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257130687"/>
        <c:crosses val="max"/>
        <c:crossBetween val="between"/>
      </c:valAx>
      <c:catAx>
        <c:axId val="1257130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2941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Utility Equipment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Sheet5!$H$5</c:f>
              <c:strCache>
                <c:ptCount val="1"/>
                <c:pt idx="0">
                  <c:v>ACTUAL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M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Sheet5!$F$6:$G$12</c:f>
              <c:multiLvlStrCache>
                <c:ptCount val="7"/>
                <c:lvl>
                  <c:pt idx="0">
                    <c:v>&gt; 90%</c:v>
                  </c:pt>
                  <c:pt idx="1">
                    <c:v>&gt; 90%</c:v>
                  </c:pt>
                  <c:pt idx="2">
                    <c:v>&gt; 90%</c:v>
                  </c:pt>
                  <c:pt idx="3">
                    <c:v>&gt; 90%</c:v>
                  </c:pt>
                  <c:pt idx="4">
                    <c:v>&gt; 90%</c:v>
                  </c:pt>
                  <c:pt idx="5">
                    <c:v>&gt; 90%</c:v>
                  </c:pt>
                  <c:pt idx="6">
                    <c:v>&gt; 90%</c:v>
                  </c:pt>
                </c:lvl>
                <c:lvl>
                  <c:pt idx="0">
                    <c:v>Jan-25</c:v>
                  </c:pt>
                  <c:pt idx="1">
                    <c:v>Feb-25</c:v>
                  </c:pt>
                  <c:pt idx="2">
                    <c:v>Mar-25</c:v>
                  </c:pt>
                  <c:pt idx="3">
                    <c:v>Apr-25</c:v>
                  </c:pt>
                  <c:pt idx="4">
                    <c:v>May-25</c:v>
                  </c:pt>
                  <c:pt idx="5">
                    <c:v>Jun-25</c:v>
                  </c:pt>
                  <c:pt idx="6">
                    <c:v>Jul-25</c:v>
                  </c:pt>
                </c:lvl>
              </c:multiLvlStrCache>
            </c:multiLvlStrRef>
          </c:cat>
          <c:val>
            <c:numRef>
              <c:f>Sheet5!$H$6:$H$12</c:f>
              <c:numCache>
                <c:formatCode>0.00%</c:formatCode>
                <c:ptCount val="7"/>
                <c:pt idx="0">
                  <c:v>0.93610000000000004</c:v>
                </c:pt>
                <c:pt idx="1">
                  <c:v>0.93610000000000004</c:v>
                </c:pt>
                <c:pt idx="2">
                  <c:v>0.95830000000000004</c:v>
                </c:pt>
                <c:pt idx="3">
                  <c:v>0.95830000000000004</c:v>
                </c:pt>
                <c:pt idx="4">
                  <c:v>0.9486</c:v>
                </c:pt>
                <c:pt idx="5">
                  <c:v>0.95829999999999993</c:v>
                </c:pt>
                <c:pt idx="6">
                  <c:v>0.92390000000000005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5-49C4-A3BD-928A9CE925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68558880"/>
        <c:axId val="568558048"/>
      </c:lineChart>
      <c:catAx>
        <c:axId val="56855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68558048"/>
        <c:crosses val="autoZero"/>
        <c:auto val="1"/>
        <c:lblAlgn val="ctr"/>
        <c:lblOffset val="100"/>
        <c:noMultiLvlLbl val="0"/>
      </c:catAx>
      <c:valAx>
        <c:axId val="568558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6855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Utility Equipment Availability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Sheet5!$F$33:$G$34</c:f>
              <c:multiLvlStrCache>
                <c:ptCount val="2"/>
                <c:lvl>
                  <c:pt idx="0">
                    <c:v>&gt; 90%</c:v>
                  </c:pt>
                  <c:pt idx="1">
                    <c:v>&gt; 90%</c:v>
                  </c:pt>
                </c:lvl>
                <c:lvl>
                  <c:pt idx="0">
                    <c:v>W42</c:v>
                  </c:pt>
                  <c:pt idx="1">
                    <c:v>W43</c:v>
                  </c:pt>
                </c:lvl>
              </c:multiLvlStrCache>
            </c:multiLvlStrRef>
          </c:cat>
          <c:val>
            <c:numRef>
              <c:f>Sheet5!$H$33:$H$34</c:f>
              <c:numCache>
                <c:formatCode>0.00%</c:formatCode>
                <c:ptCount val="2"/>
                <c:pt idx="0">
                  <c:v>0.9778</c:v>
                </c:pt>
                <c:pt idx="1">
                  <c:v>0.9778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C-4361-AE0E-188C89A3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574463"/>
        <c:axId val="1792582367"/>
      </c:lineChart>
      <c:catAx>
        <c:axId val="1792574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792582367"/>
        <c:crosses val="autoZero"/>
        <c:auto val="1"/>
        <c:lblAlgn val="ctr"/>
        <c:lblOffset val="100"/>
        <c:noMultiLvlLbl val="0"/>
      </c:catAx>
      <c:valAx>
        <c:axId val="1792582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79257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581025</xdr:colOff>
          <xdr:row>1</xdr:row>
          <xdr:rowOff>180975</xdr:rowOff>
        </xdr:from>
        <xdr:to>
          <xdr:col>1</xdr:col>
          <xdr:colOff>990600</xdr:colOff>
          <xdr:row>4</xdr:row>
          <xdr:rowOff>133350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1019176</xdr:colOff>
      <xdr:row>18</xdr:row>
      <xdr:rowOff>87631</xdr:rowOff>
    </xdr:from>
    <xdr:to>
      <xdr:col>2</xdr:col>
      <xdr:colOff>3533776</xdr:colOff>
      <xdr:row>18</xdr:row>
      <xdr:rowOff>133350</xdr:rowOff>
    </xdr:to>
    <xdr:sp macro="" textlink="">
      <xdr:nvSpPr>
        <xdr:cNvPr id="3" name="Right Arrow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28776" y="3307081"/>
          <a:ext cx="2514600" cy="4571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5</xdr:row>
          <xdr:rowOff>171450</xdr:rowOff>
        </xdr:from>
        <xdr:to>
          <xdr:col>2</xdr:col>
          <xdr:colOff>1028700</xdr:colOff>
          <xdr:row>9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8</xdr:row>
      <xdr:rowOff>128587</xdr:rowOff>
    </xdr:from>
    <xdr:to>
      <xdr:col>13</xdr:col>
      <xdr:colOff>171450</xdr:colOff>
      <xdr:row>13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1019176</xdr:colOff>
      <xdr:row>11</xdr:row>
      <xdr:rowOff>87631</xdr:rowOff>
    </xdr:from>
    <xdr:to>
      <xdr:col>1</xdr:col>
      <xdr:colOff>3533776</xdr:colOff>
      <xdr:row>11</xdr:row>
      <xdr:rowOff>133350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38376" y="6234431"/>
          <a:ext cx="2514600" cy="4571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1</xdr:row>
          <xdr:rowOff>0</xdr:rowOff>
        </xdr:from>
        <xdr:to>
          <xdr:col>1</xdr:col>
          <xdr:colOff>885825</xdr:colOff>
          <xdr:row>2</xdr:row>
          <xdr:rowOff>419100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156481</xdr:colOff>
      <xdr:row>15</xdr:row>
      <xdr:rowOff>144234</xdr:rowOff>
    </xdr:from>
    <xdr:to>
      <xdr:col>7</xdr:col>
      <xdr:colOff>70756</xdr:colOff>
      <xdr:row>27</xdr:row>
      <xdr:rowOff>86403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590551</xdr:colOff>
      <xdr:row>2</xdr:row>
      <xdr:rowOff>0</xdr:rowOff>
    </xdr:from>
    <xdr:to>
      <xdr:col>2</xdr:col>
      <xdr:colOff>590550</xdr:colOff>
      <xdr:row>3</xdr:row>
      <xdr:rowOff>130842</xdr:rowOff>
    </xdr:to>
    <xdr:pic>
      <xdr:nvPicPr>
        <xdr:cNvPr id="2" name="Object 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1" y="390525"/>
          <a:ext cx="609599" cy="3689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590551</xdr:colOff>
      <xdr:row>2</xdr:row>
      <xdr:rowOff>0</xdr:rowOff>
    </xdr:from>
    <xdr:to>
      <xdr:col>2</xdr:col>
      <xdr:colOff>590550</xdr:colOff>
      <xdr:row>3</xdr:row>
      <xdr:rowOff>178467</xdr:rowOff>
    </xdr:to>
    <xdr:pic>
      <xdr:nvPicPr>
        <xdr:cNvPr id="2" name="Object 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1" y="390525"/>
          <a:ext cx="609599" cy="4165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590551</xdr:colOff>
      <xdr:row>2</xdr:row>
      <xdr:rowOff>0</xdr:rowOff>
    </xdr:from>
    <xdr:to>
      <xdr:col>2</xdr:col>
      <xdr:colOff>590550</xdr:colOff>
      <xdr:row>3</xdr:row>
      <xdr:rowOff>178467</xdr:rowOff>
    </xdr:to>
    <xdr:pic>
      <xdr:nvPicPr>
        <xdr:cNvPr id="5" name="Object 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1" y="390525"/>
          <a:ext cx="609599" cy="3689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</xdr:row>
      <xdr:rowOff>61912</xdr:rowOff>
    </xdr:from>
    <xdr:to>
      <xdr:col>16</xdr:col>
      <xdr:colOff>514350</xdr:colOff>
      <xdr:row>14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16</xdr:row>
      <xdr:rowOff>42862</xdr:rowOff>
    </xdr:from>
    <xdr:to>
      <xdr:col>15</xdr:col>
      <xdr:colOff>581025</xdr:colOff>
      <xdr:row>30</xdr:row>
      <xdr:rowOff>42862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D9DF-B7A9-4A9A-A46E-2AC36B44AC53}">
  <sheetPr>
    <pageSetUpPr fitToPage="1"/>
  </sheetPr>
  <dimension ref="B2:BD49"/>
  <sheetViews>
    <sheetView tabSelected="1" topLeftCell="A22" zoomScale="70" zoomScaleNormal="70" workbookViewId="0">
      <selection activeCell="K29" sqref="K29:P49"/>
    </sheetView>
  </sheetViews>
  <sheetFormatPr baseColWidth="10" defaultColWidth="8.85546875" defaultRowHeight="15" x14ac:dyDescent="0.25"/>
  <cols>
    <col min="2" max="2" width="95.85546875" customWidth="1"/>
    <col min="3" max="3" width="11.140625" bestFit="1" customWidth="1"/>
    <col min="5" max="5" width="9.7109375" customWidth="1"/>
    <col min="6" max="6" width="10.85546875" customWidth="1"/>
    <col min="7" max="9" width="9.7109375" customWidth="1"/>
    <col min="10" max="11" width="8.85546875" customWidth="1"/>
    <col min="13" max="16" width="8.85546875" customWidth="1"/>
  </cols>
  <sheetData>
    <row r="2" spans="2:56" ht="15.75" thickBot="1" x14ac:dyDescent="0.3"/>
    <row r="3" spans="2:56" ht="24" thickBot="1" x14ac:dyDescent="0.4">
      <c r="B3" s="1" t="s">
        <v>37</v>
      </c>
      <c r="C3" s="150" t="s">
        <v>40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2"/>
    </row>
    <row r="4" spans="2:56" ht="33.75" customHeight="1" thickBot="1" x14ac:dyDescent="0.35">
      <c r="B4" s="23" t="s">
        <v>38</v>
      </c>
      <c r="C4" s="153" t="s">
        <v>0</v>
      </c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5"/>
    </row>
    <row r="5" spans="2:56" ht="18.75" x14ac:dyDescent="0.3">
      <c r="B5" s="2" t="s">
        <v>39</v>
      </c>
      <c r="C5" s="3" t="s">
        <v>47</v>
      </c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 t="s">
        <v>13</v>
      </c>
      <c r="Q5" s="24"/>
    </row>
    <row r="6" spans="2:56" ht="18.75" x14ac:dyDescent="0.3">
      <c r="B6" s="4" t="s">
        <v>14</v>
      </c>
      <c r="C6" s="5" t="s">
        <v>55</v>
      </c>
      <c r="D6" s="5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6">
        <v>0</v>
      </c>
      <c r="N6" s="6">
        <v>0</v>
      </c>
      <c r="O6" s="6"/>
      <c r="P6" s="83"/>
    </row>
    <row r="7" spans="2:56" ht="18.75" x14ac:dyDescent="0.3">
      <c r="B7" s="4" t="s">
        <v>15</v>
      </c>
      <c r="C7" s="5" t="s">
        <v>55</v>
      </c>
      <c r="D7" s="5">
        <v>0</v>
      </c>
      <c r="E7" s="99">
        <v>0</v>
      </c>
      <c r="F7" s="99">
        <v>0</v>
      </c>
      <c r="G7" s="99">
        <v>0</v>
      </c>
      <c r="H7" s="99">
        <v>0</v>
      </c>
      <c r="I7" s="99">
        <v>0</v>
      </c>
      <c r="J7" s="99">
        <v>0</v>
      </c>
      <c r="K7" s="99">
        <v>0</v>
      </c>
      <c r="L7" s="99">
        <v>0</v>
      </c>
      <c r="M7" s="6">
        <v>0</v>
      </c>
      <c r="N7" s="6">
        <v>0</v>
      </c>
      <c r="O7" s="6"/>
      <c r="P7" s="83"/>
    </row>
    <row r="8" spans="2:56" ht="18.75" x14ac:dyDescent="0.3">
      <c r="B8" s="10" t="s">
        <v>16</v>
      </c>
      <c r="C8" s="7" t="s">
        <v>49</v>
      </c>
      <c r="D8" s="7">
        <v>1</v>
      </c>
      <c r="E8" s="100">
        <v>100</v>
      </c>
      <c r="F8" s="100">
        <v>100</v>
      </c>
      <c r="G8" s="100">
        <v>100</v>
      </c>
      <c r="H8" s="100">
        <v>100</v>
      </c>
      <c r="I8" s="100">
        <v>100</v>
      </c>
      <c r="J8" s="100">
        <v>100</v>
      </c>
      <c r="K8" s="100">
        <v>100</v>
      </c>
      <c r="L8" s="100">
        <v>100</v>
      </c>
      <c r="M8" s="65">
        <v>99.5</v>
      </c>
      <c r="N8" s="65">
        <v>99.5</v>
      </c>
      <c r="O8" s="65"/>
      <c r="P8" s="84"/>
    </row>
    <row r="9" spans="2:56" ht="18.75" x14ac:dyDescent="0.3">
      <c r="B9" s="4" t="s">
        <v>43</v>
      </c>
      <c r="C9" s="7" t="s">
        <v>49</v>
      </c>
      <c r="D9" s="7" t="s">
        <v>18</v>
      </c>
      <c r="E9" s="101">
        <v>86</v>
      </c>
      <c r="F9" s="102">
        <v>76</v>
      </c>
      <c r="G9" s="101">
        <v>91</v>
      </c>
      <c r="H9" s="101">
        <v>159</v>
      </c>
      <c r="I9" s="101">
        <v>131</v>
      </c>
      <c r="J9" s="101">
        <v>190</v>
      </c>
      <c r="K9" s="101">
        <v>147</v>
      </c>
      <c r="L9" s="101">
        <v>154</v>
      </c>
      <c r="M9" s="48">
        <v>143</v>
      </c>
      <c r="N9" s="48">
        <v>125</v>
      </c>
      <c r="O9" s="48"/>
      <c r="P9" s="85"/>
    </row>
    <row r="10" spans="2:56" ht="18.75" x14ac:dyDescent="0.3">
      <c r="B10" s="8" t="s">
        <v>19</v>
      </c>
      <c r="C10" s="9" t="s">
        <v>49</v>
      </c>
      <c r="D10" s="9" t="s">
        <v>21</v>
      </c>
      <c r="E10" s="103">
        <v>93.61</v>
      </c>
      <c r="F10" s="103">
        <v>93.61</v>
      </c>
      <c r="G10" s="103">
        <v>95.83</v>
      </c>
      <c r="H10" s="103">
        <v>95.83</v>
      </c>
      <c r="I10" s="103">
        <v>94.96</v>
      </c>
      <c r="J10" s="103">
        <v>95.83</v>
      </c>
      <c r="K10" s="103">
        <v>97.5</v>
      </c>
      <c r="L10" s="103">
        <v>93.33</v>
      </c>
      <c r="M10" s="68">
        <v>96.14</v>
      </c>
      <c r="N10" s="68">
        <v>97.41</v>
      </c>
      <c r="O10" s="68"/>
      <c r="P10" s="86"/>
    </row>
    <row r="11" spans="2:56" s="11" customFormat="1" ht="18.75" x14ac:dyDescent="0.3">
      <c r="B11" s="25" t="s">
        <v>20</v>
      </c>
      <c r="C11" s="11" t="s">
        <v>49</v>
      </c>
      <c r="D11" s="11" t="s">
        <v>46</v>
      </c>
      <c r="E11" s="100">
        <v>100</v>
      </c>
      <c r="F11" s="100">
        <v>100</v>
      </c>
      <c r="G11" s="100">
        <v>100</v>
      </c>
      <c r="H11" s="100">
        <v>100</v>
      </c>
      <c r="I11" s="100">
        <v>100</v>
      </c>
      <c r="J11" s="100">
        <v>100</v>
      </c>
      <c r="K11" s="100">
        <v>100</v>
      </c>
      <c r="L11" s="100">
        <v>100</v>
      </c>
      <c r="M11" s="65">
        <v>100</v>
      </c>
      <c r="N11" s="65">
        <v>100</v>
      </c>
      <c r="O11" s="65"/>
      <c r="P11" s="84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6"/>
    </row>
    <row r="12" spans="2:56" ht="18.75" x14ac:dyDescent="0.3">
      <c r="B12" s="8" t="s">
        <v>53</v>
      </c>
      <c r="C12" s="11" t="s">
        <v>100</v>
      </c>
      <c r="D12" s="11" t="s">
        <v>129</v>
      </c>
      <c r="E12" s="103">
        <v>0.24</v>
      </c>
      <c r="F12" s="103">
        <v>0.24</v>
      </c>
      <c r="G12" s="103">
        <v>0.24</v>
      </c>
      <c r="H12" s="103">
        <v>0.24</v>
      </c>
      <c r="I12" s="103">
        <v>0.24</v>
      </c>
      <c r="J12" s="103">
        <v>0.24</v>
      </c>
      <c r="K12" s="103">
        <v>0.25</v>
      </c>
      <c r="L12" s="103">
        <v>0.18</v>
      </c>
      <c r="M12" s="68">
        <v>0.24</v>
      </c>
      <c r="N12" s="68">
        <v>0.24</v>
      </c>
      <c r="O12" s="68"/>
      <c r="P12" s="86"/>
    </row>
    <row r="13" spans="2:56" ht="18.75" x14ac:dyDescent="0.3">
      <c r="B13" s="10" t="s">
        <v>54</v>
      </c>
      <c r="C13" s="11" t="s">
        <v>50</v>
      </c>
      <c r="D13" s="11" t="s">
        <v>22</v>
      </c>
      <c r="E13" s="120">
        <v>52.62</v>
      </c>
      <c r="F13" s="120">
        <v>33.67</v>
      </c>
      <c r="G13" s="120">
        <v>39.6</v>
      </c>
      <c r="H13" s="120">
        <v>45.3</v>
      </c>
      <c r="I13" s="103">
        <v>19.97</v>
      </c>
      <c r="J13" s="103">
        <v>20.25</v>
      </c>
      <c r="K13" s="103">
        <v>18.53</v>
      </c>
      <c r="L13" s="103">
        <v>19.32</v>
      </c>
      <c r="M13" s="68">
        <v>19.45</v>
      </c>
      <c r="N13" s="68">
        <v>18.829999999999998</v>
      </c>
      <c r="O13" s="68"/>
      <c r="P13" s="86"/>
    </row>
    <row r="14" spans="2:56" ht="18.75" x14ac:dyDescent="0.3">
      <c r="B14" s="10" t="s">
        <v>23</v>
      </c>
      <c r="C14" s="9" t="s">
        <v>49</v>
      </c>
      <c r="D14" s="9" t="s">
        <v>21</v>
      </c>
      <c r="E14" s="103">
        <v>91.92</v>
      </c>
      <c r="F14" s="103">
        <v>92.17</v>
      </c>
      <c r="G14" s="103">
        <v>96.65</v>
      </c>
      <c r="H14" s="103">
        <v>96.61</v>
      </c>
      <c r="I14" s="103">
        <v>97.18</v>
      </c>
      <c r="J14" s="103">
        <v>98.69</v>
      </c>
      <c r="K14" s="103">
        <v>97.21</v>
      </c>
      <c r="L14" s="103">
        <v>96.26</v>
      </c>
      <c r="M14" s="68">
        <v>94.69</v>
      </c>
      <c r="N14" s="68">
        <v>96</v>
      </c>
      <c r="O14" s="68"/>
      <c r="P14" s="86"/>
    </row>
    <row r="15" spans="2:56" ht="18.75" x14ac:dyDescent="0.3">
      <c r="B15" s="10" t="s">
        <v>24</v>
      </c>
      <c r="C15" s="11" t="s">
        <v>49</v>
      </c>
      <c r="D15" s="11" t="s">
        <v>25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2">
        <v>0.25</v>
      </c>
      <c r="N15" s="12">
        <v>0</v>
      </c>
      <c r="O15" s="12"/>
      <c r="P15" s="87"/>
    </row>
    <row r="16" spans="2:56" ht="18.75" x14ac:dyDescent="0.3">
      <c r="B16" s="8" t="s">
        <v>26</v>
      </c>
      <c r="C16" s="11" t="s">
        <v>49</v>
      </c>
      <c r="D16" s="11" t="s">
        <v>25</v>
      </c>
      <c r="E16" s="105">
        <v>5</v>
      </c>
      <c r="F16" s="105">
        <v>3.6</v>
      </c>
      <c r="G16" s="104">
        <v>2</v>
      </c>
      <c r="H16" s="104">
        <v>1.5</v>
      </c>
      <c r="I16" s="104">
        <v>0.25</v>
      </c>
      <c r="J16" s="104">
        <v>0</v>
      </c>
      <c r="K16" s="104">
        <v>0</v>
      </c>
      <c r="L16" s="105">
        <v>2</v>
      </c>
      <c r="M16" s="12">
        <v>0.75</v>
      </c>
      <c r="N16" s="12">
        <v>0</v>
      </c>
      <c r="O16" s="12"/>
      <c r="P16" s="87"/>
    </row>
    <row r="17" spans="2:16" ht="18.75" x14ac:dyDescent="0.3">
      <c r="B17" s="10" t="s">
        <v>27</v>
      </c>
      <c r="C17" s="13" t="s">
        <v>49</v>
      </c>
      <c r="D17" s="13" t="s">
        <v>28</v>
      </c>
      <c r="E17" s="106">
        <v>64</v>
      </c>
      <c r="F17" s="106">
        <v>67</v>
      </c>
      <c r="G17" s="107">
        <v>68.5</v>
      </c>
      <c r="H17" s="106">
        <v>70</v>
      </c>
      <c r="I17" s="106">
        <v>77</v>
      </c>
      <c r="J17" s="106">
        <v>76</v>
      </c>
      <c r="K17" s="106">
        <v>76</v>
      </c>
      <c r="L17" s="107">
        <v>78.5</v>
      </c>
      <c r="M17" s="66">
        <v>84</v>
      </c>
      <c r="N17" s="66">
        <v>85</v>
      </c>
      <c r="O17" s="66"/>
      <c r="P17" s="88"/>
    </row>
    <row r="18" spans="2:16" ht="18.75" x14ac:dyDescent="0.3">
      <c r="B18" s="10" t="s">
        <v>29</v>
      </c>
      <c r="C18" s="9" t="s">
        <v>49</v>
      </c>
      <c r="D18" s="9" t="s">
        <v>30</v>
      </c>
      <c r="E18" s="108">
        <v>100</v>
      </c>
      <c r="F18" s="108">
        <v>100</v>
      </c>
      <c r="G18" s="108">
        <v>100</v>
      </c>
      <c r="H18" s="108">
        <v>100</v>
      </c>
      <c r="I18" s="108">
        <v>100</v>
      </c>
      <c r="J18" s="108">
        <v>100</v>
      </c>
      <c r="K18" s="108">
        <v>100</v>
      </c>
      <c r="L18" s="108">
        <v>100</v>
      </c>
      <c r="M18" s="67">
        <v>100</v>
      </c>
      <c r="N18" s="67">
        <v>100</v>
      </c>
      <c r="O18" s="67"/>
      <c r="P18" s="89"/>
    </row>
    <row r="19" spans="2:16" ht="18.75" x14ac:dyDescent="0.3">
      <c r="B19" s="10" t="s">
        <v>31</v>
      </c>
      <c r="C19" s="9" t="s">
        <v>49</v>
      </c>
      <c r="D19" s="9" t="s">
        <v>21</v>
      </c>
      <c r="E19" s="106">
        <v>100</v>
      </c>
      <c r="F19" s="106">
        <v>100</v>
      </c>
      <c r="G19" s="106">
        <v>100</v>
      </c>
      <c r="H19" s="106">
        <v>100</v>
      </c>
      <c r="I19" s="106">
        <v>100</v>
      </c>
      <c r="J19" s="106">
        <v>100</v>
      </c>
      <c r="K19" s="106">
        <v>100</v>
      </c>
      <c r="L19" s="106">
        <v>100</v>
      </c>
      <c r="M19" s="66">
        <v>100</v>
      </c>
      <c r="N19" s="66">
        <v>100</v>
      </c>
      <c r="O19" s="66"/>
      <c r="P19" s="88"/>
    </row>
    <row r="20" spans="2:16" ht="18.75" x14ac:dyDescent="0.3">
      <c r="B20" s="10" t="s">
        <v>57</v>
      </c>
      <c r="C20" s="9"/>
      <c r="D20" s="9"/>
      <c r="E20" s="109">
        <v>2</v>
      </c>
      <c r="F20" s="119">
        <v>0</v>
      </c>
      <c r="G20" s="119">
        <v>0</v>
      </c>
      <c r="H20" s="119">
        <v>0</v>
      </c>
      <c r="I20" s="119">
        <v>0</v>
      </c>
      <c r="J20" s="109">
        <v>2</v>
      </c>
      <c r="K20" s="110">
        <v>5</v>
      </c>
      <c r="L20" s="109">
        <v>3</v>
      </c>
      <c r="M20" s="82">
        <v>1</v>
      </c>
      <c r="N20" s="82">
        <v>0</v>
      </c>
      <c r="O20" s="82"/>
      <c r="P20" s="90"/>
    </row>
    <row r="21" spans="2:16" ht="18.75" x14ac:dyDescent="0.3">
      <c r="B21" s="10" t="s">
        <v>44</v>
      </c>
      <c r="C21" s="9" t="s">
        <v>56</v>
      </c>
      <c r="D21" s="9" t="s">
        <v>97</v>
      </c>
      <c r="E21" s="111">
        <v>24</v>
      </c>
      <c r="F21" s="111">
        <v>24</v>
      </c>
      <c r="G21" s="111">
        <v>11</v>
      </c>
      <c r="H21" s="113">
        <v>23</v>
      </c>
      <c r="I21" s="113">
        <v>23</v>
      </c>
      <c r="J21" s="113">
        <v>22</v>
      </c>
      <c r="K21" s="113">
        <v>22</v>
      </c>
      <c r="L21" s="113">
        <v>20</v>
      </c>
      <c r="M21" s="69">
        <v>22.25</v>
      </c>
      <c r="N21" s="130">
        <v>21.5</v>
      </c>
      <c r="O21" s="69"/>
      <c r="P21" s="91"/>
    </row>
    <row r="22" spans="2:16" ht="18.75" x14ac:dyDescent="0.3">
      <c r="B22" s="10" t="s">
        <v>45</v>
      </c>
      <c r="C22" s="9" t="s">
        <v>56</v>
      </c>
      <c r="D22" s="9" t="s">
        <v>96</v>
      </c>
      <c r="E22" s="111">
        <v>0</v>
      </c>
      <c r="F22" s="111">
        <v>0</v>
      </c>
      <c r="G22" s="112">
        <v>18</v>
      </c>
      <c r="H22" s="112">
        <v>0.5</v>
      </c>
      <c r="I22" s="112">
        <v>0.5</v>
      </c>
      <c r="J22" s="112">
        <v>3</v>
      </c>
      <c r="K22" s="112">
        <v>3</v>
      </c>
      <c r="L22" s="112">
        <v>6</v>
      </c>
      <c r="M22" s="128">
        <v>1</v>
      </c>
      <c r="N22" s="131">
        <v>2.5</v>
      </c>
      <c r="O22" s="69"/>
      <c r="P22" s="91"/>
    </row>
    <row r="23" spans="2:16" ht="18.75" x14ac:dyDescent="0.3">
      <c r="B23" s="10" t="s">
        <v>32</v>
      </c>
      <c r="C23" s="9" t="s">
        <v>52</v>
      </c>
      <c r="D23" s="60">
        <v>4.7E-2</v>
      </c>
      <c r="E23" s="118">
        <v>5.3</v>
      </c>
      <c r="F23" s="118">
        <v>5.5</v>
      </c>
      <c r="G23" s="118">
        <v>5.6</v>
      </c>
      <c r="H23" s="114">
        <v>4.7</v>
      </c>
      <c r="I23" s="118">
        <v>5.56</v>
      </c>
      <c r="J23" s="118">
        <v>4.83</v>
      </c>
      <c r="K23" s="118">
        <v>5.82</v>
      </c>
      <c r="L23" s="118">
        <v>5.79</v>
      </c>
      <c r="M23" s="129">
        <v>5.59</v>
      </c>
      <c r="N23" s="129">
        <v>6.29</v>
      </c>
      <c r="O23" s="63"/>
      <c r="P23" s="92"/>
    </row>
    <row r="24" spans="2:16" ht="18.75" x14ac:dyDescent="0.3">
      <c r="B24" s="10" t="s">
        <v>33</v>
      </c>
      <c r="C24" s="9" t="s">
        <v>51</v>
      </c>
      <c r="D24" s="61">
        <v>8.3000000000000004E-2</v>
      </c>
      <c r="E24" s="118">
        <v>8.2100000000000009</v>
      </c>
      <c r="F24" s="118">
        <v>8.7799999999999994</v>
      </c>
      <c r="G24" s="118">
        <v>8.74</v>
      </c>
      <c r="H24" s="118">
        <v>8.67</v>
      </c>
      <c r="I24" s="118">
        <v>7.82</v>
      </c>
      <c r="J24" s="118">
        <v>7.5</v>
      </c>
      <c r="K24" s="118">
        <v>8.93</v>
      </c>
      <c r="L24" s="118">
        <v>8.61</v>
      </c>
      <c r="M24" s="129">
        <v>7.9</v>
      </c>
      <c r="N24" s="129">
        <v>8.58</v>
      </c>
      <c r="O24" s="63"/>
      <c r="P24" s="92"/>
    </row>
    <row r="25" spans="2:16" ht="18.75" x14ac:dyDescent="0.3">
      <c r="B25" s="10" t="s">
        <v>34</v>
      </c>
      <c r="C25" s="21" t="s">
        <v>55</v>
      </c>
      <c r="D25" s="21"/>
      <c r="E25" s="115">
        <v>25</v>
      </c>
      <c r="F25" s="115">
        <v>31</v>
      </c>
      <c r="G25" s="116">
        <v>26</v>
      </c>
      <c r="H25" s="115">
        <v>19</v>
      </c>
      <c r="I25" s="115">
        <v>23</v>
      </c>
      <c r="J25" s="115">
        <v>12</v>
      </c>
      <c r="K25" s="115">
        <v>18</v>
      </c>
      <c r="L25" s="115">
        <v>9</v>
      </c>
      <c r="M25" s="64">
        <v>11</v>
      </c>
      <c r="N25" s="64">
        <v>7</v>
      </c>
      <c r="O25" s="64"/>
      <c r="P25" s="93"/>
    </row>
    <row r="26" spans="2:16" ht="19.5" thickBot="1" x14ac:dyDescent="0.35">
      <c r="B26" s="14" t="s">
        <v>58</v>
      </c>
      <c r="C26" s="22" t="s">
        <v>55</v>
      </c>
      <c r="D26" s="22"/>
      <c r="E26" s="117">
        <v>0</v>
      </c>
      <c r="F26" s="117">
        <v>1</v>
      </c>
      <c r="G26" s="117">
        <v>1</v>
      </c>
      <c r="H26" s="117">
        <v>0</v>
      </c>
      <c r="I26" s="117">
        <v>2</v>
      </c>
      <c r="J26" s="117">
        <v>0</v>
      </c>
      <c r="K26" s="117">
        <v>0</v>
      </c>
      <c r="L26" s="117">
        <v>0</v>
      </c>
      <c r="M26" s="62">
        <v>1</v>
      </c>
      <c r="N26" s="62">
        <v>0</v>
      </c>
      <c r="O26" s="62"/>
      <c r="P26" s="94"/>
    </row>
    <row r="27" spans="2:16" ht="19.5" thickBot="1" x14ac:dyDescent="0.35">
      <c r="B27" s="15" t="s">
        <v>135</v>
      </c>
      <c r="C27" s="147" t="s">
        <v>41</v>
      </c>
      <c r="D27" s="148"/>
      <c r="E27" s="148"/>
      <c r="F27" s="148"/>
      <c r="G27" s="148"/>
      <c r="H27" s="148"/>
      <c r="I27" s="148"/>
      <c r="J27" s="149"/>
      <c r="K27" s="132" t="s">
        <v>48</v>
      </c>
      <c r="L27" s="133"/>
      <c r="M27" s="133"/>
      <c r="N27" s="133"/>
      <c r="O27" s="133"/>
      <c r="P27" s="134"/>
    </row>
    <row r="28" spans="2:16" ht="19.5" thickBot="1" x14ac:dyDescent="0.35">
      <c r="B28" s="20" t="s">
        <v>42</v>
      </c>
      <c r="C28" s="17" t="s">
        <v>47</v>
      </c>
      <c r="D28" s="17" t="s">
        <v>1</v>
      </c>
      <c r="E28" s="18" t="s">
        <v>131</v>
      </c>
      <c r="F28" s="18" t="s">
        <v>136</v>
      </c>
      <c r="G28" s="18" t="s">
        <v>137</v>
      </c>
      <c r="H28" s="18" t="s">
        <v>138</v>
      </c>
      <c r="I28" s="18" t="s">
        <v>139</v>
      </c>
      <c r="J28" s="98" t="s">
        <v>35</v>
      </c>
      <c r="K28" s="135"/>
      <c r="L28" s="136"/>
      <c r="M28" s="136"/>
      <c r="N28" s="136"/>
      <c r="O28" s="136"/>
      <c r="P28" s="137"/>
    </row>
    <row r="29" spans="2:16" x14ac:dyDescent="0.25">
      <c r="B29" s="19" t="s">
        <v>14</v>
      </c>
      <c r="C29" s="16" t="s">
        <v>55</v>
      </c>
      <c r="D29" s="16">
        <v>0</v>
      </c>
      <c r="E29" s="96">
        <v>0</v>
      </c>
      <c r="F29" s="96">
        <v>0</v>
      </c>
      <c r="G29" s="96"/>
      <c r="H29" s="96"/>
      <c r="I29" s="96"/>
      <c r="J29" s="97"/>
      <c r="K29" s="138" t="s">
        <v>142</v>
      </c>
      <c r="L29" s="139"/>
      <c r="M29" s="139"/>
      <c r="N29" s="139"/>
      <c r="O29" s="139"/>
      <c r="P29" s="140"/>
    </row>
    <row r="30" spans="2:16" x14ac:dyDescent="0.25">
      <c r="B30" s="4" t="s">
        <v>15</v>
      </c>
      <c r="C30" s="5" t="s">
        <v>55</v>
      </c>
      <c r="D30" s="5">
        <v>0</v>
      </c>
      <c r="E30" s="40">
        <v>0</v>
      </c>
      <c r="F30" s="40">
        <v>0</v>
      </c>
      <c r="G30" s="40"/>
      <c r="H30" s="40"/>
      <c r="I30" s="40"/>
      <c r="J30" s="28"/>
      <c r="K30" s="141"/>
      <c r="L30" s="142"/>
      <c r="M30" s="142"/>
      <c r="N30" s="142"/>
      <c r="O30" s="142"/>
      <c r="P30" s="143"/>
    </row>
    <row r="31" spans="2:16" x14ac:dyDescent="0.25">
      <c r="B31" s="4" t="s">
        <v>16</v>
      </c>
      <c r="C31" s="7" t="s">
        <v>49</v>
      </c>
      <c r="D31" s="7">
        <v>1</v>
      </c>
      <c r="E31" s="122">
        <v>100</v>
      </c>
      <c r="F31" s="122">
        <v>100</v>
      </c>
      <c r="G31" s="40"/>
      <c r="H31" s="40"/>
      <c r="I31" s="40"/>
      <c r="J31" s="28"/>
      <c r="K31" s="141"/>
      <c r="L31" s="142"/>
      <c r="M31" s="142"/>
      <c r="N31" s="142"/>
      <c r="O31" s="142"/>
      <c r="P31" s="143"/>
    </row>
    <row r="32" spans="2:16" x14ac:dyDescent="0.25">
      <c r="B32" s="4" t="s">
        <v>17</v>
      </c>
      <c r="C32" s="7" t="s">
        <v>49</v>
      </c>
      <c r="D32" s="7" t="s">
        <v>18</v>
      </c>
      <c r="E32" s="40">
        <v>0</v>
      </c>
      <c r="F32" s="40">
        <v>18</v>
      </c>
      <c r="G32" s="40"/>
      <c r="H32" s="40"/>
      <c r="I32" s="40"/>
      <c r="J32" s="28"/>
      <c r="K32" s="141"/>
      <c r="L32" s="142"/>
      <c r="M32" s="142"/>
      <c r="N32" s="142"/>
      <c r="O32" s="142"/>
      <c r="P32" s="143"/>
    </row>
    <row r="33" spans="2:16" x14ac:dyDescent="0.25">
      <c r="B33" s="8" t="s">
        <v>19</v>
      </c>
      <c r="C33" s="9" t="s">
        <v>49</v>
      </c>
      <c r="D33" s="9" t="s">
        <v>21</v>
      </c>
      <c r="E33" s="81">
        <v>97.78</v>
      </c>
      <c r="F33" s="81">
        <v>97.78</v>
      </c>
      <c r="G33" s="81"/>
      <c r="H33" s="81"/>
      <c r="I33" s="40"/>
      <c r="J33" s="28"/>
      <c r="K33" s="141"/>
      <c r="L33" s="142"/>
      <c r="M33" s="142"/>
      <c r="N33" s="142"/>
      <c r="O33" s="142"/>
      <c r="P33" s="143"/>
    </row>
    <row r="34" spans="2:16" x14ac:dyDescent="0.25">
      <c r="B34" s="10" t="s">
        <v>20</v>
      </c>
      <c r="C34" s="11" t="s">
        <v>49</v>
      </c>
      <c r="D34" s="11" t="s">
        <v>21</v>
      </c>
      <c r="E34" s="40">
        <v>100</v>
      </c>
      <c r="F34" s="40">
        <v>100</v>
      </c>
      <c r="G34" s="40"/>
      <c r="H34" s="40"/>
      <c r="I34" s="40"/>
      <c r="J34" s="28"/>
      <c r="K34" s="141"/>
      <c r="L34" s="142"/>
      <c r="M34" s="142"/>
      <c r="N34" s="142"/>
      <c r="O34" s="142"/>
      <c r="P34" s="143"/>
    </row>
    <row r="35" spans="2:16" x14ac:dyDescent="0.25">
      <c r="B35" s="8" t="s">
        <v>53</v>
      </c>
      <c r="C35" s="11" t="s">
        <v>100</v>
      </c>
      <c r="D35" s="11" t="s">
        <v>101</v>
      </c>
      <c r="E35" s="80">
        <v>0.28999999999999998</v>
      </c>
      <c r="F35" s="80">
        <v>0.31</v>
      </c>
      <c r="G35" s="40"/>
      <c r="H35" s="80"/>
      <c r="I35" s="46"/>
      <c r="J35" s="28"/>
      <c r="K35" s="141"/>
      <c r="L35" s="142"/>
      <c r="M35" s="142"/>
      <c r="N35" s="142"/>
      <c r="O35" s="142"/>
      <c r="P35" s="143"/>
    </row>
    <row r="36" spans="2:16" x14ac:dyDescent="0.25">
      <c r="B36" s="10" t="s">
        <v>54</v>
      </c>
      <c r="C36" s="11" t="s">
        <v>99</v>
      </c>
      <c r="D36" s="11" t="s">
        <v>22</v>
      </c>
      <c r="E36" s="40">
        <v>14.06</v>
      </c>
      <c r="F36" s="40">
        <v>25.18</v>
      </c>
      <c r="G36" s="40"/>
      <c r="H36" s="40"/>
      <c r="I36" s="46"/>
      <c r="J36" s="28"/>
      <c r="K36" s="141"/>
      <c r="L36" s="142"/>
      <c r="M36" s="142"/>
      <c r="N36" s="142"/>
      <c r="O36" s="142"/>
      <c r="P36" s="143"/>
    </row>
    <row r="37" spans="2:16" x14ac:dyDescent="0.25">
      <c r="B37" s="10" t="s">
        <v>130</v>
      </c>
      <c r="C37" s="9" t="s">
        <v>49</v>
      </c>
      <c r="D37" s="9" t="s">
        <v>21</v>
      </c>
      <c r="E37" s="80">
        <v>79.430000000000007</v>
      </c>
      <c r="F37" s="122"/>
      <c r="G37" s="81">
        <v>95.17</v>
      </c>
      <c r="H37" s="40"/>
      <c r="I37" s="46"/>
      <c r="J37" s="28"/>
      <c r="K37" s="141"/>
      <c r="L37" s="142"/>
      <c r="M37" s="142"/>
      <c r="N37" s="142"/>
      <c r="O37" s="142"/>
      <c r="P37" s="143"/>
    </row>
    <row r="38" spans="2:16" x14ac:dyDescent="0.25">
      <c r="B38" s="10" t="s">
        <v>24</v>
      </c>
      <c r="C38" s="11" t="s">
        <v>49</v>
      </c>
      <c r="D38" s="11" t="s">
        <v>25</v>
      </c>
      <c r="E38" s="40">
        <v>0</v>
      </c>
      <c r="F38" s="40">
        <v>0</v>
      </c>
      <c r="G38" s="122"/>
      <c r="H38" s="122"/>
      <c r="I38" s="40"/>
      <c r="J38" s="28"/>
      <c r="K38" s="141"/>
      <c r="L38" s="142"/>
      <c r="M38" s="142"/>
      <c r="N38" s="142"/>
      <c r="O38" s="142"/>
      <c r="P38" s="143"/>
    </row>
    <row r="39" spans="2:16" x14ac:dyDescent="0.25">
      <c r="B39" s="8" t="s">
        <v>26</v>
      </c>
      <c r="C39" s="11" t="s">
        <v>49</v>
      </c>
      <c r="D39" s="11" t="s">
        <v>25</v>
      </c>
      <c r="E39" s="40">
        <v>0</v>
      </c>
      <c r="F39" s="40">
        <v>0</v>
      </c>
      <c r="G39" s="122"/>
      <c r="H39" s="122"/>
      <c r="I39" s="40"/>
      <c r="J39" s="28"/>
      <c r="K39" s="141"/>
      <c r="L39" s="142"/>
      <c r="M39" s="142"/>
      <c r="N39" s="142"/>
      <c r="O39" s="142"/>
      <c r="P39" s="143"/>
    </row>
    <row r="40" spans="2:16" x14ac:dyDescent="0.25">
      <c r="B40" s="10" t="s">
        <v>27</v>
      </c>
      <c r="C40" s="13" t="s">
        <v>49</v>
      </c>
      <c r="D40" s="13" t="s">
        <v>28</v>
      </c>
      <c r="E40" s="40">
        <v>85</v>
      </c>
      <c r="F40" s="40">
        <v>85</v>
      </c>
      <c r="G40" s="40"/>
      <c r="H40" s="40"/>
      <c r="I40" s="40"/>
      <c r="J40" s="28"/>
      <c r="K40" s="141"/>
      <c r="L40" s="142"/>
      <c r="M40" s="142"/>
      <c r="N40" s="142"/>
      <c r="O40" s="142"/>
      <c r="P40" s="143"/>
    </row>
    <row r="41" spans="2:16" x14ac:dyDescent="0.25">
      <c r="B41" s="10" t="s">
        <v>36</v>
      </c>
      <c r="C41" s="9" t="s">
        <v>49</v>
      </c>
      <c r="D41" s="9" t="s">
        <v>30</v>
      </c>
      <c r="E41" s="40">
        <v>100</v>
      </c>
      <c r="F41" s="40">
        <v>100</v>
      </c>
      <c r="G41" s="40"/>
      <c r="H41" s="40"/>
      <c r="I41" s="40"/>
      <c r="J41" s="28"/>
      <c r="K41" s="141"/>
      <c r="L41" s="142"/>
      <c r="M41" s="142"/>
      <c r="N41" s="142"/>
      <c r="O41" s="142"/>
      <c r="P41" s="143"/>
    </row>
    <row r="42" spans="2:16" x14ac:dyDescent="0.25">
      <c r="B42" s="10" t="s">
        <v>31</v>
      </c>
      <c r="C42" s="9" t="s">
        <v>49</v>
      </c>
      <c r="D42" s="9" t="s">
        <v>21</v>
      </c>
      <c r="E42" s="40">
        <v>100</v>
      </c>
      <c r="F42" s="40">
        <v>100</v>
      </c>
      <c r="G42" s="40"/>
      <c r="H42" s="40"/>
      <c r="I42" s="40"/>
      <c r="J42" s="28"/>
      <c r="K42" s="141"/>
      <c r="L42" s="142"/>
      <c r="M42" s="142"/>
      <c r="N42" s="142"/>
      <c r="O42" s="142"/>
      <c r="P42" s="143"/>
    </row>
    <row r="43" spans="2:16" x14ac:dyDescent="0.25">
      <c r="B43" s="10" t="s">
        <v>57</v>
      </c>
      <c r="C43" s="9" t="s">
        <v>55</v>
      </c>
      <c r="D43" s="9">
        <v>0.05</v>
      </c>
      <c r="E43" s="40">
        <v>0</v>
      </c>
      <c r="F43" s="40">
        <v>0</v>
      </c>
      <c r="G43" s="40"/>
      <c r="H43" s="40"/>
      <c r="I43" s="46"/>
      <c r="J43" s="28"/>
      <c r="K43" s="141"/>
      <c r="L43" s="142"/>
      <c r="M43" s="142"/>
      <c r="N43" s="142"/>
      <c r="O43" s="142"/>
      <c r="P43" s="143"/>
    </row>
    <row r="44" spans="2:16" x14ac:dyDescent="0.25">
      <c r="B44" s="10" t="s">
        <v>44</v>
      </c>
      <c r="C44" s="9" t="s">
        <v>56</v>
      </c>
      <c r="D44" s="9" t="s">
        <v>97</v>
      </c>
      <c r="E44" s="40">
        <v>24</v>
      </c>
      <c r="F44" s="40">
        <v>24</v>
      </c>
      <c r="G44" s="40"/>
      <c r="H44" s="40"/>
      <c r="I44" s="40"/>
      <c r="J44" s="28"/>
      <c r="K44" s="141"/>
      <c r="L44" s="142"/>
      <c r="M44" s="142"/>
      <c r="N44" s="142"/>
      <c r="O44" s="142"/>
      <c r="P44" s="143"/>
    </row>
    <row r="45" spans="2:16" x14ac:dyDescent="0.25">
      <c r="B45" s="10" t="s">
        <v>45</v>
      </c>
      <c r="C45" s="9" t="s">
        <v>56</v>
      </c>
      <c r="D45" s="9" t="s">
        <v>96</v>
      </c>
      <c r="E45" s="81">
        <v>0</v>
      </c>
      <c r="F45" s="81">
        <v>0</v>
      </c>
      <c r="G45" s="81"/>
      <c r="H45" s="81"/>
      <c r="I45" s="40"/>
      <c r="J45" s="28"/>
      <c r="K45" s="141"/>
      <c r="L45" s="142"/>
      <c r="M45" s="142"/>
      <c r="N45" s="142"/>
      <c r="O45" s="142"/>
      <c r="P45" s="143"/>
    </row>
    <row r="46" spans="2:16" x14ac:dyDescent="0.25">
      <c r="B46" s="10" t="s">
        <v>32</v>
      </c>
      <c r="C46" s="9" t="s">
        <v>52</v>
      </c>
      <c r="D46" s="60">
        <v>4.7E-2</v>
      </c>
      <c r="E46" s="127">
        <v>0</v>
      </c>
      <c r="F46" s="127">
        <v>5.77</v>
      </c>
      <c r="G46" s="80"/>
      <c r="H46" s="80"/>
      <c r="I46" s="46"/>
      <c r="J46" s="28"/>
      <c r="K46" s="141"/>
      <c r="L46" s="142"/>
      <c r="M46" s="142"/>
      <c r="N46" s="142"/>
      <c r="O46" s="142"/>
      <c r="P46" s="143"/>
    </row>
    <row r="47" spans="2:16" x14ac:dyDescent="0.25">
      <c r="B47" s="10" t="s">
        <v>33</v>
      </c>
      <c r="C47" s="9" t="s">
        <v>51</v>
      </c>
      <c r="D47" s="61">
        <v>7.3099999999999998E-2</v>
      </c>
      <c r="E47" s="80">
        <v>0</v>
      </c>
      <c r="F47" s="80">
        <v>9.14</v>
      </c>
      <c r="G47" s="127"/>
      <c r="H47" s="80"/>
      <c r="I47" s="46"/>
      <c r="J47" s="28"/>
      <c r="K47" s="141"/>
      <c r="L47" s="142"/>
      <c r="M47" s="142"/>
      <c r="N47" s="142"/>
      <c r="O47" s="142"/>
      <c r="P47" s="143"/>
    </row>
    <row r="48" spans="2:16" ht="15.75" thickBot="1" x14ac:dyDescent="0.3">
      <c r="B48" s="14" t="s">
        <v>34</v>
      </c>
      <c r="C48" s="21" t="s">
        <v>55</v>
      </c>
      <c r="D48" s="9"/>
      <c r="E48" s="40">
        <v>3</v>
      </c>
      <c r="F48" s="40">
        <v>2</v>
      </c>
      <c r="G48" s="40"/>
      <c r="H48" s="40"/>
      <c r="I48" s="46"/>
      <c r="J48" s="28"/>
      <c r="K48" s="141"/>
      <c r="L48" s="142"/>
      <c r="M48" s="142"/>
      <c r="N48" s="142"/>
      <c r="O48" s="142"/>
      <c r="P48" s="143"/>
    </row>
    <row r="49" spans="2:16" ht="15.75" thickBot="1" x14ac:dyDescent="0.3">
      <c r="B49" s="14" t="s">
        <v>58</v>
      </c>
      <c r="C49" s="22" t="s">
        <v>55</v>
      </c>
      <c r="D49" s="22"/>
      <c r="E49" s="95"/>
      <c r="F49" s="95"/>
      <c r="G49" s="95"/>
      <c r="H49" s="41"/>
      <c r="I49" s="47"/>
      <c r="J49" s="29"/>
      <c r="K49" s="144"/>
      <c r="L49" s="145"/>
      <c r="M49" s="145"/>
      <c r="N49" s="145"/>
      <c r="O49" s="145"/>
      <c r="P49" s="146"/>
    </row>
  </sheetData>
  <mergeCells count="5">
    <mergeCell ref="K27:P28"/>
    <mergeCell ref="K29:P49"/>
    <mergeCell ref="C27:J27"/>
    <mergeCell ref="C3:P3"/>
    <mergeCell ref="C4:P4"/>
  </mergeCells>
  <phoneticPr fontId="11" type="noConversion"/>
  <pageMargins left="0.25" right="0.25" top="0.75" bottom="0.75" header="0.3" footer="0.3"/>
  <pageSetup paperSize="9" scale="24" orientation="landscape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1026" r:id="rId4">
          <objectPr defaultSize="0" autoPict="0" r:id="rId5">
            <anchor moveWithCells="1" sizeWithCells="1">
              <from>
                <xdr:col>0</xdr:col>
                <xdr:colOff>581025</xdr:colOff>
                <xdr:row>1</xdr:row>
                <xdr:rowOff>180975</xdr:rowOff>
              </from>
              <to>
                <xdr:col>1</xdr:col>
                <xdr:colOff>990600</xdr:colOff>
                <xdr:row>4</xdr:row>
                <xdr:rowOff>133350</xdr:rowOff>
              </to>
            </anchor>
          </objectPr>
        </oleObject>
      </mc:Choice>
      <mc:Fallback>
        <oleObject progId="Visio.Drawing.11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1EDD-71C9-40EA-921B-49F129D0C390}">
  <dimension ref="C7:J19"/>
  <sheetViews>
    <sheetView topLeftCell="A4" zoomScale="79" workbookViewId="0">
      <selection activeCell="F19" sqref="F19"/>
    </sheetView>
  </sheetViews>
  <sheetFormatPr baseColWidth="10" defaultColWidth="8.85546875" defaultRowHeight="15" x14ac:dyDescent="0.25"/>
  <cols>
    <col min="3" max="3" width="53.42578125" customWidth="1"/>
    <col min="4" max="4" width="14.5703125" customWidth="1"/>
    <col min="5" max="5" width="10.5703125" customWidth="1"/>
    <col min="6" max="6" width="13.140625" bestFit="1" customWidth="1"/>
    <col min="7" max="7" width="13.42578125" customWidth="1"/>
    <col min="8" max="8" width="18.5703125" customWidth="1"/>
    <col min="9" max="9" width="15.140625" bestFit="1" customWidth="1"/>
    <col min="10" max="10" width="34" customWidth="1"/>
  </cols>
  <sheetData>
    <row r="7" spans="3:10" ht="23.25" x14ac:dyDescent="0.25">
      <c r="C7" s="156" t="s">
        <v>77</v>
      </c>
      <c r="D7" s="156"/>
      <c r="E7" s="156"/>
      <c r="F7" s="156"/>
      <c r="G7" s="156"/>
      <c r="H7" s="156"/>
      <c r="I7" s="156"/>
      <c r="J7" s="156"/>
    </row>
    <row r="8" spans="3:10" ht="18.75" x14ac:dyDescent="0.25">
      <c r="C8" s="160" t="s">
        <v>78</v>
      </c>
      <c r="D8" s="161"/>
      <c r="E8" s="161"/>
      <c r="F8" s="161"/>
      <c r="G8" s="161"/>
      <c r="H8" s="161"/>
      <c r="I8" s="161"/>
      <c r="J8" s="162"/>
    </row>
    <row r="9" spans="3:10" ht="15.75" x14ac:dyDescent="0.25">
      <c r="C9" s="157" t="s">
        <v>79</v>
      </c>
      <c r="D9" s="158"/>
      <c r="E9" s="158"/>
      <c r="F9" s="158"/>
      <c r="G9" s="158"/>
      <c r="H9" s="158"/>
      <c r="I9" s="158"/>
      <c r="J9" s="159"/>
    </row>
    <row r="10" spans="3:10" ht="48.6" customHeight="1" x14ac:dyDescent="0.25">
      <c r="C10" s="39" t="s">
        <v>59</v>
      </c>
      <c r="D10" s="39" t="s">
        <v>60</v>
      </c>
      <c r="E10" s="39" t="s">
        <v>61</v>
      </c>
      <c r="F10" s="39" t="s">
        <v>62</v>
      </c>
      <c r="G10" s="39" t="s">
        <v>63</v>
      </c>
      <c r="H10" s="39" t="s">
        <v>64</v>
      </c>
      <c r="I10" s="39" t="s">
        <v>65</v>
      </c>
      <c r="J10" s="39" t="s">
        <v>66</v>
      </c>
    </row>
    <row r="11" spans="3:10" x14ac:dyDescent="0.25">
      <c r="C11" s="31" t="s">
        <v>76</v>
      </c>
      <c r="D11" s="32">
        <v>3</v>
      </c>
      <c r="E11" s="32">
        <v>720</v>
      </c>
      <c r="F11" s="32"/>
      <c r="G11" s="32"/>
      <c r="H11" s="33">
        <v>1</v>
      </c>
      <c r="I11" s="33"/>
      <c r="J11" s="34" t="s">
        <v>80</v>
      </c>
    </row>
    <row r="12" spans="3:10" x14ac:dyDescent="0.25">
      <c r="C12" s="31" t="s">
        <v>67</v>
      </c>
      <c r="D12" s="32">
        <v>5</v>
      </c>
      <c r="E12" s="32">
        <v>720</v>
      </c>
      <c r="F12" s="32"/>
      <c r="G12" s="32"/>
      <c r="H12" s="33">
        <v>1</v>
      </c>
      <c r="I12" s="33"/>
      <c r="J12" s="34"/>
    </row>
    <row r="13" spans="3:10" x14ac:dyDescent="0.25">
      <c r="C13" s="31" t="s">
        <v>68</v>
      </c>
      <c r="D13" s="32">
        <v>2</v>
      </c>
      <c r="E13" s="32">
        <v>720</v>
      </c>
      <c r="F13" s="32"/>
      <c r="G13" s="32"/>
      <c r="H13" s="33">
        <v>1</v>
      </c>
      <c r="I13" s="33"/>
      <c r="J13" s="34"/>
    </row>
    <row r="14" spans="3:10" x14ac:dyDescent="0.25">
      <c r="C14" s="31" t="s">
        <v>69</v>
      </c>
      <c r="D14" s="32">
        <v>3</v>
      </c>
      <c r="E14" s="32">
        <v>720</v>
      </c>
      <c r="F14" s="32"/>
      <c r="G14" s="32"/>
      <c r="H14" s="33">
        <v>0.85709999999999997</v>
      </c>
      <c r="I14" s="33"/>
      <c r="J14" s="34"/>
    </row>
    <row r="15" spans="3:10" x14ac:dyDescent="0.25">
      <c r="C15" s="31" t="s">
        <v>74</v>
      </c>
      <c r="D15" s="32">
        <v>2</v>
      </c>
      <c r="E15" s="32">
        <v>720</v>
      </c>
      <c r="F15" s="32"/>
      <c r="G15" s="32"/>
      <c r="H15" s="33">
        <v>1</v>
      </c>
      <c r="I15" s="33"/>
      <c r="J15" s="34"/>
    </row>
    <row r="16" spans="3:10" x14ac:dyDescent="0.25">
      <c r="C16" s="31" t="s">
        <v>70</v>
      </c>
      <c r="D16" s="32">
        <v>3</v>
      </c>
      <c r="E16" s="32">
        <v>720</v>
      </c>
      <c r="F16" s="32"/>
      <c r="G16" s="32"/>
      <c r="H16" s="33">
        <v>0.5</v>
      </c>
      <c r="I16" s="33"/>
      <c r="J16" s="34"/>
    </row>
    <row r="17" spans="3:10" x14ac:dyDescent="0.25">
      <c r="C17" s="31" t="s">
        <v>71</v>
      </c>
      <c r="D17" s="32">
        <v>2</v>
      </c>
      <c r="E17" s="32">
        <v>720</v>
      </c>
      <c r="F17" s="32"/>
      <c r="G17" s="32"/>
      <c r="H17" s="33">
        <v>1</v>
      </c>
      <c r="I17" s="33"/>
      <c r="J17" s="34"/>
    </row>
    <row r="18" spans="3:10" x14ac:dyDescent="0.25">
      <c r="C18" s="31" t="s">
        <v>75</v>
      </c>
      <c r="D18" s="32">
        <v>6</v>
      </c>
      <c r="E18" s="32">
        <v>720</v>
      </c>
      <c r="F18" s="32"/>
      <c r="G18" s="32"/>
      <c r="H18" s="33">
        <v>1</v>
      </c>
      <c r="I18" s="33"/>
      <c r="J18" s="34"/>
    </row>
    <row r="19" spans="3:10" ht="15.75" x14ac:dyDescent="0.25">
      <c r="C19" s="35" t="s">
        <v>72</v>
      </c>
      <c r="D19" s="36">
        <v>26</v>
      </c>
      <c r="E19" s="36">
        <v>1344</v>
      </c>
      <c r="F19" s="36"/>
      <c r="G19" s="36"/>
      <c r="H19" s="37"/>
      <c r="I19" s="38"/>
      <c r="J19" s="35" t="s">
        <v>73</v>
      </c>
    </row>
  </sheetData>
  <mergeCells count="3">
    <mergeCell ref="C7:J7"/>
    <mergeCell ref="C9:J9"/>
    <mergeCell ref="C8:J8"/>
  </mergeCells>
  <conditionalFormatting sqref="H19:I19"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2049" r:id="rId4">
          <objectPr defaultSize="0" autoPict="0" r:id="rId5">
            <anchor moveWithCells="1" sizeWithCells="1">
              <from>
                <xdr:col>1</xdr:col>
                <xdr:colOff>571500</xdr:colOff>
                <xdr:row>5</xdr:row>
                <xdr:rowOff>171450</xdr:rowOff>
              </from>
              <to>
                <xdr:col>2</xdr:col>
                <xdr:colOff>1028700</xdr:colOff>
                <xdr:row>9</xdr:row>
                <xdr:rowOff>0</xdr:rowOff>
              </to>
            </anchor>
          </objectPr>
        </oleObject>
      </mc:Choice>
      <mc:Fallback>
        <oleObject progId="Visio.Drawing.11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DD4E-F50B-43F4-B688-BC638520FA7A}">
  <dimension ref="G8:K30"/>
  <sheetViews>
    <sheetView topLeftCell="A19" workbookViewId="0">
      <selection activeCell="K32" sqref="K32"/>
    </sheetView>
  </sheetViews>
  <sheetFormatPr baseColWidth="10" defaultColWidth="8.85546875" defaultRowHeight="15" x14ac:dyDescent="0.25"/>
  <cols>
    <col min="8" max="8" width="25.28515625" customWidth="1"/>
    <col min="9" max="9" width="13.140625" hidden="1" customWidth="1"/>
  </cols>
  <sheetData>
    <row r="8" spans="8:11" ht="36" customHeight="1" x14ac:dyDescent="0.25">
      <c r="H8" s="163" t="s">
        <v>81</v>
      </c>
      <c r="I8" s="164"/>
      <c r="J8" s="42" t="s">
        <v>82</v>
      </c>
      <c r="K8" s="42" t="s">
        <v>83</v>
      </c>
    </row>
    <row r="9" spans="8:11" ht="24" customHeight="1" x14ac:dyDescent="0.25">
      <c r="H9" s="42" t="s">
        <v>84</v>
      </c>
      <c r="I9" s="42" t="s">
        <v>1</v>
      </c>
      <c r="J9" s="163" t="s">
        <v>85</v>
      </c>
      <c r="K9" s="164"/>
    </row>
    <row r="10" spans="8:11" ht="36.75" customHeight="1" x14ac:dyDescent="0.25">
      <c r="H10" s="43" t="s">
        <v>86</v>
      </c>
      <c r="I10" s="43" t="s">
        <v>87</v>
      </c>
      <c r="J10" s="44">
        <v>0</v>
      </c>
      <c r="K10" s="44">
        <v>0</v>
      </c>
    </row>
    <row r="11" spans="8:11" ht="54" customHeight="1" x14ac:dyDescent="0.25">
      <c r="H11" s="43" t="s">
        <v>88</v>
      </c>
      <c r="I11" s="43" t="s">
        <v>89</v>
      </c>
      <c r="J11" s="45" t="s">
        <v>90</v>
      </c>
      <c r="K11" s="45" t="s">
        <v>90</v>
      </c>
    </row>
    <row r="12" spans="8:11" ht="54" customHeight="1" x14ac:dyDescent="0.25">
      <c r="H12" s="43" t="s">
        <v>91</v>
      </c>
      <c r="I12" s="43" t="s">
        <v>92</v>
      </c>
      <c r="J12" s="44">
        <v>100</v>
      </c>
      <c r="K12" s="44">
        <v>100</v>
      </c>
    </row>
    <row r="13" spans="8:11" ht="53.25" customHeight="1" x14ac:dyDescent="0.25">
      <c r="H13" s="43" t="s">
        <v>20</v>
      </c>
      <c r="I13" s="43" t="s">
        <v>46</v>
      </c>
      <c r="J13" s="44">
        <v>100</v>
      </c>
      <c r="K13" s="44">
        <v>100</v>
      </c>
    </row>
    <row r="30" spans="7:10" x14ac:dyDescent="0.25">
      <c r="G30" t="s">
        <v>132</v>
      </c>
      <c r="H30" t="s">
        <v>133</v>
      </c>
      <c r="J30" t="s">
        <v>134</v>
      </c>
    </row>
  </sheetData>
  <mergeCells count="2">
    <mergeCell ref="H8:I8"/>
    <mergeCell ref="J9:K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3C8E-022A-4EC5-BE46-A5FB36C54B42}">
  <dimension ref="B2:I12"/>
  <sheetViews>
    <sheetView zoomScale="70" zoomScaleNormal="70" workbookViewId="0">
      <selection activeCell="B11" sqref="B11"/>
    </sheetView>
  </sheetViews>
  <sheetFormatPr baseColWidth="10" defaultColWidth="8.85546875" defaultRowHeight="15" x14ac:dyDescent="0.25"/>
  <cols>
    <col min="2" max="2" width="53.42578125" customWidth="1"/>
    <col min="3" max="3" width="14.5703125" customWidth="1"/>
    <col min="4" max="4" width="10.5703125" customWidth="1"/>
    <col min="5" max="5" width="13.140625" bestFit="1" customWidth="1"/>
    <col min="6" max="6" width="10.140625" bestFit="1" customWidth="1"/>
    <col min="7" max="7" width="13.5703125" bestFit="1" customWidth="1"/>
    <col min="8" max="8" width="10.7109375" bestFit="1" customWidth="1"/>
    <col min="9" max="9" width="17.42578125" bestFit="1" customWidth="1"/>
  </cols>
  <sheetData>
    <row r="2" spans="2:9" ht="15.75" x14ac:dyDescent="0.25">
      <c r="B2" s="157" t="s">
        <v>98</v>
      </c>
      <c r="C2" s="158"/>
      <c r="D2" s="158"/>
      <c r="E2" s="158"/>
      <c r="F2" s="158"/>
      <c r="G2" s="158"/>
      <c r="H2" s="158"/>
      <c r="I2" s="159"/>
    </row>
    <row r="3" spans="2:9" ht="60" x14ac:dyDescent="0.25">
      <c r="B3" s="30" t="s">
        <v>59</v>
      </c>
      <c r="C3" s="30" t="s">
        <v>60</v>
      </c>
      <c r="D3" s="30" t="s">
        <v>61</v>
      </c>
      <c r="E3" s="30" t="s">
        <v>62</v>
      </c>
      <c r="F3" s="30" t="s">
        <v>63</v>
      </c>
      <c r="G3" s="30" t="s">
        <v>64</v>
      </c>
      <c r="H3" s="30" t="s">
        <v>65</v>
      </c>
      <c r="I3" s="30" t="s">
        <v>66</v>
      </c>
    </row>
    <row r="4" spans="2:9" x14ac:dyDescent="0.25">
      <c r="B4" s="31" t="s">
        <v>76</v>
      </c>
      <c r="C4" s="32">
        <v>3</v>
      </c>
      <c r="D4" s="32">
        <v>0.84</v>
      </c>
      <c r="E4" s="32">
        <v>0</v>
      </c>
      <c r="F4" s="33">
        <v>0.66659999999999997</v>
      </c>
      <c r="G4" s="33">
        <v>6.0000000000000001E-3</v>
      </c>
      <c r="H4" s="33">
        <v>0</v>
      </c>
      <c r="I4" s="34"/>
    </row>
    <row r="5" spans="2:9" x14ac:dyDescent="0.25">
      <c r="B5" s="31" t="s">
        <v>67</v>
      </c>
      <c r="C5" s="32">
        <v>5</v>
      </c>
      <c r="D5" s="32">
        <v>168</v>
      </c>
      <c r="E5" s="32">
        <v>0</v>
      </c>
      <c r="F5" s="32">
        <v>1</v>
      </c>
      <c r="G5" s="33">
        <v>1</v>
      </c>
      <c r="H5" s="33">
        <v>0</v>
      </c>
      <c r="I5" s="34"/>
    </row>
    <row r="6" spans="2:9" x14ac:dyDescent="0.25">
      <c r="B6" s="31" t="s">
        <v>68</v>
      </c>
      <c r="C6" s="32">
        <v>2</v>
      </c>
      <c r="D6" s="32">
        <v>168</v>
      </c>
      <c r="E6" s="32">
        <v>0</v>
      </c>
      <c r="F6" s="32">
        <v>0</v>
      </c>
      <c r="G6" s="33">
        <v>1</v>
      </c>
      <c r="H6" s="33">
        <v>0</v>
      </c>
      <c r="I6" s="34"/>
    </row>
    <row r="7" spans="2:9" x14ac:dyDescent="0.25">
      <c r="B7" s="31" t="s">
        <v>69</v>
      </c>
      <c r="C7" s="32">
        <v>3</v>
      </c>
      <c r="D7" s="32">
        <v>168</v>
      </c>
      <c r="E7" s="32">
        <v>0</v>
      </c>
      <c r="F7" s="32">
        <v>0</v>
      </c>
      <c r="G7" s="33">
        <v>1</v>
      </c>
      <c r="H7" s="33">
        <v>0</v>
      </c>
      <c r="I7" s="34"/>
    </row>
    <row r="8" spans="2:9" x14ac:dyDescent="0.25">
      <c r="B8" s="31" t="s">
        <v>74</v>
      </c>
      <c r="C8" s="32">
        <v>2</v>
      </c>
      <c r="D8" s="32">
        <v>168</v>
      </c>
      <c r="E8" s="32">
        <v>0</v>
      </c>
      <c r="F8" s="32">
        <v>0</v>
      </c>
      <c r="G8" s="33">
        <v>1</v>
      </c>
      <c r="H8" s="33">
        <v>0</v>
      </c>
      <c r="I8" s="34"/>
    </row>
    <row r="9" spans="2:9" x14ac:dyDescent="0.25">
      <c r="B9" s="31" t="s">
        <v>70</v>
      </c>
      <c r="C9" s="32">
        <v>3</v>
      </c>
      <c r="D9" s="32">
        <v>168</v>
      </c>
      <c r="E9" s="32">
        <v>0.84</v>
      </c>
      <c r="F9" s="32">
        <v>1</v>
      </c>
      <c r="G9" s="33">
        <v>0.66659999999999997</v>
      </c>
      <c r="H9" s="33">
        <v>6.0000000000000001E-3</v>
      </c>
      <c r="I9" s="34"/>
    </row>
    <row r="10" spans="2:9" x14ac:dyDescent="0.25">
      <c r="B10" s="31" t="s">
        <v>71</v>
      </c>
      <c r="C10" s="32">
        <v>2</v>
      </c>
      <c r="D10" s="32">
        <v>168</v>
      </c>
      <c r="E10" s="32">
        <v>0</v>
      </c>
      <c r="F10" s="32">
        <v>0</v>
      </c>
      <c r="G10" s="33">
        <v>1</v>
      </c>
      <c r="H10" s="33">
        <v>0</v>
      </c>
      <c r="I10" s="34"/>
    </row>
    <row r="11" spans="2:9" x14ac:dyDescent="0.25">
      <c r="B11" s="31" t="s">
        <v>75</v>
      </c>
      <c r="C11" s="32">
        <v>6</v>
      </c>
      <c r="D11" s="32">
        <v>168</v>
      </c>
      <c r="E11" s="32">
        <v>168</v>
      </c>
      <c r="F11" s="32">
        <v>0</v>
      </c>
      <c r="G11" s="33">
        <v>1</v>
      </c>
      <c r="H11" s="33">
        <v>0</v>
      </c>
      <c r="I11" s="34"/>
    </row>
    <row r="12" spans="2:9" ht="15.75" x14ac:dyDescent="0.25">
      <c r="B12" s="35" t="s">
        <v>72</v>
      </c>
      <c r="C12" s="36">
        <v>26</v>
      </c>
      <c r="D12" s="36">
        <v>1344</v>
      </c>
      <c r="E12" s="36">
        <v>168.84</v>
      </c>
      <c r="F12" s="36">
        <v>1</v>
      </c>
      <c r="G12" s="37">
        <v>0.95830000000000004</v>
      </c>
      <c r="H12" s="38">
        <v>6.0000000000000001E-3</v>
      </c>
      <c r="I12" s="35" t="s">
        <v>73</v>
      </c>
    </row>
  </sheetData>
  <mergeCells count="1">
    <mergeCell ref="B2:I2"/>
  </mergeCells>
  <conditionalFormatting sqref="G12:H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0</xdr:col>
                <xdr:colOff>590550</xdr:colOff>
                <xdr:row>1</xdr:row>
                <xdr:rowOff>0</xdr:rowOff>
              </from>
              <to>
                <xdr:col>1</xdr:col>
                <xdr:colOff>885825</xdr:colOff>
                <xdr:row>2</xdr:row>
                <xdr:rowOff>419100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D9BA-AC13-488D-8DEA-58D18CAF855C}">
  <dimension ref="C2:H23"/>
  <sheetViews>
    <sheetView workbookViewId="0">
      <selection activeCell="F17" sqref="F17"/>
    </sheetView>
  </sheetViews>
  <sheetFormatPr baseColWidth="10" defaultColWidth="9.140625" defaultRowHeight="15" x14ac:dyDescent="0.25"/>
  <cols>
    <col min="3" max="4" width="27.140625" bestFit="1" customWidth="1"/>
    <col min="5" max="5" width="31.7109375" bestFit="1" customWidth="1"/>
    <col min="6" max="7" width="12.85546875" customWidth="1"/>
    <col min="8" max="8" width="45.28515625" customWidth="1"/>
  </cols>
  <sheetData>
    <row r="2" spans="3:8" ht="15.75" thickBot="1" x14ac:dyDescent="0.3"/>
    <row r="3" spans="3:8" ht="18.75" x14ac:dyDescent="0.25">
      <c r="C3" s="165" t="s">
        <v>102</v>
      </c>
      <c r="D3" s="166"/>
      <c r="E3" s="166"/>
      <c r="F3" s="166"/>
      <c r="G3" s="167"/>
      <c r="H3" s="168"/>
    </row>
    <row r="4" spans="3:8" ht="31.5" x14ac:dyDescent="0.25">
      <c r="C4" s="70" t="s">
        <v>59</v>
      </c>
      <c r="D4" s="39" t="s">
        <v>103</v>
      </c>
      <c r="E4" s="39" t="s">
        <v>104</v>
      </c>
      <c r="F4" s="39" t="s">
        <v>64</v>
      </c>
      <c r="G4" s="71" t="s">
        <v>65</v>
      </c>
      <c r="H4" s="72" t="s">
        <v>105</v>
      </c>
    </row>
    <row r="5" spans="3:8" ht="16.5" customHeight="1" x14ac:dyDescent="0.25">
      <c r="C5" s="73" t="s">
        <v>106</v>
      </c>
      <c r="D5" s="124">
        <v>3</v>
      </c>
      <c r="E5" s="124">
        <v>0</v>
      </c>
      <c r="F5" s="125">
        <f t="shared" ref="F5:F13" si="0">((168*D5)-E5)/(168*D5)</f>
        <v>1</v>
      </c>
      <c r="G5" s="126">
        <v>0</v>
      </c>
      <c r="H5" s="74"/>
    </row>
    <row r="6" spans="3:8" x14ac:dyDescent="0.25">
      <c r="C6" s="73" t="s">
        <v>107</v>
      </c>
      <c r="D6" s="124">
        <v>5</v>
      </c>
      <c r="E6" s="124">
        <v>168</v>
      </c>
      <c r="F6" s="125">
        <f t="shared" si="0"/>
        <v>0.8</v>
      </c>
      <c r="G6" s="126">
        <f t="shared" ref="G6" si="1">1/168</f>
        <v>5.9523809523809521E-3</v>
      </c>
      <c r="H6" s="74" t="s">
        <v>126</v>
      </c>
    </row>
    <row r="7" spans="3:8" x14ac:dyDescent="0.25">
      <c r="C7" s="73" t="s">
        <v>68</v>
      </c>
      <c r="D7" s="124">
        <v>2</v>
      </c>
      <c r="E7" s="124">
        <v>0</v>
      </c>
      <c r="F7" s="125">
        <f t="shared" si="0"/>
        <v>1</v>
      </c>
      <c r="G7" s="126">
        <f t="shared" ref="G7:G13" si="2">0/168</f>
        <v>0</v>
      </c>
      <c r="H7" s="74"/>
    </row>
    <row r="8" spans="3:8" x14ac:dyDescent="0.25">
      <c r="C8" s="73" t="s">
        <v>108</v>
      </c>
      <c r="D8" s="124">
        <v>4</v>
      </c>
      <c r="E8" s="124">
        <v>0</v>
      </c>
      <c r="F8" s="125">
        <f t="shared" si="0"/>
        <v>1</v>
      </c>
      <c r="G8" s="126">
        <f t="shared" si="2"/>
        <v>0</v>
      </c>
      <c r="H8" s="74"/>
    </row>
    <row r="9" spans="3:8" x14ac:dyDescent="0.25">
      <c r="C9" s="73" t="s">
        <v>109</v>
      </c>
      <c r="D9" s="124">
        <v>2</v>
      </c>
      <c r="E9" s="124">
        <v>0</v>
      </c>
      <c r="F9" s="125">
        <f t="shared" si="0"/>
        <v>1</v>
      </c>
      <c r="G9" s="126">
        <f t="shared" si="2"/>
        <v>0</v>
      </c>
      <c r="H9" s="74"/>
    </row>
    <row r="10" spans="3:8" x14ac:dyDescent="0.25">
      <c r="C10" s="73" t="s">
        <v>110</v>
      </c>
      <c r="D10" s="124">
        <v>2</v>
      </c>
      <c r="E10" s="124">
        <v>0</v>
      </c>
      <c r="F10" s="125">
        <f t="shared" si="0"/>
        <v>1</v>
      </c>
      <c r="G10" s="126">
        <f t="shared" si="2"/>
        <v>0</v>
      </c>
      <c r="H10" s="74" t="s">
        <v>128</v>
      </c>
    </row>
    <row r="11" spans="3:8" x14ac:dyDescent="0.25">
      <c r="C11" s="73" t="s">
        <v>111</v>
      </c>
      <c r="D11" s="124">
        <v>1</v>
      </c>
      <c r="E11" s="124">
        <v>0</v>
      </c>
      <c r="F11" s="125">
        <f t="shared" si="0"/>
        <v>1</v>
      </c>
      <c r="G11" s="126">
        <f t="shared" si="2"/>
        <v>0</v>
      </c>
      <c r="H11" s="74"/>
    </row>
    <row r="12" spans="3:8" ht="30" x14ac:dyDescent="0.25">
      <c r="C12" s="123" t="s">
        <v>75</v>
      </c>
      <c r="D12" s="124">
        <v>6</v>
      </c>
      <c r="E12" s="124">
        <v>0</v>
      </c>
      <c r="F12" s="125">
        <f t="shared" ref="F12" si="3">((168*D12)-E12)/(168*D12)</f>
        <v>1</v>
      </c>
      <c r="G12" s="126">
        <f t="shared" si="2"/>
        <v>0</v>
      </c>
      <c r="H12" s="74"/>
    </row>
    <row r="13" spans="3:8" x14ac:dyDescent="0.25">
      <c r="C13" s="73" t="s">
        <v>112</v>
      </c>
      <c r="D13" s="124">
        <v>3</v>
      </c>
      <c r="E13" s="124">
        <v>0</v>
      </c>
      <c r="F13" s="125">
        <f t="shared" si="0"/>
        <v>1</v>
      </c>
      <c r="G13" s="126">
        <f t="shared" si="2"/>
        <v>0</v>
      </c>
      <c r="H13" s="74"/>
    </row>
    <row r="14" spans="3:8" ht="15.75" thickBot="1" x14ac:dyDescent="0.3">
      <c r="C14" s="169" t="s">
        <v>113</v>
      </c>
      <c r="D14" s="170"/>
      <c r="E14" s="170"/>
      <c r="F14" s="121">
        <f>SUM(F5:F13)/9</f>
        <v>0.97777777777777786</v>
      </c>
      <c r="G14" s="121">
        <f>SUM(G5:G13)/8</f>
        <v>7.4404761904761901E-4</v>
      </c>
      <c r="H14" s="78"/>
    </row>
    <row r="16" spans="3:8" x14ac:dyDescent="0.25">
      <c r="C16" s="75" t="s">
        <v>114</v>
      </c>
      <c r="D16" s="76" t="s">
        <v>115</v>
      </c>
      <c r="E16" s="75" t="s">
        <v>116</v>
      </c>
    </row>
    <row r="17" spans="3:7" ht="30" x14ac:dyDescent="0.25">
      <c r="C17" s="79">
        <v>1</v>
      </c>
      <c r="D17" s="34" t="s">
        <v>117</v>
      </c>
      <c r="E17" s="77" t="s">
        <v>118</v>
      </c>
      <c r="F17" t="s">
        <v>80</v>
      </c>
      <c r="G17">
        <f>24*3</f>
        <v>72</v>
      </c>
    </row>
    <row r="18" spans="3:7" x14ac:dyDescent="0.25">
      <c r="C18" s="79">
        <v>2</v>
      </c>
      <c r="D18" s="34" t="s">
        <v>119</v>
      </c>
      <c r="E18" s="77" t="s">
        <v>120</v>
      </c>
    </row>
    <row r="19" spans="3:7" x14ac:dyDescent="0.25">
      <c r="C19" s="79">
        <v>3</v>
      </c>
      <c r="D19" s="77" t="s">
        <v>121</v>
      </c>
      <c r="E19" s="77" t="s">
        <v>122</v>
      </c>
    </row>
    <row r="20" spans="3:7" x14ac:dyDescent="0.25">
      <c r="C20" s="79">
        <v>4</v>
      </c>
      <c r="D20" s="77" t="s">
        <v>123</v>
      </c>
      <c r="E20" s="77" t="s">
        <v>124</v>
      </c>
    </row>
    <row r="23" spans="3:7" x14ac:dyDescent="0.25">
      <c r="C23" t="s">
        <v>125</v>
      </c>
    </row>
  </sheetData>
  <mergeCells count="2">
    <mergeCell ref="C3:H3"/>
    <mergeCell ref="C14:E14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77E7-6DA4-493D-91B8-2188F37F4195}">
  <dimension ref="C2:H20"/>
  <sheetViews>
    <sheetView workbookViewId="0">
      <selection activeCell="H18" sqref="H18"/>
    </sheetView>
  </sheetViews>
  <sheetFormatPr baseColWidth="10" defaultColWidth="9.140625" defaultRowHeight="15" x14ac:dyDescent="0.25"/>
  <cols>
    <col min="3" max="4" width="27.140625" bestFit="1" customWidth="1"/>
    <col min="5" max="5" width="31.7109375" bestFit="1" customWidth="1"/>
    <col min="6" max="7" width="12.85546875" customWidth="1"/>
    <col min="8" max="8" width="45.28515625" customWidth="1"/>
  </cols>
  <sheetData>
    <row r="2" spans="3:8" ht="15.75" thickBot="1" x14ac:dyDescent="0.3"/>
    <row r="3" spans="3:8" ht="18.75" x14ac:dyDescent="0.25">
      <c r="C3" s="165" t="s">
        <v>102</v>
      </c>
      <c r="D3" s="166"/>
      <c r="E3" s="166"/>
      <c r="F3" s="166"/>
      <c r="G3" s="167"/>
      <c r="H3" s="168"/>
    </row>
    <row r="4" spans="3:8" ht="31.5" x14ac:dyDescent="0.25">
      <c r="C4" s="70" t="s">
        <v>59</v>
      </c>
      <c r="D4" s="39" t="s">
        <v>103</v>
      </c>
      <c r="E4" s="39" t="s">
        <v>104</v>
      </c>
      <c r="F4" s="39" t="s">
        <v>64</v>
      </c>
      <c r="G4" s="71" t="s">
        <v>65</v>
      </c>
      <c r="H4" s="72" t="s">
        <v>105</v>
      </c>
    </row>
    <row r="5" spans="3:8" ht="16.5" customHeight="1" x14ac:dyDescent="0.25">
      <c r="C5" s="73" t="s">
        <v>106</v>
      </c>
      <c r="D5" s="124">
        <v>3</v>
      </c>
      <c r="E5" s="124">
        <v>0</v>
      </c>
      <c r="F5" s="125">
        <f t="shared" ref="F5:F13" si="0">((168*D5)-E5)/(168*D5)</f>
        <v>1</v>
      </c>
      <c r="G5" s="126">
        <v>0</v>
      </c>
      <c r="H5" s="74"/>
    </row>
    <row r="6" spans="3:8" x14ac:dyDescent="0.25">
      <c r="C6" s="73" t="s">
        <v>107</v>
      </c>
      <c r="D6" s="124">
        <v>5</v>
      </c>
      <c r="E6" s="124">
        <v>168</v>
      </c>
      <c r="F6" s="125">
        <f t="shared" si="0"/>
        <v>0.8</v>
      </c>
      <c r="G6" s="126">
        <f t="shared" ref="G6" si="1">1/168</f>
        <v>5.9523809523809521E-3</v>
      </c>
      <c r="H6" s="74" t="s">
        <v>126</v>
      </c>
    </row>
    <row r="7" spans="3:8" x14ac:dyDescent="0.25">
      <c r="C7" s="73" t="s">
        <v>68</v>
      </c>
      <c r="D7" s="124">
        <v>2</v>
      </c>
      <c r="E7" s="124">
        <v>0</v>
      </c>
      <c r="F7" s="125">
        <f t="shared" si="0"/>
        <v>1</v>
      </c>
      <c r="G7" s="126">
        <f t="shared" ref="G7:G13" si="2">0/168</f>
        <v>0</v>
      </c>
      <c r="H7" s="74"/>
    </row>
    <row r="8" spans="3:8" x14ac:dyDescent="0.25">
      <c r="C8" s="73" t="s">
        <v>108</v>
      </c>
      <c r="D8" s="124">
        <v>4</v>
      </c>
      <c r="E8" s="124">
        <v>0</v>
      </c>
      <c r="F8" s="125">
        <f t="shared" si="0"/>
        <v>1</v>
      </c>
      <c r="G8" s="126">
        <f t="shared" si="2"/>
        <v>0</v>
      </c>
      <c r="H8" s="74"/>
    </row>
    <row r="9" spans="3:8" x14ac:dyDescent="0.25">
      <c r="C9" s="73" t="s">
        <v>109</v>
      </c>
      <c r="D9" s="124">
        <v>2</v>
      </c>
      <c r="E9" s="124">
        <v>0</v>
      </c>
      <c r="F9" s="125">
        <f t="shared" si="0"/>
        <v>1</v>
      </c>
      <c r="G9" s="126">
        <f t="shared" si="2"/>
        <v>0</v>
      </c>
      <c r="H9" s="74"/>
    </row>
    <row r="10" spans="3:8" x14ac:dyDescent="0.25">
      <c r="C10" s="73" t="s">
        <v>110</v>
      </c>
      <c r="D10" s="124">
        <v>2</v>
      </c>
      <c r="E10" s="124">
        <v>0</v>
      </c>
      <c r="F10" s="125">
        <f t="shared" si="0"/>
        <v>1</v>
      </c>
      <c r="G10" s="126">
        <f t="shared" si="2"/>
        <v>0</v>
      </c>
      <c r="H10" s="74" t="s">
        <v>128</v>
      </c>
    </row>
    <row r="11" spans="3:8" x14ac:dyDescent="0.25">
      <c r="C11" s="73" t="s">
        <v>111</v>
      </c>
      <c r="D11" s="124">
        <v>1</v>
      </c>
      <c r="E11" s="124">
        <v>0</v>
      </c>
      <c r="F11" s="125">
        <f t="shared" si="0"/>
        <v>1</v>
      </c>
      <c r="G11" s="126">
        <f t="shared" si="2"/>
        <v>0</v>
      </c>
      <c r="H11" s="74"/>
    </row>
    <row r="12" spans="3:8" ht="30" x14ac:dyDescent="0.25">
      <c r="C12" s="123" t="s">
        <v>75</v>
      </c>
      <c r="D12" s="124">
        <v>6</v>
      </c>
      <c r="E12" s="124">
        <v>0</v>
      </c>
      <c r="F12" s="125">
        <f t="shared" si="0"/>
        <v>1</v>
      </c>
      <c r="G12" s="126">
        <f t="shared" si="2"/>
        <v>0</v>
      </c>
      <c r="H12" s="74"/>
    </row>
    <row r="13" spans="3:8" x14ac:dyDescent="0.25">
      <c r="C13" s="73" t="s">
        <v>112</v>
      </c>
      <c r="D13" s="124">
        <v>3</v>
      </c>
      <c r="E13" s="124">
        <v>0</v>
      </c>
      <c r="F13" s="125">
        <f t="shared" si="0"/>
        <v>1</v>
      </c>
      <c r="G13" s="126">
        <f t="shared" si="2"/>
        <v>0</v>
      </c>
      <c r="H13" s="74"/>
    </row>
    <row r="14" spans="3:8" ht="15.75" thickBot="1" x14ac:dyDescent="0.3">
      <c r="C14" s="169" t="s">
        <v>113</v>
      </c>
      <c r="D14" s="170"/>
      <c r="E14" s="170"/>
      <c r="F14" s="121">
        <f>SUM(F5:F13)/9</f>
        <v>0.97777777777777786</v>
      </c>
      <c r="G14" s="121">
        <f>SUM(G5:G13)/8</f>
        <v>7.4404761904761901E-4</v>
      </c>
      <c r="H14" s="78"/>
    </row>
    <row r="16" spans="3:8" x14ac:dyDescent="0.25">
      <c r="C16" s="75" t="s">
        <v>114</v>
      </c>
      <c r="D16" s="76" t="s">
        <v>115</v>
      </c>
      <c r="E16" s="75" t="s">
        <v>116</v>
      </c>
    </row>
    <row r="17" spans="3:6" ht="30" x14ac:dyDescent="0.25">
      <c r="C17" s="79">
        <v>1</v>
      </c>
      <c r="D17" s="34" t="s">
        <v>117</v>
      </c>
      <c r="E17" s="77" t="s">
        <v>118</v>
      </c>
      <c r="F17" t="s">
        <v>80</v>
      </c>
    </row>
    <row r="18" spans="3:6" x14ac:dyDescent="0.25">
      <c r="C18" s="79">
        <v>2</v>
      </c>
      <c r="D18" s="34" t="s">
        <v>119</v>
      </c>
      <c r="E18" s="77" t="s">
        <v>120</v>
      </c>
    </row>
    <row r="19" spans="3:6" x14ac:dyDescent="0.25">
      <c r="C19" s="79">
        <v>3</v>
      </c>
      <c r="D19" s="77" t="s">
        <v>121</v>
      </c>
      <c r="E19" s="77" t="s">
        <v>122</v>
      </c>
    </row>
    <row r="20" spans="3:6" x14ac:dyDescent="0.25">
      <c r="C20" s="79">
        <v>4</v>
      </c>
      <c r="D20" s="77" t="s">
        <v>123</v>
      </c>
      <c r="E20" s="77" t="s">
        <v>124</v>
      </c>
    </row>
  </sheetData>
  <mergeCells count="2">
    <mergeCell ref="C3:H3"/>
    <mergeCell ref="C14:E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D4C8-D41A-4B56-BD50-4557A45C88BC}">
  <dimension ref="C2:H20"/>
  <sheetViews>
    <sheetView workbookViewId="0">
      <selection activeCell="E5" sqref="E5"/>
    </sheetView>
  </sheetViews>
  <sheetFormatPr baseColWidth="10" defaultColWidth="9.140625" defaultRowHeight="15" x14ac:dyDescent="0.25"/>
  <cols>
    <col min="3" max="4" width="27.140625" bestFit="1" customWidth="1"/>
    <col min="5" max="5" width="31.7109375" bestFit="1" customWidth="1"/>
    <col min="6" max="7" width="12.85546875" customWidth="1"/>
    <col min="8" max="8" width="45.28515625" customWidth="1"/>
  </cols>
  <sheetData>
    <row r="2" spans="3:8" ht="15.75" thickBot="1" x14ac:dyDescent="0.3"/>
    <row r="3" spans="3:8" ht="18.75" x14ac:dyDescent="0.25">
      <c r="C3" s="165" t="s">
        <v>102</v>
      </c>
      <c r="D3" s="166"/>
      <c r="E3" s="166"/>
      <c r="F3" s="166"/>
      <c r="G3" s="167"/>
      <c r="H3" s="168"/>
    </row>
    <row r="4" spans="3:8" ht="31.5" x14ac:dyDescent="0.25">
      <c r="C4" s="70" t="s">
        <v>59</v>
      </c>
      <c r="D4" s="39" t="s">
        <v>103</v>
      </c>
      <c r="E4" s="39" t="s">
        <v>104</v>
      </c>
      <c r="F4" s="39" t="s">
        <v>64</v>
      </c>
      <c r="G4" s="71" t="s">
        <v>65</v>
      </c>
      <c r="H4" s="72" t="s">
        <v>105</v>
      </c>
    </row>
    <row r="5" spans="3:8" ht="16.5" customHeight="1" x14ac:dyDescent="0.25">
      <c r="C5" s="73" t="s">
        <v>106</v>
      </c>
      <c r="D5" s="124">
        <v>3</v>
      </c>
      <c r="E5" s="124">
        <v>96</v>
      </c>
      <c r="F5" s="125">
        <f t="shared" ref="F5:F13" si="0">((168*D5)-E5)/(168*D5)</f>
        <v>0.80952380952380953</v>
      </c>
      <c r="G5" s="126">
        <v>0</v>
      </c>
      <c r="H5" s="74"/>
    </row>
    <row r="6" spans="3:8" x14ac:dyDescent="0.25">
      <c r="C6" s="73" t="s">
        <v>107</v>
      </c>
      <c r="D6" s="124">
        <v>5</v>
      </c>
      <c r="E6" s="124">
        <v>168</v>
      </c>
      <c r="F6" s="125">
        <f t="shared" si="0"/>
        <v>0.8</v>
      </c>
      <c r="G6" s="126">
        <f t="shared" ref="G6" si="1">1/168</f>
        <v>5.9523809523809521E-3</v>
      </c>
      <c r="H6" s="74" t="s">
        <v>126</v>
      </c>
    </row>
    <row r="7" spans="3:8" x14ac:dyDescent="0.25">
      <c r="C7" s="73" t="s">
        <v>68</v>
      </c>
      <c r="D7" s="124">
        <v>2</v>
      </c>
      <c r="E7" s="124">
        <v>0</v>
      </c>
      <c r="F7" s="125">
        <f t="shared" si="0"/>
        <v>1</v>
      </c>
      <c r="G7" s="126">
        <f t="shared" ref="G7:G13" si="2">0/168</f>
        <v>0</v>
      </c>
      <c r="H7" s="74"/>
    </row>
    <row r="8" spans="3:8" x14ac:dyDescent="0.25">
      <c r="C8" s="73" t="s">
        <v>108</v>
      </c>
      <c r="D8" s="124">
        <v>4</v>
      </c>
      <c r="E8" s="124">
        <v>0</v>
      </c>
      <c r="F8" s="125">
        <f t="shared" si="0"/>
        <v>1</v>
      </c>
      <c r="G8" s="126">
        <f t="shared" si="2"/>
        <v>0</v>
      </c>
      <c r="H8" s="74"/>
    </row>
    <row r="9" spans="3:8" x14ac:dyDescent="0.25">
      <c r="C9" s="73" t="s">
        <v>109</v>
      </c>
      <c r="D9" s="124">
        <v>2</v>
      </c>
      <c r="E9" s="124">
        <v>0</v>
      </c>
      <c r="F9" s="125">
        <f t="shared" si="0"/>
        <v>1</v>
      </c>
      <c r="G9" s="126">
        <f t="shared" si="2"/>
        <v>0</v>
      </c>
      <c r="H9" s="74"/>
    </row>
    <row r="10" spans="3:8" x14ac:dyDescent="0.25">
      <c r="C10" s="73" t="s">
        <v>110</v>
      </c>
      <c r="D10" s="124">
        <v>2</v>
      </c>
      <c r="E10" s="124">
        <v>0</v>
      </c>
      <c r="F10" s="125">
        <f t="shared" si="0"/>
        <v>1</v>
      </c>
      <c r="G10" s="126">
        <f t="shared" si="2"/>
        <v>0</v>
      </c>
      <c r="H10" s="74" t="s">
        <v>128</v>
      </c>
    </row>
    <row r="11" spans="3:8" x14ac:dyDescent="0.25">
      <c r="C11" s="73" t="s">
        <v>111</v>
      </c>
      <c r="D11" s="124">
        <v>1</v>
      </c>
      <c r="E11" s="124">
        <v>0</v>
      </c>
      <c r="F11" s="125">
        <f t="shared" si="0"/>
        <v>1</v>
      </c>
      <c r="G11" s="126">
        <f t="shared" si="2"/>
        <v>0</v>
      </c>
      <c r="H11" s="74"/>
    </row>
    <row r="12" spans="3:8" ht="30" x14ac:dyDescent="0.25">
      <c r="C12" s="123" t="s">
        <v>75</v>
      </c>
      <c r="D12" s="124">
        <v>6</v>
      </c>
      <c r="E12" s="124">
        <v>0</v>
      </c>
      <c r="F12" s="125">
        <f t="shared" si="0"/>
        <v>1</v>
      </c>
      <c r="G12" s="126">
        <f t="shared" si="2"/>
        <v>0</v>
      </c>
      <c r="H12" s="74"/>
    </row>
    <row r="13" spans="3:8" x14ac:dyDescent="0.25">
      <c r="C13" s="73" t="s">
        <v>112</v>
      </c>
      <c r="D13" s="124">
        <v>3</v>
      </c>
      <c r="E13" s="124">
        <v>0</v>
      </c>
      <c r="F13" s="125">
        <f t="shared" si="0"/>
        <v>1</v>
      </c>
      <c r="G13" s="126">
        <f t="shared" si="2"/>
        <v>0</v>
      </c>
      <c r="H13" s="74"/>
    </row>
    <row r="14" spans="3:8" ht="15.75" thickBot="1" x14ac:dyDescent="0.3">
      <c r="C14" s="169" t="s">
        <v>113</v>
      </c>
      <c r="D14" s="170"/>
      <c r="E14" s="170"/>
      <c r="F14" s="121">
        <f>SUM(F5:F13)/9</f>
        <v>0.95661375661375658</v>
      </c>
      <c r="G14" s="121">
        <f>SUM(G5:G13)/8</f>
        <v>7.4404761904761901E-4</v>
      </c>
      <c r="H14" s="78"/>
    </row>
    <row r="16" spans="3:8" x14ac:dyDescent="0.25">
      <c r="C16" s="75" t="s">
        <v>114</v>
      </c>
      <c r="D16" s="76" t="s">
        <v>115</v>
      </c>
      <c r="E16" s="75" t="s">
        <v>116</v>
      </c>
    </row>
    <row r="17" spans="3:6" ht="30" x14ac:dyDescent="0.25">
      <c r="C17" s="79">
        <v>1</v>
      </c>
      <c r="D17" s="34" t="s">
        <v>117</v>
      </c>
      <c r="E17" s="77" t="s">
        <v>118</v>
      </c>
      <c r="F17" t="s">
        <v>80</v>
      </c>
    </row>
    <row r="18" spans="3:6" x14ac:dyDescent="0.25">
      <c r="C18" s="79">
        <v>2</v>
      </c>
      <c r="D18" s="34" t="s">
        <v>119</v>
      </c>
      <c r="E18" s="77" t="s">
        <v>120</v>
      </c>
    </row>
    <row r="19" spans="3:6" x14ac:dyDescent="0.25">
      <c r="C19" s="79">
        <v>3</v>
      </c>
      <c r="D19" s="77" t="s">
        <v>121</v>
      </c>
      <c r="E19" s="77" t="s">
        <v>122</v>
      </c>
    </row>
    <row r="20" spans="3:6" x14ac:dyDescent="0.25">
      <c r="C20" s="79">
        <v>4</v>
      </c>
      <c r="D20" s="77" t="s">
        <v>123</v>
      </c>
      <c r="E20" s="77" t="s">
        <v>124</v>
      </c>
    </row>
  </sheetData>
  <mergeCells count="2">
    <mergeCell ref="C3:H3"/>
    <mergeCell ref="C14:E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026E-B448-4F50-BF90-FF61CF6E32E1}">
  <dimension ref="F3:H34"/>
  <sheetViews>
    <sheetView topLeftCell="A16" workbookViewId="0">
      <selection activeCell="N35" sqref="N35"/>
    </sheetView>
  </sheetViews>
  <sheetFormatPr baseColWidth="10" defaultColWidth="9.140625" defaultRowHeight="15" x14ac:dyDescent="0.25"/>
  <cols>
    <col min="8" max="8" width="17" customWidth="1"/>
  </cols>
  <sheetData>
    <row r="3" spans="6:8" ht="15.75" thickBot="1" x14ac:dyDescent="0.3"/>
    <row r="4" spans="6:8" ht="30" customHeight="1" thickBot="1" x14ac:dyDescent="0.3">
      <c r="F4" s="171" t="s">
        <v>19</v>
      </c>
      <c r="G4" s="172"/>
      <c r="H4" s="173"/>
    </row>
    <row r="5" spans="6:8" ht="15.75" thickBot="1" x14ac:dyDescent="0.3">
      <c r="F5" s="53" t="s">
        <v>95</v>
      </c>
      <c r="G5" s="54" t="s">
        <v>93</v>
      </c>
      <c r="H5" s="55" t="s">
        <v>94</v>
      </c>
    </row>
    <row r="6" spans="6:8" ht="15.75" thickBot="1" x14ac:dyDescent="0.3">
      <c r="F6" s="51">
        <v>45658</v>
      </c>
      <c r="G6" s="52" t="s">
        <v>21</v>
      </c>
      <c r="H6" s="56">
        <v>0.93610000000000004</v>
      </c>
    </row>
    <row r="7" spans="6:8" ht="15.75" thickBot="1" x14ac:dyDescent="0.3">
      <c r="F7" s="49">
        <v>45689</v>
      </c>
      <c r="G7" s="52" t="s">
        <v>21</v>
      </c>
      <c r="H7" s="57">
        <v>0.93610000000000004</v>
      </c>
    </row>
    <row r="8" spans="6:8" ht="15.75" thickBot="1" x14ac:dyDescent="0.3">
      <c r="F8" s="51">
        <v>45717</v>
      </c>
      <c r="G8" s="52" t="s">
        <v>21</v>
      </c>
      <c r="H8" s="58">
        <v>0.95830000000000004</v>
      </c>
    </row>
    <row r="9" spans="6:8" ht="15.75" thickBot="1" x14ac:dyDescent="0.3">
      <c r="F9" s="51">
        <v>45748</v>
      </c>
      <c r="G9" s="52" t="s">
        <v>21</v>
      </c>
      <c r="H9" s="58">
        <v>0.95830000000000004</v>
      </c>
    </row>
    <row r="10" spans="6:8" ht="15.75" thickBot="1" x14ac:dyDescent="0.3">
      <c r="F10" s="50">
        <v>45778</v>
      </c>
      <c r="G10" s="52" t="s">
        <v>21</v>
      </c>
      <c r="H10" s="59">
        <v>0.9486</v>
      </c>
    </row>
    <row r="11" spans="6:8" ht="15.75" thickBot="1" x14ac:dyDescent="0.3">
      <c r="F11" s="50">
        <v>45809</v>
      </c>
      <c r="G11" s="52" t="s">
        <v>21</v>
      </c>
      <c r="H11" s="56">
        <v>0.95829999999999993</v>
      </c>
    </row>
    <row r="12" spans="6:8" ht="15.75" thickBot="1" x14ac:dyDescent="0.3">
      <c r="F12" s="50">
        <v>45839</v>
      </c>
      <c r="G12" s="52" t="s">
        <v>21</v>
      </c>
      <c r="H12" s="56">
        <v>0.92390000000000005</v>
      </c>
    </row>
    <row r="21" spans="6:8" ht="15.75" thickBot="1" x14ac:dyDescent="0.3"/>
    <row r="22" spans="6:8" ht="15.75" thickBot="1" x14ac:dyDescent="0.3">
      <c r="F22" s="171" t="s">
        <v>19</v>
      </c>
      <c r="G22" s="172"/>
      <c r="H22" s="173"/>
    </row>
    <row r="23" spans="6:8" ht="15.75" thickBot="1" x14ac:dyDescent="0.3">
      <c r="F23" s="53" t="s">
        <v>127</v>
      </c>
      <c r="G23" s="54" t="s">
        <v>93</v>
      </c>
      <c r="H23" s="55" t="s">
        <v>94</v>
      </c>
    </row>
    <row r="24" spans="6:8" ht="15.75" thickBot="1" x14ac:dyDescent="0.3">
      <c r="F24" s="51">
        <v>45658</v>
      </c>
      <c r="G24" s="52" t="s">
        <v>21</v>
      </c>
      <c r="H24" s="58">
        <v>0.93610000000000004</v>
      </c>
    </row>
    <row r="25" spans="6:8" ht="15.75" thickBot="1" x14ac:dyDescent="0.3">
      <c r="F25" s="51">
        <v>45689</v>
      </c>
      <c r="G25" s="52" t="s">
        <v>21</v>
      </c>
      <c r="H25" s="58">
        <v>0.93610000000000004</v>
      </c>
    </row>
    <row r="26" spans="6:8" ht="15.75" thickBot="1" x14ac:dyDescent="0.3">
      <c r="F26" s="51">
        <v>45717</v>
      </c>
      <c r="G26" s="52" t="s">
        <v>21</v>
      </c>
      <c r="H26" s="58">
        <v>0.95830000000000004</v>
      </c>
    </row>
    <row r="27" spans="6:8" ht="15.75" thickBot="1" x14ac:dyDescent="0.3">
      <c r="F27" s="51">
        <v>45748</v>
      </c>
      <c r="G27" s="52" t="s">
        <v>21</v>
      </c>
      <c r="H27" s="58">
        <v>0.95830000000000004</v>
      </c>
    </row>
    <row r="28" spans="6:8" ht="15.75" thickBot="1" x14ac:dyDescent="0.3">
      <c r="F28" s="51">
        <v>45778</v>
      </c>
      <c r="G28" s="52" t="s">
        <v>21</v>
      </c>
      <c r="H28" s="58">
        <v>0.9496</v>
      </c>
    </row>
    <row r="29" spans="6:8" ht="15.75" thickBot="1" x14ac:dyDescent="0.3">
      <c r="F29" s="51">
        <v>45809</v>
      </c>
      <c r="G29" s="52" t="s">
        <v>21</v>
      </c>
      <c r="H29" s="58">
        <v>0.95830000000000004</v>
      </c>
    </row>
    <row r="30" spans="6:8" ht="15.75" thickBot="1" x14ac:dyDescent="0.3">
      <c r="F30" s="51">
        <v>45839</v>
      </c>
      <c r="G30" s="52" t="s">
        <v>21</v>
      </c>
      <c r="H30" s="58">
        <v>0.97499999999999998</v>
      </c>
    </row>
    <row r="31" spans="6:8" ht="15.75" thickBot="1" x14ac:dyDescent="0.3">
      <c r="F31" s="51">
        <v>45870</v>
      </c>
      <c r="G31" s="52" t="s">
        <v>21</v>
      </c>
      <c r="H31" s="58">
        <v>0.94159999999999999</v>
      </c>
    </row>
    <row r="32" spans="6:8" ht="15.75" thickBot="1" x14ac:dyDescent="0.3">
      <c r="F32" s="51">
        <v>45901</v>
      </c>
      <c r="G32" s="52" t="s">
        <v>21</v>
      </c>
      <c r="H32" s="58">
        <v>0.87080000000000002</v>
      </c>
    </row>
    <row r="33" spans="6:8" ht="15.75" thickBot="1" x14ac:dyDescent="0.3">
      <c r="F33" s="51" t="s">
        <v>140</v>
      </c>
      <c r="G33" s="52" t="s">
        <v>21</v>
      </c>
      <c r="H33" s="58">
        <v>0.9778</v>
      </c>
    </row>
    <row r="34" spans="6:8" ht="15.75" thickBot="1" x14ac:dyDescent="0.3">
      <c r="F34" s="51" t="s">
        <v>141</v>
      </c>
      <c r="G34" s="52" t="s">
        <v>21</v>
      </c>
      <c r="H34" s="58">
        <v>0.9778</v>
      </c>
    </row>
  </sheetData>
  <mergeCells count="2">
    <mergeCell ref="F4:H4"/>
    <mergeCell ref="F22:H22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MONTHY PERFORMANCE TRACKER</vt:lpstr>
      <vt:lpstr>Sheet2</vt:lpstr>
      <vt:lpstr>Sheet4</vt:lpstr>
      <vt:lpstr>Sheet3</vt:lpstr>
      <vt:lpstr>Availability report</vt:lpstr>
      <vt:lpstr>Availabbility of October 2025</vt:lpstr>
      <vt:lpstr>Availabbility of september 2025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AKEEM</dc:creator>
  <cp:lastModifiedBy>TJAHE STAN</cp:lastModifiedBy>
  <cp:lastPrinted>2025-09-08T09:06:19Z</cp:lastPrinted>
  <dcterms:created xsi:type="dcterms:W3CDTF">2025-03-24T17:00:07Z</dcterms:created>
  <dcterms:modified xsi:type="dcterms:W3CDTF">2025-11-17T14:43:51Z</dcterms:modified>
</cp:coreProperties>
</file>