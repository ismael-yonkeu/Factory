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atio\"/>
    </mc:Choice>
  </mc:AlternateContent>
  <xr:revisionPtr revIDLastSave="0" documentId="13_ncr:1_{2E2BA02B-FE89-4AEA-8155-031B6BDEF9F9}" xr6:coauthVersionLast="47" xr6:coauthVersionMax="47" xr10:uidLastSave="{00000000-0000-0000-0000-000000000000}"/>
  <bookViews>
    <workbookView xWindow="-120" yWindow="-120" windowWidth="20730" windowHeight="11160" xr2:uid="{51DBE982-C10F-4573-906E-D922856CAA1F}"/>
  </bookViews>
  <sheets>
    <sheet name="U.Ratio" sheetId="3" r:id="rId1"/>
    <sheet name="Feuil1" sheetId="8" r:id="rId2"/>
    <sheet name="Feuil2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18" i="3" l="1"/>
  <c r="AN18" i="3"/>
  <c r="AO18" i="3"/>
  <c r="AP18" i="3"/>
  <c r="AM24" i="3"/>
  <c r="AN24" i="3"/>
  <c r="AO24" i="3"/>
  <c r="AP24" i="3"/>
  <c r="AM25" i="3"/>
  <c r="AN25" i="3"/>
  <c r="AO25" i="3"/>
  <c r="AP25" i="3"/>
  <c r="AM26" i="3"/>
  <c r="AN26" i="3"/>
  <c r="AO26" i="3"/>
  <c r="AP26" i="3"/>
  <c r="AM29" i="3"/>
  <c r="AN29" i="3"/>
  <c r="AO29" i="3"/>
  <c r="AP29" i="3"/>
  <c r="AM32" i="3"/>
  <c r="AN32" i="3"/>
  <c r="AO32" i="3"/>
  <c r="AP32" i="3"/>
  <c r="AM36" i="3"/>
  <c r="AM31" i="3" s="1"/>
  <c r="AN36" i="3"/>
  <c r="AN31" i="3" s="1"/>
  <c r="AO36" i="3"/>
  <c r="AO57" i="3" s="1"/>
  <c r="AP36" i="3"/>
  <c r="AP57" i="3" s="1"/>
  <c r="AN57" i="3"/>
  <c r="AN58" i="3"/>
  <c r="AO58" i="3"/>
  <c r="AL18" i="3"/>
  <c r="AL24" i="3"/>
  <c r="AL25" i="3"/>
  <c r="AL26" i="3"/>
  <c r="AL29" i="3"/>
  <c r="AL32" i="3"/>
  <c r="AL36" i="3"/>
  <c r="AL58" i="3" s="1"/>
  <c r="AI18" i="3"/>
  <c r="AM57" i="3" l="1"/>
  <c r="AL31" i="3"/>
  <c r="AL57" i="3"/>
  <c r="AP58" i="3"/>
  <c r="AP31" i="3"/>
  <c r="AO31" i="3"/>
  <c r="AM58" i="3"/>
  <c r="AI32" i="3"/>
  <c r="AK18" i="3" l="1"/>
  <c r="AK24" i="3"/>
  <c r="AK25" i="3"/>
  <c r="AK26" i="3"/>
  <c r="AK29" i="3"/>
  <c r="AK32" i="3"/>
  <c r="AK36" i="3"/>
  <c r="AK58" i="3" s="1"/>
  <c r="AH18" i="3"/>
  <c r="AJ18" i="3"/>
  <c r="AH24" i="3"/>
  <c r="AI24" i="3"/>
  <c r="AJ24" i="3"/>
  <c r="AH25" i="3"/>
  <c r="AI25" i="3"/>
  <c r="AJ25" i="3"/>
  <c r="AH26" i="3"/>
  <c r="AI26" i="3"/>
  <c r="AJ26" i="3"/>
  <c r="AH29" i="3"/>
  <c r="AI29" i="3"/>
  <c r="AJ29" i="3"/>
  <c r="AH32" i="3"/>
  <c r="AJ32" i="3"/>
  <c r="AH36" i="3"/>
  <c r="AH57" i="3" s="1"/>
  <c r="AI36" i="3"/>
  <c r="AI31" i="3" s="1"/>
  <c r="AJ36" i="3"/>
  <c r="AJ57" i="3" s="1"/>
  <c r="AJ58" i="3" l="1"/>
  <c r="AJ31" i="3"/>
  <c r="AI57" i="3"/>
  <c r="AK31" i="3"/>
  <c r="AK57" i="3"/>
  <c r="AH31" i="3"/>
  <c r="AI58" i="3"/>
  <c r="AH58" i="3"/>
  <c r="AF18" i="3" l="1"/>
  <c r="AG18" i="3"/>
  <c r="AF24" i="3"/>
  <c r="AG24" i="3"/>
  <c r="AF25" i="3"/>
  <c r="AG25" i="3"/>
  <c r="AF26" i="3"/>
  <c r="AG26" i="3"/>
  <c r="AF29" i="3"/>
  <c r="AG29" i="3"/>
  <c r="AF32" i="3"/>
  <c r="AG32" i="3"/>
  <c r="AF36" i="3"/>
  <c r="AF31" i="3" s="1"/>
  <c r="AG36" i="3"/>
  <c r="AG31" i="3" s="1"/>
  <c r="AE26" i="3"/>
  <c r="AE25" i="3"/>
  <c r="AE31" i="3"/>
  <c r="AE32" i="3"/>
  <c r="AE29" i="3"/>
  <c r="AE24" i="3"/>
  <c r="AE57" i="3"/>
  <c r="AE58" i="3"/>
  <c r="AE36" i="3"/>
  <c r="AG57" i="3" l="1"/>
  <c r="AF57" i="3"/>
  <c r="AG58" i="3"/>
  <c r="AF58" i="3"/>
  <c r="AE18" i="3"/>
  <c r="AA25" i="3"/>
  <c r="AC25" i="3"/>
  <c r="AD25" i="3"/>
  <c r="AD18" i="3"/>
  <c r="AD36" i="3" l="1"/>
  <c r="AD31" i="3" s="1"/>
  <c r="AD32" i="3"/>
  <c r="AD58" i="3"/>
  <c r="AD24" i="3"/>
  <c r="AD26" i="3"/>
  <c r="AD29" i="3"/>
  <c r="AB36" i="3"/>
  <c r="AB31" i="3" s="1"/>
  <c r="AC36" i="3"/>
  <c r="AC31" i="3" s="1"/>
  <c r="AB32" i="3"/>
  <c r="AC32" i="3"/>
  <c r="AB29" i="3"/>
  <c r="AC29" i="3"/>
  <c r="AB26" i="3"/>
  <c r="AC26" i="3"/>
  <c r="AB25" i="3"/>
  <c r="AB24" i="3"/>
  <c r="AC24" i="3"/>
  <c r="AB18" i="3"/>
  <c r="AC18" i="3"/>
  <c r="AB58" i="3" l="1"/>
  <c r="AD57" i="3"/>
  <c r="AC57" i="3"/>
  <c r="AB57" i="3"/>
  <c r="AC58" i="3"/>
  <c r="AB19" i="3"/>
  <c r="Z36" i="3"/>
  <c r="AA36" i="3"/>
  <c r="AA18" i="3"/>
  <c r="Z18" i="3"/>
  <c r="AA57" i="3" l="1"/>
  <c r="AA58" i="3"/>
  <c r="Z31" i="3"/>
  <c r="Z57" i="3"/>
  <c r="Z58" i="3"/>
  <c r="AA31" i="3"/>
  <c r="AA32" i="3"/>
  <c r="Z32" i="3"/>
  <c r="AA29" i="3"/>
  <c r="Z29" i="3"/>
  <c r="AA26" i="3"/>
  <c r="Z26" i="3"/>
  <c r="Z25" i="3"/>
  <c r="AA24" i="3"/>
  <c r="Z24" i="3"/>
  <c r="Y24" i="3"/>
  <c r="Y18" i="3"/>
  <c r="Y25" i="3"/>
  <c r="Y26" i="3"/>
  <c r="Y29" i="3"/>
  <c r="Y32" i="3"/>
  <c r="Y36" i="3"/>
  <c r="X36" i="3"/>
  <c r="X18" i="3"/>
  <c r="X24" i="3"/>
  <c r="X25" i="3"/>
  <c r="X26" i="3"/>
  <c r="X29" i="3"/>
  <c r="X32" i="3"/>
  <c r="W32" i="3"/>
  <c r="V32" i="3"/>
  <c r="W29" i="3"/>
  <c r="W26" i="3"/>
  <c r="W25" i="3"/>
  <c r="W24" i="3"/>
  <c r="W36" i="3"/>
  <c r="U18" i="3"/>
  <c r="V18" i="3"/>
  <c r="W18" i="3"/>
  <c r="U25" i="3"/>
  <c r="T18" i="3"/>
  <c r="V25" i="3"/>
  <c r="U26" i="3"/>
  <c r="V26" i="3"/>
  <c r="U29" i="3"/>
  <c r="V29" i="3"/>
  <c r="U36" i="3"/>
  <c r="V36" i="3"/>
  <c r="U32" i="3"/>
  <c r="U24" i="3"/>
  <c r="V24" i="3"/>
  <c r="R29" i="3"/>
  <c r="S29" i="3"/>
  <c r="T29" i="3"/>
  <c r="S19" i="3"/>
  <c r="R19" i="3"/>
  <c r="S18" i="3"/>
  <c r="R18" i="3"/>
  <c r="K36" i="3"/>
  <c r="J36" i="3"/>
  <c r="I36" i="3"/>
  <c r="I58" i="3" s="1"/>
  <c r="H36" i="3"/>
  <c r="G36" i="3"/>
  <c r="K32" i="3"/>
  <c r="J32" i="3"/>
  <c r="I32" i="3"/>
  <c r="H32" i="3"/>
  <c r="G32" i="3"/>
  <c r="G29" i="3"/>
  <c r="K26" i="3"/>
  <c r="J26" i="3"/>
  <c r="I26" i="3"/>
  <c r="H26" i="3"/>
  <c r="G26" i="3"/>
  <c r="K25" i="3"/>
  <c r="J25" i="3"/>
  <c r="I25" i="3"/>
  <c r="H25" i="3"/>
  <c r="K24" i="3"/>
  <c r="J24" i="3"/>
  <c r="I24" i="3"/>
  <c r="H24" i="3"/>
  <c r="G24" i="3"/>
  <c r="T36" i="3"/>
  <c r="S36" i="3"/>
  <c r="R36" i="3"/>
  <c r="Q36" i="3"/>
  <c r="T32" i="3"/>
  <c r="S32" i="3"/>
  <c r="R32" i="3"/>
  <c r="Q32" i="3"/>
  <c r="Q29" i="3"/>
  <c r="T26" i="3"/>
  <c r="S26" i="3"/>
  <c r="R26" i="3"/>
  <c r="Q26" i="3"/>
  <c r="T25" i="3"/>
  <c r="S25" i="3"/>
  <c r="R25" i="3"/>
  <c r="Q25" i="3"/>
  <c r="T24" i="3"/>
  <c r="S24" i="3"/>
  <c r="R24" i="3"/>
  <c r="Q24" i="3"/>
  <c r="Q18" i="3"/>
  <c r="L24" i="3"/>
  <c r="P25" i="3"/>
  <c r="P18" i="3"/>
  <c r="P29" i="3"/>
  <c r="O29" i="3"/>
  <c r="N29" i="3"/>
  <c r="O24" i="3"/>
  <c r="O25" i="3"/>
  <c r="O26" i="3"/>
  <c r="O32" i="3"/>
  <c r="O36" i="3"/>
  <c r="O31" i="3"/>
  <c r="O18" i="3"/>
  <c r="N32" i="3"/>
  <c r="N26" i="3"/>
  <c r="N25" i="3"/>
  <c r="N18" i="3"/>
  <c r="N36" i="3"/>
  <c r="N24" i="3"/>
  <c r="L25" i="3"/>
  <c r="M32" i="3"/>
  <c r="M36" i="3"/>
  <c r="M25" i="3"/>
  <c r="L36" i="3"/>
  <c r="L57" i="3" s="1"/>
  <c r="M18" i="3"/>
  <c r="L18" i="3"/>
  <c r="P36" i="3"/>
  <c r="P32" i="3"/>
  <c r="L32" i="3"/>
  <c r="M29" i="3"/>
  <c r="L29" i="3"/>
  <c r="P26" i="3"/>
  <c r="M26" i="3"/>
  <c r="L26" i="3"/>
  <c r="P24" i="3"/>
  <c r="M24" i="3"/>
  <c r="U58" i="3" l="1"/>
  <c r="U57" i="3"/>
  <c r="Y57" i="3"/>
  <c r="Y58" i="3"/>
  <c r="S57" i="3"/>
  <c r="S58" i="3"/>
  <c r="V58" i="3"/>
  <c r="V57" i="3"/>
  <c r="Q57" i="3"/>
  <c r="Q58" i="3"/>
  <c r="R57" i="3"/>
  <c r="R58" i="3"/>
  <c r="T31" i="3"/>
  <c r="T58" i="3"/>
  <c r="T57" i="3"/>
  <c r="W58" i="3"/>
  <c r="W57" i="3"/>
  <c r="X58" i="3"/>
  <c r="X57" i="3"/>
  <c r="V31" i="3"/>
  <c r="Y31" i="3"/>
  <c r="X31" i="3"/>
  <c r="W31" i="3"/>
  <c r="U31" i="3"/>
  <c r="S31" i="3"/>
  <c r="H58" i="3"/>
  <c r="I57" i="3"/>
  <c r="L58" i="3"/>
  <c r="I31" i="3"/>
  <c r="J58" i="3"/>
  <c r="O57" i="3"/>
  <c r="K58" i="3"/>
  <c r="N58" i="3"/>
  <c r="Q31" i="3"/>
  <c r="M58" i="3"/>
  <c r="P31" i="3"/>
  <c r="R31" i="3"/>
  <c r="G31" i="3"/>
  <c r="K31" i="3"/>
  <c r="J31" i="3"/>
  <c r="J57" i="3"/>
  <c r="O58" i="3"/>
  <c r="M57" i="3"/>
  <c r="P58" i="3"/>
  <c r="M31" i="3"/>
  <c r="H57" i="3"/>
  <c r="L31" i="3"/>
  <c r="H31" i="3"/>
  <c r="G57" i="3"/>
  <c r="K57" i="3"/>
  <c r="N31" i="3"/>
  <c r="G58" i="3"/>
  <c r="N57" i="3"/>
  <c r="P5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IBRAHIM AKEEM OSAMWONYI</author>
    <author>TJAHE STAN</author>
  </authors>
  <commentList>
    <comment ref="N12" authorId="0" shapeId="0" xr:uid="{012DADD5-1F35-4D1C-ACC8-FAAE17DE536E}">
      <text>
        <r>
          <rPr>
            <b/>
            <sz val="9"/>
            <color indexed="81"/>
            <rFont val="Tahoma"/>
            <family val="2"/>
          </rPr>
          <t>IBRAHIM AKEEM OSAMWONYI: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5" authorId="1" shapeId="0" xr:uid="{D2916E06-BA26-40AD-90F2-F601A9F8FBE5}">
      <text>
        <r>
          <rPr>
            <b/>
            <sz val="9"/>
            <color indexed="81"/>
            <rFont val="Tahoma"/>
            <family val="2"/>
          </rPr>
          <t>TJAHE STAN:</t>
        </r>
        <r>
          <rPr>
            <sz val="9"/>
            <color indexed="81"/>
            <rFont val="Tahoma"/>
            <family val="2"/>
          </rPr>
          <t xml:space="preserve">
The generators were running these 
period without any load</t>
        </r>
      </text>
    </comment>
    <comment ref="AD25" authorId="1" shapeId="0" xr:uid="{FCEC14FC-B7B3-4D50-99BD-7C3B87558B6B}">
      <text>
        <r>
          <rPr>
            <b/>
            <sz val="9"/>
            <color indexed="81"/>
            <rFont val="Tahoma"/>
            <family val="2"/>
          </rPr>
          <t>TJAHE STAN:</t>
        </r>
        <r>
          <rPr>
            <sz val="9"/>
            <color indexed="81"/>
            <rFont val="Tahoma"/>
            <family val="2"/>
          </rPr>
          <t xml:space="preserve">
The generators were running these 
period without any load
</t>
        </r>
      </text>
    </comment>
    <comment ref="Z31" authorId="1" shapeId="0" xr:uid="{218AD2E4-6724-4C49-BBBE-B446CD3D216D}">
      <text>
        <r>
          <rPr>
            <b/>
            <sz val="9"/>
            <color indexed="81"/>
            <rFont val="Tahoma"/>
            <family val="2"/>
          </rPr>
          <t>TJAHE STAN:</t>
        </r>
        <r>
          <rPr>
            <sz val="9"/>
            <color indexed="81"/>
            <rFont val="Tahoma"/>
            <family val="2"/>
          </rPr>
          <t xml:space="preserve">
The generators were running these two period without any load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TJAHE STAN</author>
  </authors>
  <commentList>
    <comment ref="T18" authorId="0" shapeId="0" xr:uid="{9858E9AC-2405-49FB-B25E-FE5D60CA42F3}">
      <text>
        <r>
          <rPr>
            <b/>
            <sz val="9"/>
            <color indexed="81"/>
            <rFont val="Tahoma"/>
            <family val="2"/>
          </rPr>
          <t>TJAHE STAN:</t>
        </r>
        <r>
          <rPr>
            <sz val="9"/>
            <color indexed="81"/>
            <rFont val="Tahoma"/>
            <family val="2"/>
          </rPr>
          <t xml:space="preserve">
The generators were running these 
period without any load
</t>
        </r>
      </text>
    </comment>
  </commentList>
</comments>
</file>

<file path=xl/sharedStrings.xml><?xml version="1.0" encoding="utf-8"?>
<sst xmlns="http://schemas.openxmlformats.org/spreadsheetml/2006/main" count="434" uniqueCount="196">
  <si>
    <t>UOM</t>
  </si>
  <si>
    <t>Actual</t>
  </si>
  <si>
    <t>Safety</t>
  </si>
  <si>
    <t>Safety Incidents &amp; Observations (Behaviour, Hazards, etc)</t>
  </si>
  <si>
    <t>Weekly</t>
  </si>
  <si>
    <t>First Aid Incidents</t>
  </si>
  <si>
    <t>Safety incidence &amp; Observation</t>
  </si>
  <si>
    <t>Lost Time Accident</t>
  </si>
  <si>
    <t xml:space="preserve"> Efficiencies</t>
  </si>
  <si>
    <t>Steam Fuel Ratio (Boiler Sp.Consumption)</t>
  </si>
  <si>
    <t>&gt; 12</t>
  </si>
  <si>
    <t>Kg/M3</t>
  </si>
  <si>
    <t xml:space="preserve">m3/hl </t>
  </si>
  <si>
    <t>m3/kWh</t>
  </si>
  <si>
    <t>Refrigeration Electrical Energy Usage</t>
  </si>
  <si>
    <t xml:space="preserve">kWh/hl </t>
  </si>
  <si>
    <t>Site Energy Usage Ratio</t>
  </si>
  <si>
    <t>Site Water Usage Ratio</t>
  </si>
  <si>
    <t xml:space="preserve">hl/hl </t>
  </si>
  <si>
    <t>Condensate Usage Ratio</t>
  </si>
  <si>
    <t>%</t>
  </si>
  <si>
    <t>&gt;75</t>
  </si>
  <si>
    <t>Grid Usage (ENEO)</t>
  </si>
  <si>
    <t>kWh</t>
  </si>
  <si>
    <t>Diesel Geneator Generation</t>
  </si>
  <si>
    <t>Site Electrical Energy consumed (Grid + Diesel Gen)</t>
  </si>
  <si>
    <t>kWhr</t>
  </si>
  <si>
    <t>Gas Usage</t>
  </si>
  <si>
    <t>HFO Usage</t>
  </si>
  <si>
    <t>Litre</t>
  </si>
  <si>
    <t>Condensage Usage</t>
  </si>
  <si>
    <t>m3</t>
  </si>
  <si>
    <t>Make up usage</t>
  </si>
  <si>
    <t>Steam Generated</t>
  </si>
  <si>
    <t>tons</t>
  </si>
  <si>
    <t>Water Generated</t>
  </si>
  <si>
    <t>hl</t>
  </si>
  <si>
    <t>Production volume</t>
  </si>
  <si>
    <t>Utility OPL to packaging</t>
  </si>
  <si>
    <t>Utility OPL Brewing</t>
  </si>
  <si>
    <t>&gt; 95</t>
  </si>
  <si>
    <t>Preventive Maintenance Completion rate</t>
  </si>
  <si>
    <t>Average Weekly</t>
  </si>
  <si>
    <t>Corrective Maintenance Completion rate</t>
  </si>
  <si>
    <t>No of RCFA Completed</t>
  </si>
  <si>
    <t>No</t>
  </si>
  <si>
    <t>System Reliability</t>
  </si>
  <si>
    <t>Boiler Avilability</t>
  </si>
  <si>
    <t>Air Compressor Availability</t>
  </si>
  <si>
    <t>Cooling Plant Availability</t>
  </si>
  <si>
    <t>CO2 Plant Availability</t>
  </si>
  <si>
    <t>Water Treatment Plant Availability</t>
  </si>
  <si>
    <t>HFO ratio</t>
  </si>
  <si>
    <t>Gas ratio</t>
  </si>
  <si>
    <t>Cost</t>
  </si>
  <si>
    <t>Water unit cost</t>
  </si>
  <si>
    <t>m3/CFA</t>
  </si>
  <si>
    <t>kWh/CFA</t>
  </si>
  <si>
    <t>Steam Unit cost</t>
  </si>
  <si>
    <t>Tons/CFA</t>
  </si>
  <si>
    <t>Utility Cost Per Case</t>
  </si>
  <si>
    <t>CFA/phc</t>
  </si>
  <si>
    <t>Utility Cost (R &amp; M Absolute) [Chiller + Boiler + CO2 + Water + Air Comp]</t>
  </si>
  <si>
    <t>M.CFA</t>
  </si>
  <si>
    <t>People</t>
  </si>
  <si>
    <t>No of Vacancies-Utility FTE</t>
  </si>
  <si>
    <t>monthly</t>
  </si>
  <si>
    <t>Training plan vs completed</t>
  </si>
  <si>
    <t>GHK/5S score</t>
  </si>
  <si>
    <t>Date : 24th-30th March</t>
  </si>
  <si>
    <t>Date : 31th March-6th April</t>
  </si>
  <si>
    <t>Date : 7th April-13th April</t>
  </si>
  <si>
    <t>Date : 14th April-20th April</t>
  </si>
  <si>
    <t>Water Cost (Elect + Chm + RM)</t>
  </si>
  <si>
    <t>MCFA</t>
  </si>
  <si>
    <t>Steam Cost (Chm + Fuel + R &amp; M + Elect)</t>
  </si>
  <si>
    <t xml:space="preserve">Energy Cost </t>
  </si>
  <si>
    <t>Energy Unit Cost ( Eneo + R&amp;M DG + Fuel)</t>
  </si>
  <si>
    <t>Cooling  Cost (Elect + Chem + Water + R&amp;M cost)</t>
  </si>
  <si>
    <t>CO2 Cost (Water + Elect + R &amp; M)</t>
  </si>
  <si>
    <t>Air Generation Cost ( Elect + R &amp; M)</t>
  </si>
  <si>
    <t>Air Unit Cost</t>
  </si>
  <si>
    <t>97.9</t>
  </si>
  <si>
    <t>97.8</t>
  </si>
  <si>
    <t>Diesel Usage</t>
  </si>
  <si>
    <t>Ltr/kWh</t>
  </si>
  <si>
    <t>Generator Efficiency  (Specific Diesel Consumption)</t>
  </si>
  <si>
    <t>0.07</t>
  </si>
  <si>
    <t>Week 13</t>
  </si>
  <si>
    <t>Week 14</t>
  </si>
  <si>
    <t>Week 15</t>
  </si>
  <si>
    <t>Grid Usage ratio</t>
  </si>
  <si>
    <t>Diesel Generator Usage ratio</t>
  </si>
  <si>
    <t>Utility Equipment Availability</t>
  </si>
  <si>
    <t>hl/hl OF</t>
  </si>
  <si>
    <t>Boiler Efficiency (hl packed/hl boiler fuel)</t>
  </si>
  <si>
    <t>Air Generation Efficiency m3/kWh</t>
  </si>
  <si>
    <t>BFW make up/hl packed</t>
  </si>
  <si>
    <t>Air Generation kWh/hl packed</t>
  </si>
  <si>
    <t>UTILITY PERFORMANCE RATIO DASHBOARD</t>
  </si>
  <si>
    <t>CLASS</t>
  </si>
  <si>
    <t>INDICATOR</t>
  </si>
  <si>
    <t>FREQUENCY</t>
  </si>
  <si>
    <t>TARGET</t>
  </si>
  <si>
    <t>Week 12</t>
  </si>
  <si>
    <t>&gt; 70</t>
  </si>
  <si>
    <t>&lt; 30</t>
  </si>
  <si>
    <t>Boiler Usage Energy Mix</t>
  </si>
  <si>
    <t>SIO Closure Rate</t>
  </si>
  <si>
    <t>Preventive Schedule Compliance</t>
  </si>
  <si>
    <t>Week 16</t>
  </si>
  <si>
    <t>Week 17</t>
  </si>
  <si>
    <t>0.08</t>
  </si>
  <si>
    <t>97.10</t>
  </si>
  <si>
    <t>97.11</t>
  </si>
  <si>
    <t>Date : 21th April-27th April</t>
  </si>
  <si>
    <t>Date : 28th April-4th May</t>
  </si>
  <si>
    <t>0.5</t>
  </si>
  <si>
    <t>186414.544</t>
  </si>
  <si>
    <t>Steam produced</t>
  </si>
  <si>
    <t>Air Volume generated</t>
  </si>
  <si>
    <t>Delivery</t>
  </si>
  <si>
    <t>CO2 Generated</t>
  </si>
  <si>
    <t>Condensate Return Volume</t>
  </si>
  <si>
    <t>Week 18</t>
  </si>
  <si>
    <t>Week 19</t>
  </si>
  <si>
    <t>Week 21</t>
  </si>
  <si>
    <t>Date : 5th May-11th May</t>
  </si>
  <si>
    <t>Date : 12th May-18th May</t>
  </si>
  <si>
    <t>Date : 19th May-25th May</t>
  </si>
  <si>
    <t>Date : 26th May-1 June</t>
  </si>
  <si>
    <t>Date : 2th June -8th June</t>
  </si>
  <si>
    <t>Date : 9th June -15th June</t>
  </si>
  <si>
    <t>Week 24</t>
  </si>
  <si>
    <t>Week 23</t>
  </si>
  <si>
    <t>Week 22</t>
  </si>
  <si>
    <t>Week 25</t>
  </si>
  <si>
    <t>Week 26</t>
  </si>
  <si>
    <t>Date : 16th June-22th June</t>
  </si>
  <si>
    <t>Date : 23th June-29 th June</t>
  </si>
  <si>
    <t>Week 27</t>
  </si>
  <si>
    <t>Date : 30th Jue-6th July</t>
  </si>
  <si>
    <t>Week 28</t>
  </si>
  <si>
    <t>Week 29</t>
  </si>
  <si>
    <t>Date : 7 th July-13th July</t>
  </si>
  <si>
    <t>Date : 14 th July-20th July</t>
  </si>
  <si>
    <r>
      <rPr>
        <b/>
        <sz val="9"/>
        <color theme="1"/>
        <rFont val="Calibri"/>
        <family val="2"/>
      </rPr>
      <t xml:space="preserve">≤ </t>
    </r>
    <r>
      <rPr>
        <b/>
        <sz val="9"/>
        <color theme="1"/>
        <rFont val="Calibri"/>
        <family val="2"/>
        <scheme val="minor"/>
      </rPr>
      <t>0.24</t>
    </r>
  </si>
  <si>
    <t>Week 30</t>
  </si>
  <si>
    <t>Date : 21 th July-27th July</t>
  </si>
  <si>
    <t>Week 31</t>
  </si>
  <si>
    <t>Date : 28 th July-3th August</t>
  </si>
  <si>
    <t>Kg</t>
  </si>
  <si>
    <t>&gt; 90</t>
  </si>
  <si>
    <t>Week 32</t>
  </si>
  <si>
    <t>Week 33</t>
  </si>
  <si>
    <t>Date : 11th August-17th August</t>
  </si>
  <si>
    <t>Date :  04th August-10th August</t>
  </si>
  <si>
    <t>Week 34</t>
  </si>
  <si>
    <t>Week 35</t>
  </si>
  <si>
    <t>Date :  18th August-24th August</t>
  </si>
  <si>
    <t>Date : 25th August-31th August</t>
  </si>
  <si>
    <t>Week 36</t>
  </si>
  <si>
    <t>Week 37</t>
  </si>
  <si>
    <t>Date :  1th September-7th September</t>
  </si>
  <si>
    <t>Date :  8th September-14th September</t>
  </si>
  <si>
    <t>W32</t>
  </si>
  <si>
    <t>W33</t>
  </si>
  <si>
    <t>RATIO</t>
  </si>
  <si>
    <t>Power Gen Mix</t>
  </si>
  <si>
    <t>Week 38</t>
  </si>
  <si>
    <t>Week 39</t>
  </si>
  <si>
    <t>Date :  15th September-21th September</t>
  </si>
  <si>
    <t>Date :  22th September-28th September</t>
  </si>
  <si>
    <t>CO2 Production Ratio</t>
  </si>
  <si>
    <t>Kg/hr</t>
  </si>
  <si>
    <t>≥ 400</t>
  </si>
  <si>
    <t>W36</t>
  </si>
  <si>
    <t>W37</t>
  </si>
  <si>
    <t>Week 40</t>
  </si>
  <si>
    <t>Week 41</t>
  </si>
  <si>
    <t>Week 42</t>
  </si>
  <si>
    <t>Date :  29th September-5th October</t>
  </si>
  <si>
    <t>Date :  6th October-12th October</t>
  </si>
  <si>
    <t>Date :  13th October-19th October</t>
  </si>
  <si>
    <t>Week 43</t>
  </si>
  <si>
    <t>Date :  20th October-26th October</t>
  </si>
  <si>
    <t>Week 44</t>
  </si>
  <si>
    <t>Date :  27th October-2th November</t>
  </si>
  <si>
    <t>Week 45</t>
  </si>
  <si>
    <t>Week 46</t>
  </si>
  <si>
    <t>Week 47</t>
  </si>
  <si>
    <t>Week 48</t>
  </si>
  <si>
    <t>Date : 3th November-9th November</t>
  </si>
  <si>
    <t>Date : 10th November-16th November</t>
  </si>
  <si>
    <t>Date : 17th November-23th November</t>
  </si>
  <si>
    <t>Date : 24th November-30th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</si>
</sst>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5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 tint="4.9989318521683403E-2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3">
    <xf numFmtId="0" fontId="0" fillId="0" borderId="0" xfId="0"/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64" fontId="7" fillId="4" borderId="3" xfId="1" applyFont="1" applyFill="1" applyBorder="1" applyAlignment="1">
      <alignment horizontal="left" vertical="top"/>
    </xf>
    <xf numFmtId="4" fontId="7" fillId="4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/>
    </xf>
    <xf numFmtId="2" fontId="7" fillId="4" borderId="3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/>
    </xf>
    <xf numFmtId="0" fontId="9" fillId="4" borderId="7" xfId="0" applyFont="1" applyFill="1" applyBorder="1"/>
    <xf numFmtId="0" fontId="7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/>
    <xf numFmtId="0" fontId="7" fillId="5" borderId="10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9" fillId="6" borderId="1" xfId="0" applyFont="1" applyFill="1" applyBorder="1"/>
    <xf numFmtId="0" fontId="8" fillId="4" borderId="6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9" fillId="4" borderId="3" xfId="0" applyFont="1" applyFill="1" applyBorder="1"/>
    <xf numFmtId="0" fontId="7" fillId="4" borderId="6" xfId="0" applyFont="1" applyFill="1" applyBorder="1" applyAlignment="1">
      <alignment horizontal="center"/>
    </xf>
    <xf numFmtId="0" fontId="9" fillId="4" borderId="6" xfId="0" applyFont="1" applyFill="1" applyBorder="1"/>
    <xf numFmtId="2" fontId="7" fillId="4" borderId="1" xfId="0" applyNumberFormat="1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1" fontId="7" fillId="4" borderId="3" xfId="0" applyNumberFormat="1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2" fontId="7" fillId="4" borderId="4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/>
    </xf>
    <xf numFmtId="0" fontId="9" fillId="4" borderId="5" xfId="0" applyFont="1" applyFill="1" applyBorder="1"/>
    <xf numFmtId="2" fontId="7" fillId="4" borderId="1" xfId="0" applyNumberFormat="1" applyFont="1" applyFill="1" applyBorder="1" applyAlignment="1">
      <alignment horizontal="center"/>
    </xf>
    <xf numFmtId="2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4" borderId="4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2" fontId="7" fillId="4" borderId="1" xfId="1" applyNumberFormat="1" applyFont="1" applyFill="1" applyBorder="1" applyAlignment="1">
      <alignment horizontal="center" vertical="top"/>
    </xf>
    <xf numFmtId="0" fontId="7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left" vertical="center"/>
    </xf>
    <xf numFmtId="2" fontId="6" fillId="4" borderId="23" xfId="0" applyNumberFormat="1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left" vertical="center"/>
    </xf>
    <xf numFmtId="2" fontId="7" fillId="4" borderId="14" xfId="0" applyNumberFormat="1" applyFont="1" applyFill="1" applyBorder="1" applyAlignment="1">
      <alignment horizontal="center" vertical="center"/>
    </xf>
    <xf numFmtId="165" fontId="7" fillId="4" borderId="14" xfId="0" applyNumberFormat="1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left" vertical="center"/>
    </xf>
    <xf numFmtId="0" fontId="7" fillId="4" borderId="25" xfId="0" applyFont="1" applyFill="1" applyBorder="1" applyAlignment="1">
      <alignment horizontal="center" vertical="center"/>
    </xf>
    <xf numFmtId="2" fontId="7" fillId="4" borderId="25" xfId="0" applyNumberFormat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left"/>
    </xf>
    <xf numFmtId="0" fontId="7" fillId="4" borderId="14" xfId="0" applyFont="1" applyFill="1" applyBorder="1" applyAlignment="1">
      <alignment horizontal="center" vertical="center"/>
    </xf>
    <xf numFmtId="0" fontId="7" fillId="3" borderId="11" xfId="0" applyFont="1" applyFill="1" applyBorder="1"/>
    <xf numFmtId="0" fontId="7" fillId="3" borderId="21" xfId="0" applyFont="1" applyFill="1" applyBorder="1" applyAlignment="1">
      <alignment horizontal="left"/>
    </xf>
    <xf numFmtId="0" fontId="6" fillId="4" borderId="18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left"/>
    </xf>
    <xf numFmtId="0" fontId="7" fillId="3" borderId="24" xfId="0" applyFont="1" applyFill="1" applyBorder="1" applyAlignment="1">
      <alignment horizontal="left"/>
    </xf>
    <xf numFmtId="2" fontId="7" fillId="4" borderId="14" xfId="0" applyNumberFormat="1" applyFont="1" applyFill="1" applyBorder="1" applyAlignment="1">
      <alignment horizontal="center"/>
    </xf>
    <xf numFmtId="0" fontId="9" fillId="6" borderId="14" xfId="0" applyFont="1" applyFill="1" applyBorder="1"/>
    <xf numFmtId="0" fontId="7" fillId="4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left"/>
    </xf>
    <xf numFmtId="1" fontId="7" fillId="4" borderId="14" xfId="0" applyNumberFormat="1" applyFont="1" applyFill="1" applyBorder="1" applyAlignment="1">
      <alignment horizontal="center"/>
    </xf>
    <xf numFmtId="0" fontId="7" fillId="7" borderId="21" xfId="0" applyFont="1" applyFill="1" applyBorder="1" applyAlignment="1">
      <alignment horizontal="left"/>
    </xf>
    <xf numFmtId="0" fontId="9" fillId="4" borderId="18" xfId="0" applyFont="1" applyFill="1" applyBorder="1"/>
    <xf numFmtId="0" fontId="9" fillId="4" borderId="13" xfId="0" applyFont="1" applyFill="1" applyBorder="1"/>
    <xf numFmtId="0" fontId="7" fillId="7" borderId="11" xfId="0" applyFont="1" applyFill="1" applyBorder="1" applyAlignment="1">
      <alignment horizontal="left"/>
    </xf>
    <xf numFmtId="0" fontId="9" fillId="4" borderId="14" xfId="0" applyFont="1" applyFill="1" applyBorder="1"/>
    <xf numFmtId="0" fontId="9" fillId="4" borderId="25" xfId="0" applyFont="1" applyFill="1" applyBorder="1"/>
    <xf numFmtId="0" fontId="7" fillId="7" borderId="15" xfId="0" applyFont="1" applyFill="1" applyBorder="1" applyAlignment="1">
      <alignment horizontal="left"/>
    </xf>
    <xf numFmtId="0" fontId="9" fillId="4" borderId="16" xfId="0" applyFont="1" applyFill="1" applyBorder="1"/>
    <xf numFmtId="0" fontId="7" fillId="4" borderId="18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2" fontId="11" fillId="4" borderId="4" xfId="0" applyNumberFormat="1" applyFont="1" applyFill="1" applyBorder="1" applyAlignment="1">
      <alignment horizontal="center" vertical="center"/>
    </xf>
    <xf numFmtId="2" fontId="11" fillId="4" borderId="1" xfId="1" applyNumberFormat="1" applyFont="1" applyFill="1" applyBorder="1" applyAlignment="1">
      <alignment horizontal="center" vertical="top"/>
    </xf>
    <xf numFmtId="2" fontId="11" fillId="4" borderId="14" xfId="0" applyNumberFormat="1" applyFont="1" applyFill="1" applyBorder="1" applyAlignment="1">
      <alignment horizontal="center" vertical="center"/>
    </xf>
    <xf numFmtId="2" fontId="11" fillId="4" borderId="23" xfId="0" applyNumberFormat="1" applyFont="1" applyFill="1" applyBorder="1" applyAlignment="1">
      <alignment horizontal="center" vertical="center"/>
    </xf>
    <xf numFmtId="2" fontId="12" fillId="4" borderId="2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3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5" fillId="0" borderId="13" xfId="0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2" fontId="12" fillId="4" borderId="9" xfId="0" applyNumberFormat="1" applyFont="1" applyFill="1" applyBorder="1" applyAlignment="1">
      <alignment horizontal="center" vertical="center"/>
    </xf>
    <xf numFmtId="2" fontId="11" fillId="4" borderId="34" xfId="0" applyNumberFormat="1" applyFont="1" applyFill="1" applyBorder="1" applyAlignment="1">
      <alignment horizontal="center" vertical="center"/>
    </xf>
    <xf numFmtId="165" fontId="7" fillId="4" borderId="34" xfId="0" applyNumberFormat="1" applyFont="1" applyFill="1" applyBorder="1" applyAlignment="1">
      <alignment horizontal="center" vertical="center"/>
    </xf>
    <xf numFmtId="2" fontId="12" fillId="4" borderId="35" xfId="0" applyNumberFormat="1" applyFont="1" applyFill="1" applyBorder="1" applyAlignment="1">
      <alignment horizontal="center" vertical="center"/>
    </xf>
    <xf numFmtId="2" fontId="7" fillId="4" borderId="36" xfId="0" applyNumberFormat="1" applyFont="1" applyFill="1" applyBorder="1" applyAlignment="1">
      <alignment horizontal="center" vertical="center"/>
    </xf>
    <xf numFmtId="165" fontId="7" fillId="4" borderId="36" xfId="0" applyNumberFormat="1" applyFont="1" applyFill="1" applyBorder="1" applyAlignment="1">
      <alignment horizontal="center" vertical="center"/>
    </xf>
    <xf numFmtId="165" fontId="7" fillId="4" borderId="26" xfId="0" applyNumberFormat="1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2" fontId="7" fillId="4" borderId="41" xfId="0" applyNumberFormat="1" applyFont="1" applyFill="1" applyBorder="1" applyAlignment="1">
      <alignment horizontal="center" vertical="center"/>
    </xf>
    <xf numFmtId="4" fontId="7" fillId="4" borderId="40" xfId="0" applyNumberFormat="1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2" fontId="12" fillId="4" borderId="5" xfId="0" applyNumberFormat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2" fontId="11" fillId="4" borderId="36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2" fontId="12" fillId="4" borderId="0" xfId="0" applyNumberFormat="1" applyFont="1" applyFill="1" applyAlignment="1">
      <alignment horizontal="center" vertical="center"/>
    </xf>
    <xf numFmtId="165" fontId="7" fillId="4" borderId="48" xfId="0" applyNumberFormat="1" applyFont="1" applyFill="1" applyBorder="1" applyAlignment="1">
      <alignment horizontal="center" vertical="center"/>
    </xf>
    <xf numFmtId="2" fontId="11" fillId="4" borderId="48" xfId="0" applyNumberFormat="1" applyFont="1" applyFill="1" applyBorder="1" applyAlignment="1">
      <alignment horizontal="center" vertical="center"/>
    </xf>
    <xf numFmtId="2" fontId="7" fillId="4" borderId="49" xfId="0" applyNumberFormat="1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/>
    </xf>
    <xf numFmtId="0" fontId="6" fillId="4" borderId="34" xfId="0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2" fontId="12" fillId="4" borderId="1" xfId="0" applyNumberFormat="1" applyFont="1" applyFill="1" applyBorder="1" applyAlignment="1">
      <alignment horizontal="center" vertical="center"/>
    </xf>
    <xf numFmtId="2" fontId="12" fillId="4" borderId="14" xfId="0" applyNumberFormat="1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vertical="center" textRotation="90" wrapText="1"/>
    </xf>
    <xf numFmtId="0" fontId="4" fillId="2" borderId="53" xfId="0" applyFont="1" applyFill="1" applyBorder="1" applyAlignment="1">
      <alignment vertical="center" textRotation="90" wrapText="1"/>
    </xf>
    <xf numFmtId="2" fontId="9" fillId="4" borderId="5" xfId="0" applyNumberFormat="1" applyFont="1" applyFill="1" applyBorder="1" applyAlignment="1">
      <alignment horizontal="center"/>
    </xf>
    <xf numFmtId="2" fontId="7" fillId="4" borderId="5" xfId="0" applyNumberFormat="1" applyFont="1" applyFill="1" applyBorder="1" applyAlignment="1">
      <alignment horizontal="center"/>
    </xf>
    <xf numFmtId="2" fontId="7" fillId="4" borderId="13" xfId="0" applyNumberFormat="1" applyFont="1" applyFill="1" applyBorder="1" applyAlignment="1">
      <alignment horizontal="center"/>
    </xf>
    <xf numFmtId="2" fontId="7" fillId="4" borderId="48" xfId="0" applyNumberFormat="1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/>
    </xf>
    <xf numFmtId="9" fontId="8" fillId="4" borderId="6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/>
    </xf>
    <xf numFmtId="0" fontId="7" fillId="4" borderId="47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2" fontId="11" fillId="4" borderId="6" xfId="0" applyNumberFormat="1" applyFont="1" applyFill="1" applyBorder="1" applyAlignment="1">
      <alignment horizontal="center" vertical="center"/>
    </xf>
    <xf numFmtId="2" fontId="11" fillId="4" borderId="16" xfId="0" applyNumberFormat="1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1" fillId="4" borderId="34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textRotation="90"/>
    </xf>
    <xf numFmtId="0" fontId="4" fillId="2" borderId="9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 textRotation="90"/>
    </xf>
    <xf numFmtId="0" fontId="4" fillId="2" borderId="42" xfId="0" applyFont="1" applyFill="1" applyBorder="1" applyAlignment="1">
      <alignment horizontal="center" vertical="center" textRotation="90" wrapText="1"/>
    </xf>
    <xf numFmtId="0" fontId="4" fillId="2" borderId="43" xfId="0" applyFont="1" applyFill="1" applyBorder="1" applyAlignment="1">
      <alignment horizontal="center" vertical="center" textRotation="90" wrapText="1"/>
    </xf>
    <xf numFmtId="0" fontId="4" fillId="2" borderId="32" xfId="0" applyFont="1" applyFill="1" applyBorder="1" applyAlignment="1">
      <alignment horizontal="center" vertical="center" textRotation="90" wrapText="1"/>
    </xf>
    <xf numFmtId="0" fontId="4" fillId="2" borderId="42" xfId="0" applyFont="1" applyFill="1" applyBorder="1" applyAlignment="1">
      <alignment horizontal="center" vertical="center" textRotation="90"/>
    </xf>
    <xf numFmtId="0" fontId="4" fillId="2" borderId="43" xfId="0" applyFont="1" applyFill="1" applyBorder="1" applyAlignment="1">
      <alignment horizontal="center" vertical="center" textRotation="90"/>
    </xf>
    <xf numFmtId="0" fontId="4" fillId="2" borderId="12" xfId="0" applyFont="1" applyFill="1" applyBorder="1" applyAlignment="1">
      <alignment horizontal="center" vertical="center" textRotation="90"/>
    </xf>
    <xf numFmtId="0" fontId="14" fillId="2" borderId="52" xfId="0" applyFont="1" applyFill="1" applyBorder="1" applyAlignment="1">
      <alignment horizontal="center" vertical="center" textRotation="90" wrapText="1"/>
    </xf>
    <xf numFmtId="0" fontId="2" fillId="0" borderId="33" xfId="0" applyFont="1" applyBorder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54" xfId="0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0" fontId="14" fillId="0" borderId="50" xfId="0" applyFont="1" applyBorder="1" applyAlignment="1">
      <alignment horizontal="center"/>
    </xf>
    <xf numFmtId="0" fontId="14" fillId="0" borderId="51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Feuil2!$D$3:$E$13</c15:sqref>
                  </c15:fullRef>
                  <c15:levelRef>
                    <c15:sqref>Feuil2!$D$3:$D$13</c15:sqref>
                  </c15:levelRef>
                </c:ext>
              </c:extLst>
              <c:f>Feuil2!$D$3:$D$13</c:f>
              <c:strCache>
                <c:ptCount val="11"/>
                <c:pt idx="0">
                  <c:v>Steam produced</c:v>
                </c:pt>
                <c:pt idx="1">
                  <c:v>Water Generated</c:v>
                </c:pt>
                <c:pt idx="2">
                  <c:v>CO2 Generated</c:v>
                </c:pt>
                <c:pt idx="3">
                  <c:v>Grid Usage (ENEO)</c:v>
                </c:pt>
                <c:pt idx="4">
                  <c:v>Diesel Geneator Generation</c:v>
                </c:pt>
                <c:pt idx="5">
                  <c:v>Site Electrical Energy consumed (Grid + Diesel Gen)</c:v>
                </c:pt>
                <c:pt idx="6">
                  <c:v>Gas Usage</c:v>
                </c:pt>
                <c:pt idx="7">
                  <c:v>HFO Usage</c:v>
                </c:pt>
                <c:pt idx="8">
                  <c:v>Diesel Usage</c:v>
                </c:pt>
                <c:pt idx="9">
                  <c:v>Make up usage</c:v>
                </c:pt>
                <c:pt idx="10">
                  <c:v>Condensate Return Volume</c:v>
                </c:pt>
              </c:strCache>
            </c:strRef>
          </c:cat>
          <c:val>
            <c:numRef>
              <c:f>Feuil2!$F$3:$F$13</c:f>
              <c:numCache>
                <c:formatCode>General</c:formatCode>
                <c:ptCount val="11"/>
                <c:pt idx="0">
                  <c:v>959</c:v>
                </c:pt>
                <c:pt idx="1">
                  <c:v>152420</c:v>
                </c:pt>
                <c:pt idx="2">
                  <c:v>64911</c:v>
                </c:pt>
                <c:pt idx="3">
                  <c:v>222871</c:v>
                </c:pt>
                <c:pt idx="4">
                  <c:v>0</c:v>
                </c:pt>
                <c:pt idx="5">
                  <c:v>222871</c:v>
                </c:pt>
                <c:pt idx="6">
                  <c:v>49292</c:v>
                </c:pt>
                <c:pt idx="7">
                  <c:v>0</c:v>
                </c:pt>
                <c:pt idx="8">
                  <c:v>0</c:v>
                </c:pt>
                <c:pt idx="9">
                  <c:v>213</c:v>
                </c:pt>
                <c:pt idx="10">
                  <c:v>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A-4B5F-AB7B-BF1DE186604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Feuil2!$D$3:$E$13</c15:sqref>
                  </c15:fullRef>
                  <c15:levelRef>
                    <c15:sqref>Feuil2!$D$3:$D$13</c15:sqref>
                  </c15:levelRef>
                </c:ext>
              </c:extLst>
              <c:f>Feuil2!$D$3:$D$13</c:f>
              <c:strCache>
                <c:ptCount val="11"/>
                <c:pt idx="0">
                  <c:v>Steam produced</c:v>
                </c:pt>
                <c:pt idx="1">
                  <c:v>Water Generated</c:v>
                </c:pt>
                <c:pt idx="2">
                  <c:v>CO2 Generated</c:v>
                </c:pt>
                <c:pt idx="3">
                  <c:v>Grid Usage (ENEO)</c:v>
                </c:pt>
                <c:pt idx="4">
                  <c:v>Diesel Geneator Generation</c:v>
                </c:pt>
                <c:pt idx="5">
                  <c:v>Site Electrical Energy consumed (Grid + Diesel Gen)</c:v>
                </c:pt>
                <c:pt idx="6">
                  <c:v>Gas Usage</c:v>
                </c:pt>
                <c:pt idx="7">
                  <c:v>HFO Usage</c:v>
                </c:pt>
                <c:pt idx="8">
                  <c:v>Diesel Usage</c:v>
                </c:pt>
                <c:pt idx="9">
                  <c:v>Make up usage</c:v>
                </c:pt>
                <c:pt idx="10">
                  <c:v>Condensate Return Volume</c:v>
                </c:pt>
              </c:strCache>
            </c:strRef>
          </c:cat>
          <c:val>
            <c:numRef>
              <c:f>Feuil2!$G$3:$G$13</c:f>
              <c:numCache>
                <c:formatCode>General</c:formatCode>
                <c:ptCount val="11"/>
                <c:pt idx="0">
                  <c:v>900</c:v>
                </c:pt>
                <c:pt idx="1">
                  <c:v>145460</c:v>
                </c:pt>
                <c:pt idx="2">
                  <c:v>77049</c:v>
                </c:pt>
                <c:pt idx="3">
                  <c:v>208231</c:v>
                </c:pt>
                <c:pt idx="4">
                  <c:v>8963</c:v>
                </c:pt>
                <c:pt idx="5">
                  <c:v>217194</c:v>
                </c:pt>
                <c:pt idx="6">
                  <c:v>47282</c:v>
                </c:pt>
                <c:pt idx="7">
                  <c:v>0</c:v>
                </c:pt>
                <c:pt idx="8">
                  <c:v>2709</c:v>
                </c:pt>
                <c:pt idx="9">
                  <c:v>196</c:v>
                </c:pt>
                <c:pt idx="10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FA-4B5F-AB7B-BF1DE1866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0606751"/>
        <c:axId val="1660600095"/>
      </c:barChart>
      <c:catAx>
        <c:axId val="1660606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660600095"/>
        <c:crosses val="autoZero"/>
        <c:auto val="1"/>
        <c:lblAlgn val="ctr"/>
        <c:lblOffset val="100"/>
        <c:noMultiLvlLbl val="0"/>
      </c:catAx>
      <c:valAx>
        <c:axId val="16606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166060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695325</xdr:colOff>
      <xdr:row>5</xdr:row>
      <xdr:rowOff>166687</xdr:rowOff>
    </xdr:from>
    <xdr:to>
      <xdr:col>10</xdr:col>
      <xdr:colOff>2219325</xdr:colOff>
      <xdr:row>20</xdr:row>
      <xdr:rowOff>33337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114D8D1-974C-475C-9EFE-F395AC358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6AB6-4A47-4C09-985A-5A08B2F365A8}">
  <dimension ref="A1:AP76"/>
  <sheetViews>
    <sheetView tabSelected="1" topLeftCell="B1" zoomScale="85" zoomScaleNormal="85" workbookViewId="0">
      <pane xSplit="5" topLeftCell="AK1" activePane="topRight" state="frozen"/>
      <selection activeCell="B4" sqref="B4"/>
      <selection pane="topRight" activeCell="AN42" sqref="AN42"/>
    </sheetView>
  </sheetViews>
  <sheetFormatPr baseColWidth="10" defaultColWidth="8.85546875" defaultRowHeight="15" x14ac:dyDescent="0.25"/>
  <cols>
    <col min="2" max="2" width="16.140625" customWidth="1"/>
    <col min="3" max="3" width="41.5703125" customWidth="1"/>
    <col min="4" max="4" width="7.42578125" customWidth="1"/>
    <col min="5" max="5" width="12.140625" customWidth="1"/>
    <col min="6" max="6" width="9.42578125" customWidth="1"/>
    <col min="7" max="7" width="23.5703125" bestFit="1" customWidth="1"/>
    <col min="8" max="8" width="20.5703125" customWidth="1"/>
    <col min="9" max="10" width="19.42578125" customWidth="1"/>
    <col min="11" max="11" width="20.42578125" customWidth="1"/>
    <col min="12" max="13" width="19.140625" customWidth="1"/>
    <col min="14" max="14" width="18.42578125" customWidth="1"/>
    <col min="15" max="15" width="19.85546875" customWidth="1"/>
    <col min="16" max="16" width="19.7109375" customWidth="1"/>
    <col min="17" max="17" width="18.5703125" customWidth="1"/>
    <col min="18" max="18" width="19.140625" customWidth="1"/>
    <col min="19" max="19" width="19.85546875" customWidth="1"/>
    <col min="20" max="20" width="20.28515625" customWidth="1"/>
    <col min="21" max="22" width="18.42578125" customWidth="1"/>
    <col min="23" max="23" width="19.28515625" customWidth="1"/>
    <col min="24" max="24" width="19" customWidth="1"/>
    <col min="25" max="25" width="20.7109375" customWidth="1"/>
    <col min="26" max="26" width="23.85546875" customWidth="1"/>
    <col min="27" max="27" width="20.7109375" customWidth="1"/>
    <col min="28" max="28" width="23.85546875" customWidth="1"/>
    <col min="29" max="29" width="23.42578125" customWidth="1"/>
    <col min="30" max="30" width="28" bestFit="1" customWidth="1"/>
    <col min="31" max="32" width="37" customWidth="1"/>
    <col min="33" max="33" width="38.42578125" customWidth="1"/>
    <col min="34" max="35" width="35.5703125" bestFit="1" customWidth="1"/>
    <col min="36" max="37" width="33.5703125" bestFit="1" customWidth="1"/>
    <col min="38" max="38" width="33.7109375" customWidth="1"/>
    <col min="39" max="39" width="33.5703125" customWidth="1"/>
    <col min="40" max="40" width="36.42578125" bestFit="1" customWidth="1"/>
    <col min="41" max="41" width="36.28515625" customWidth="1"/>
    <col min="42" max="42" width="36.85546875" customWidth="1"/>
  </cols>
  <sheetData>
    <row r="1" spans="1:42" ht="15.75" thickBot="1" x14ac:dyDescent="0.3"/>
    <row r="2" spans="1:42" ht="29.25" customHeight="1" thickBot="1" x14ac:dyDescent="0.3">
      <c r="B2" s="116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202"/>
      <c r="P2" s="202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</row>
    <row r="3" spans="1:42" s="120" customFormat="1" ht="23.25" customHeight="1" thickBot="1" x14ac:dyDescent="0.5">
      <c r="A3" s="119"/>
      <c r="B3" s="215" t="s">
        <v>99</v>
      </c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</row>
    <row r="4" spans="1:42" x14ac:dyDescent="0.25">
      <c r="B4" s="203" t="s">
        <v>100</v>
      </c>
      <c r="C4" s="206" t="s">
        <v>101</v>
      </c>
      <c r="D4" s="209" t="s">
        <v>0</v>
      </c>
      <c r="E4" s="212" t="s">
        <v>102</v>
      </c>
      <c r="F4" s="209" t="s">
        <v>103</v>
      </c>
      <c r="G4" s="109" t="s">
        <v>104</v>
      </c>
      <c r="H4" s="109" t="s">
        <v>88</v>
      </c>
      <c r="I4" s="109" t="s">
        <v>89</v>
      </c>
      <c r="J4" s="109" t="s">
        <v>90</v>
      </c>
      <c r="K4" s="109" t="s">
        <v>110</v>
      </c>
      <c r="L4" s="109" t="s">
        <v>111</v>
      </c>
      <c r="M4" s="109" t="s">
        <v>124</v>
      </c>
      <c r="N4" s="109" t="s">
        <v>125</v>
      </c>
      <c r="O4" s="109" t="s">
        <v>126</v>
      </c>
      <c r="P4" s="118" t="s">
        <v>135</v>
      </c>
      <c r="Q4" s="109" t="s">
        <v>134</v>
      </c>
      <c r="R4" s="141" t="s">
        <v>133</v>
      </c>
      <c r="S4" s="142" t="s">
        <v>136</v>
      </c>
      <c r="T4" s="128" t="s">
        <v>137</v>
      </c>
      <c r="U4" s="109" t="s">
        <v>140</v>
      </c>
      <c r="V4" s="109" t="s">
        <v>142</v>
      </c>
      <c r="W4" s="109" t="s">
        <v>143</v>
      </c>
      <c r="X4" s="109" t="s">
        <v>147</v>
      </c>
      <c r="Y4" s="109" t="s">
        <v>149</v>
      </c>
      <c r="Z4" s="109" t="s">
        <v>153</v>
      </c>
      <c r="AA4" s="109" t="s">
        <v>154</v>
      </c>
      <c r="AB4" s="109" t="s">
        <v>157</v>
      </c>
      <c r="AC4" s="109" t="s">
        <v>158</v>
      </c>
      <c r="AD4" s="109" t="s">
        <v>161</v>
      </c>
      <c r="AE4" s="109" t="s">
        <v>162</v>
      </c>
      <c r="AF4" s="109" t="s">
        <v>169</v>
      </c>
      <c r="AG4" s="109" t="s">
        <v>170</v>
      </c>
      <c r="AH4" s="109" t="s">
        <v>178</v>
      </c>
      <c r="AI4" s="109" t="s">
        <v>179</v>
      </c>
      <c r="AJ4" s="109" t="s">
        <v>180</v>
      </c>
      <c r="AK4" s="109" t="s">
        <v>184</v>
      </c>
      <c r="AL4" s="109" t="s">
        <v>186</v>
      </c>
      <c r="AM4" s="109" t="s">
        <v>188</v>
      </c>
      <c r="AN4" s="109" t="s">
        <v>189</v>
      </c>
      <c r="AO4" s="109" t="s">
        <v>190</v>
      </c>
      <c r="AP4" s="109" t="s">
        <v>191</v>
      </c>
    </row>
    <row r="5" spans="1:42" x14ac:dyDescent="0.25">
      <c r="B5" s="204"/>
      <c r="C5" s="207"/>
      <c r="D5" s="210"/>
      <c r="E5" s="213"/>
      <c r="F5" s="210"/>
      <c r="G5" s="110" t="s">
        <v>1</v>
      </c>
      <c r="H5" s="110" t="s">
        <v>1</v>
      </c>
      <c r="I5" s="110" t="s">
        <v>1</v>
      </c>
      <c r="J5" s="110" t="s">
        <v>1</v>
      </c>
      <c r="K5" s="110" t="s">
        <v>1</v>
      </c>
      <c r="L5" s="110" t="s">
        <v>1</v>
      </c>
      <c r="M5" s="110" t="s">
        <v>1</v>
      </c>
      <c r="N5" s="110" t="s">
        <v>1</v>
      </c>
      <c r="O5" s="110" t="s">
        <v>1</v>
      </c>
      <c r="P5" s="111" t="s">
        <v>1</v>
      </c>
      <c r="Q5" s="139" t="s">
        <v>1</v>
      </c>
      <c r="R5" s="143" t="s">
        <v>1</v>
      </c>
      <c r="S5" s="110" t="s">
        <v>1</v>
      </c>
      <c r="T5" s="129" t="s">
        <v>1</v>
      </c>
      <c r="U5" s="110" t="s">
        <v>1</v>
      </c>
      <c r="V5" s="110" t="s">
        <v>1</v>
      </c>
      <c r="W5" s="110" t="s">
        <v>1</v>
      </c>
      <c r="X5" s="110" t="s">
        <v>1</v>
      </c>
      <c r="Y5" s="139" t="s">
        <v>1</v>
      </c>
      <c r="Z5" s="110" t="s">
        <v>1</v>
      </c>
      <c r="AA5" s="139" t="s">
        <v>1</v>
      </c>
      <c r="AB5" s="110" t="s">
        <v>1</v>
      </c>
      <c r="AC5" s="139" t="s">
        <v>1</v>
      </c>
      <c r="AD5" s="110" t="s">
        <v>1</v>
      </c>
      <c r="AE5" s="139" t="s">
        <v>1</v>
      </c>
      <c r="AF5" s="139" t="s">
        <v>1</v>
      </c>
      <c r="AG5" s="139" t="s">
        <v>1</v>
      </c>
      <c r="AH5" s="139" t="s">
        <v>1</v>
      </c>
      <c r="AI5" s="139" t="s">
        <v>1</v>
      </c>
      <c r="AJ5" s="139" t="s">
        <v>1</v>
      </c>
      <c r="AK5" s="139" t="s">
        <v>1</v>
      </c>
      <c r="AL5" s="139" t="s">
        <v>1</v>
      </c>
      <c r="AM5" s="139" t="s">
        <v>1</v>
      </c>
      <c r="AN5" s="139" t="s">
        <v>1</v>
      </c>
      <c r="AO5" s="139" t="s">
        <v>1</v>
      </c>
      <c r="AP5" s="139" t="s">
        <v>1</v>
      </c>
    </row>
    <row r="6" spans="1:42" ht="15.75" thickBot="1" x14ac:dyDescent="0.3">
      <c r="B6" s="205"/>
      <c r="C6" s="208"/>
      <c r="D6" s="211"/>
      <c r="E6" s="214"/>
      <c r="F6" s="211"/>
      <c r="G6" s="112" t="s">
        <v>69</v>
      </c>
      <c r="H6" s="112" t="s">
        <v>70</v>
      </c>
      <c r="I6" s="112" t="s">
        <v>71</v>
      </c>
      <c r="J6" s="112" t="s">
        <v>72</v>
      </c>
      <c r="K6" s="112" t="s">
        <v>115</v>
      </c>
      <c r="L6" s="113" t="s">
        <v>116</v>
      </c>
      <c r="M6" s="113" t="s">
        <v>127</v>
      </c>
      <c r="N6" s="113" t="s">
        <v>128</v>
      </c>
      <c r="O6" s="113" t="s">
        <v>129</v>
      </c>
      <c r="P6" s="114" t="s">
        <v>130</v>
      </c>
      <c r="Q6" s="140" t="s">
        <v>131</v>
      </c>
      <c r="R6" s="144" t="s">
        <v>132</v>
      </c>
      <c r="S6" s="112" t="s">
        <v>138</v>
      </c>
      <c r="T6" s="144" t="s">
        <v>139</v>
      </c>
      <c r="U6" s="112" t="s">
        <v>141</v>
      </c>
      <c r="V6" s="113" t="s">
        <v>144</v>
      </c>
      <c r="W6" s="113" t="s">
        <v>145</v>
      </c>
      <c r="X6" s="113" t="s">
        <v>148</v>
      </c>
      <c r="Y6" s="140" t="s">
        <v>150</v>
      </c>
      <c r="Z6" s="113" t="s">
        <v>156</v>
      </c>
      <c r="AA6" s="140" t="s">
        <v>155</v>
      </c>
      <c r="AB6" s="113" t="s">
        <v>159</v>
      </c>
      <c r="AC6" s="140" t="s">
        <v>160</v>
      </c>
      <c r="AD6" s="113" t="s">
        <v>163</v>
      </c>
      <c r="AE6" s="113" t="s">
        <v>164</v>
      </c>
      <c r="AF6" s="113" t="s">
        <v>171</v>
      </c>
      <c r="AG6" s="113" t="s">
        <v>172</v>
      </c>
      <c r="AH6" s="113" t="s">
        <v>181</v>
      </c>
      <c r="AI6" s="113" t="s">
        <v>182</v>
      </c>
      <c r="AJ6" s="113" t="s">
        <v>183</v>
      </c>
      <c r="AK6" s="113" t="s">
        <v>185</v>
      </c>
      <c r="AL6" s="113" t="s">
        <v>187</v>
      </c>
      <c r="AM6" s="113" t="s">
        <v>192</v>
      </c>
      <c r="AN6" s="113" t="s">
        <v>193</v>
      </c>
      <c r="AO6" s="113" t="s">
        <v>194</v>
      </c>
      <c r="AP6" s="113" t="s">
        <v>195</v>
      </c>
    </row>
    <row r="7" spans="1:42" x14ac:dyDescent="0.25">
      <c r="B7" s="195" t="s">
        <v>2</v>
      </c>
      <c r="C7" s="56" t="s">
        <v>3</v>
      </c>
      <c r="D7" s="57" t="s">
        <v>45</v>
      </c>
      <c r="E7" s="57" t="s">
        <v>4</v>
      </c>
      <c r="F7" s="58">
        <v>0</v>
      </c>
      <c r="G7" s="59">
        <v>0</v>
      </c>
      <c r="H7" s="60">
        <v>0</v>
      </c>
      <c r="I7" s="60">
        <v>0</v>
      </c>
      <c r="J7" s="60">
        <v>0</v>
      </c>
      <c r="K7" s="60">
        <v>0</v>
      </c>
      <c r="L7" s="59">
        <v>0</v>
      </c>
      <c r="M7" s="59">
        <v>0</v>
      </c>
      <c r="N7" s="60">
        <v>0</v>
      </c>
      <c r="O7" s="60">
        <v>0</v>
      </c>
      <c r="P7" s="61">
        <v>0</v>
      </c>
      <c r="Q7" s="59">
        <v>0</v>
      </c>
      <c r="R7" s="54">
        <v>0</v>
      </c>
      <c r="S7" s="55">
        <v>0</v>
      </c>
      <c r="T7" s="55">
        <v>0</v>
      </c>
      <c r="U7" s="55">
        <v>0</v>
      </c>
      <c r="V7" s="55">
        <v>0</v>
      </c>
      <c r="W7" s="55">
        <v>0</v>
      </c>
      <c r="X7" s="55">
        <v>0</v>
      </c>
      <c r="Y7" s="150">
        <v>0</v>
      </c>
      <c r="Z7" s="55">
        <v>0</v>
      </c>
      <c r="AA7" s="150">
        <v>0</v>
      </c>
      <c r="AB7" s="55">
        <v>0</v>
      </c>
      <c r="AC7" s="150">
        <v>0</v>
      </c>
      <c r="AD7" s="55">
        <v>0</v>
      </c>
      <c r="AE7" s="150">
        <v>0</v>
      </c>
      <c r="AF7" s="150">
        <v>0</v>
      </c>
      <c r="AG7" s="150">
        <v>0</v>
      </c>
      <c r="AH7" s="150">
        <v>0</v>
      </c>
      <c r="AI7" s="150">
        <v>0</v>
      </c>
      <c r="AJ7" s="150"/>
      <c r="AK7" s="150"/>
      <c r="AL7" s="150"/>
      <c r="AM7" s="150"/>
      <c r="AN7" s="150"/>
      <c r="AO7" s="150"/>
      <c r="AP7" s="150"/>
    </row>
    <row r="8" spans="1:42" x14ac:dyDescent="0.25">
      <c r="B8" s="195"/>
      <c r="C8" s="62" t="s">
        <v>5</v>
      </c>
      <c r="D8" s="1" t="s">
        <v>45</v>
      </c>
      <c r="E8" s="1" t="s">
        <v>4</v>
      </c>
      <c r="F8" s="2">
        <v>0</v>
      </c>
      <c r="G8" s="3">
        <v>0</v>
      </c>
      <c r="H8" s="46">
        <v>0</v>
      </c>
      <c r="I8" s="46">
        <v>0</v>
      </c>
      <c r="J8" s="46">
        <v>0</v>
      </c>
      <c r="K8" s="46">
        <v>0</v>
      </c>
      <c r="L8" s="3">
        <v>0</v>
      </c>
      <c r="M8" s="3">
        <v>0</v>
      </c>
      <c r="N8" s="46">
        <v>0</v>
      </c>
      <c r="O8" s="46">
        <v>0</v>
      </c>
      <c r="P8" s="63">
        <v>0</v>
      </c>
      <c r="Q8" s="3">
        <v>0</v>
      </c>
      <c r="R8" s="3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151">
        <v>0</v>
      </c>
      <c r="Z8" s="46">
        <v>0</v>
      </c>
      <c r="AA8" s="151">
        <v>0</v>
      </c>
      <c r="AB8" s="46">
        <v>0</v>
      </c>
      <c r="AC8" s="151">
        <v>0</v>
      </c>
      <c r="AD8" s="46">
        <v>0</v>
      </c>
      <c r="AE8" s="151">
        <v>0</v>
      </c>
      <c r="AF8" s="151">
        <v>0</v>
      </c>
      <c r="AG8" s="151">
        <v>0</v>
      </c>
      <c r="AH8" s="151">
        <v>0</v>
      </c>
      <c r="AI8" s="151">
        <v>0</v>
      </c>
      <c r="AJ8" s="151"/>
      <c r="AK8" s="151"/>
      <c r="AL8" s="151"/>
      <c r="AM8" s="151"/>
      <c r="AN8" s="151"/>
      <c r="AO8" s="151"/>
      <c r="AP8" s="151"/>
    </row>
    <row r="9" spans="1:42" x14ac:dyDescent="0.25">
      <c r="B9" s="195"/>
      <c r="C9" s="62" t="s">
        <v>6</v>
      </c>
      <c r="D9" s="1" t="s">
        <v>45</v>
      </c>
      <c r="E9" s="1" t="s">
        <v>4</v>
      </c>
      <c r="F9" s="2">
        <v>0</v>
      </c>
      <c r="G9" s="3">
        <v>0</v>
      </c>
      <c r="H9" s="46">
        <v>0</v>
      </c>
      <c r="I9" s="46">
        <v>0</v>
      </c>
      <c r="J9" s="46">
        <v>0</v>
      </c>
      <c r="K9" s="46">
        <v>0</v>
      </c>
      <c r="L9" s="3">
        <v>0</v>
      </c>
      <c r="M9" s="3">
        <v>0</v>
      </c>
      <c r="N9" s="46">
        <v>0</v>
      </c>
      <c r="O9" s="46">
        <v>0</v>
      </c>
      <c r="P9" s="63">
        <v>0</v>
      </c>
      <c r="Q9" s="3">
        <v>0</v>
      </c>
      <c r="R9" s="3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151">
        <v>0</v>
      </c>
      <c r="Z9" s="46">
        <v>0</v>
      </c>
      <c r="AA9" s="151">
        <v>0</v>
      </c>
      <c r="AB9" s="46">
        <v>0</v>
      </c>
      <c r="AC9" s="151">
        <v>0</v>
      </c>
      <c r="AD9" s="46">
        <v>0</v>
      </c>
      <c r="AE9" s="151">
        <v>0</v>
      </c>
      <c r="AF9" s="151">
        <v>0</v>
      </c>
      <c r="AG9" s="151">
        <v>0</v>
      </c>
      <c r="AH9" s="151">
        <v>0</v>
      </c>
      <c r="AI9" s="151">
        <v>0</v>
      </c>
      <c r="AJ9" s="151"/>
      <c r="AK9" s="151"/>
      <c r="AL9" s="151"/>
      <c r="AM9" s="151"/>
      <c r="AN9" s="151"/>
      <c r="AO9" s="151"/>
      <c r="AP9" s="151"/>
    </row>
    <row r="10" spans="1:42" x14ac:dyDescent="0.25">
      <c r="B10" s="195"/>
      <c r="C10" s="62" t="s">
        <v>108</v>
      </c>
      <c r="D10" s="1" t="s">
        <v>45</v>
      </c>
      <c r="E10" s="1" t="s">
        <v>4</v>
      </c>
      <c r="F10" s="2"/>
      <c r="G10" s="3"/>
      <c r="H10" s="46"/>
      <c r="I10" s="46"/>
      <c r="J10" s="46"/>
      <c r="K10" s="46">
        <v>17</v>
      </c>
      <c r="L10" s="3">
        <v>10</v>
      </c>
      <c r="M10" s="3">
        <v>6</v>
      </c>
      <c r="N10" s="46">
        <v>14</v>
      </c>
      <c r="O10" s="46">
        <v>5</v>
      </c>
      <c r="P10" s="63">
        <v>7</v>
      </c>
      <c r="Q10" s="3">
        <v>5</v>
      </c>
      <c r="R10" s="3">
        <v>6</v>
      </c>
      <c r="S10" s="46">
        <v>8</v>
      </c>
      <c r="T10" s="46">
        <v>10</v>
      </c>
      <c r="U10" s="46">
        <v>6</v>
      </c>
      <c r="V10" s="46">
        <v>8</v>
      </c>
      <c r="W10" s="46">
        <v>11</v>
      </c>
      <c r="X10" s="46">
        <v>11</v>
      </c>
      <c r="Y10" s="151">
        <v>5</v>
      </c>
      <c r="Z10" s="46">
        <v>25</v>
      </c>
      <c r="AA10" s="151">
        <v>18</v>
      </c>
      <c r="AB10" s="46">
        <v>4</v>
      </c>
      <c r="AC10" s="151">
        <v>5</v>
      </c>
      <c r="AD10" s="46">
        <v>9</v>
      </c>
      <c r="AE10" s="151">
        <v>10</v>
      </c>
      <c r="AF10" s="151">
        <v>27</v>
      </c>
      <c r="AG10" s="151">
        <v>90</v>
      </c>
      <c r="AH10" s="151">
        <v>25</v>
      </c>
      <c r="AI10" s="151">
        <v>16</v>
      </c>
      <c r="AJ10" s="151"/>
      <c r="AK10" s="151"/>
      <c r="AL10" s="151"/>
      <c r="AM10" s="151"/>
      <c r="AN10" s="151"/>
      <c r="AO10" s="151"/>
      <c r="AP10" s="151"/>
    </row>
    <row r="11" spans="1:42" ht="15.75" thickBot="1" x14ac:dyDescent="0.3">
      <c r="B11" s="196"/>
      <c r="C11" s="64" t="s">
        <v>7</v>
      </c>
      <c r="D11" s="15" t="s">
        <v>45</v>
      </c>
      <c r="E11" s="15" t="s">
        <v>4</v>
      </c>
      <c r="F11" s="52">
        <v>0</v>
      </c>
      <c r="G11" s="16">
        <v>0</v>
      </c>
      <c r="H11" s="53">
        <v>0</v>
      </c>
      <c r="I11" s="53">
        <v>0</v>
      </c>
      <c r="J11" s="53">
        <v>0</v>
      </c>
      <c r="K11" s="53">
        <v>0</v>
      </c>
      <c r="L11" s="16">
        <v>0</v>
      </c>
      <c r="M11" s="16">
        <v>0</v>
      </c>
      <c r="N11" s="53">
        <v>0</v>
      </c>
      <c r="O11" s="53">
        <v>0</v>
      </c>
      <c r="P11" s="65">
        <v>0</v>
      </c>
      <c r="Q11" s="16">
        <v>0</v>
      </c>
      <c r="R11" s="16">
        <v>0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152">
        <v>0</v>
      </c>
      <c r="Z11" s="53">
        <v>0</v>
      </c>
      <c r="AA11" s="152">
        <v>0</v>
      </c>
      <c r="AB11" s="53">
        <v>0</v>
      </c>
      <c r="AC11" s="152">
        <v>0</v>
      </c>
      <c r="AD11" s="53">
        <v>0</v>
      </c>
      <c r="AE11" s="152">
        <v>0</v>
      </c>
      <c r="AF11" s="152">
        <v>0</v>
      </c>
      <c r="AG11" s="152">
        <v>0</v>
      </c>
      <c r="AH11" s="152">
        <v>0</v>
      </c>
      <c r="AI11" s="152">
        <v>0</v>
      </c>
      <c r="AJ11" s="152"/>
      <c r="AK11" s="152"/>
      <c r="AL11" s="152"/>
      <c r="AM11" s="152"/>
      <c r="AN11" s="152"/>
      <c r="AO11" s="152"/>
      <c r="AP11" s="152"/>
    </row>
    <row r="12" spans="1:42" ht="17.25" customHeight="1" x14ac:dyDescent="0.25">
      <c r="B12" s="197" t="s">
        <v>121</v>
      </c>
      <c r="C12" s="56" t="s">
        <v>119</v>
      </c>
      <c r="D12" s="57" t="s">
        <v>34</v>
      </c>
      <c r="E12" s="57" t="s">
        <v>4</v>
      </c>
      <c r="F12" s="58"/>
      <c r="G12" s="59"/>
      <c r="H12" s="60"/>
      <c r="I12" s="60"/>
      <c r="J12" s="60"/>
      <c r="K12" s="60">
        <v>1144</v>
      </c>
      <c r="L12" s="59">
        <v>1210</v>
      </c>
      <c r="M12" s="59">
        <v>1939</v>
      </c>
      <c r="N12" s="146">
        <v>2024</v>
      </c>
      <c r="O12" s="146">
        <v>2275</v>
      </c>
      <c r="P12" s="61">
        <v>1263</v>
      </c>
      <c r="Q12" s="59">
        <v>1102</v>
      </c>
      <c r="R12" s="59">
        <v>1204</v>
      </c>
      <c r="S12" s="59">
        <v>1330</v>
      </c>
      <c r="T12" s="148">
        <v>1236</v>
      </c>
      <c r="U12" s="148">
        <v>946</v>
      </c>
      <c r="V12" s="59">
        <v>933</v>
      </c>
      <c r="W12" s="147">
        <v>1001</v>
      </c>
      <c r="X12" s="61">
        <v>899</v>
      </c>
      <c r="Y12" s="153">
        <v>872</v>
      </c>
      <c r="Z12" s="61">
        <v>959</v>
      </c>
      <c r="AA12" s="153">
        <v>900</v>
      </c>
      <c r="AB12" s="61">
        <v>1203</v>
      </c>
      <c r="AC12" s="153">
        <v>1113</v>
      </c>
      <c r="AD12" s="61">
        <v>1169</v>
      </c>
      <c r="AE12" s="153">
        <v>1112</v>
      </c>
      <c r="AF12" s="153">
        <v>1070</v>
      </c>
      <c r="AG12" s="153">
        <v>1108</v>
      </c>
      <c r="AH12" s="153">
        <v>1014</v>
      </c>
      <c r="AI12" s="153">
        <v>930</v>
      </c>
      <c r="AJ12" s="153">
        <v>1072</v>
      </c>
      <c r="AK12" s="153">
        <v>865</v>
      </c>
      <c r="AL12" s="153">
        <v>156</v>
      </c>
      <c r="AM12" s="153">
        <v>536</v>
      </c>
      <c r="AN12" s="153"/>
      <c r="AO12" s="153"/>
      <c r="AP12" s="153"/>
    </row>
    <row r="13" spans="1:42" x14ac:dyDescent="0.25">
      <c r="B13" s="195"/>
      <c r="C13" s="62" t="s">
        <v>35</v>
      </c>
      <c r="D13" s="1" t="s">
        <v>31</v>
      </c>
      <c r="E13" s="1" t="s">
        <v>4</v>
      </c>
      <c r="F13" s="2"/>
      <c r="G13" s="3"/>
      <c r="H13" s="46"/>
      <c r="I13" s="46"/>
      <c r="J13" s="46"/>
      <c r="K13" s="46">
        <v>168250</v>
      </c>
      <c r="L13" s="3">
        <v>198230</v>
      </c>
      <c r="M13" s="3">
        <v>190170</v>
      </c>
      <c r="N13" s="46">
        <v>223190</v>
      </c>
      <c r="O13" s="46">
        <v>220160</v>
      </c>
      <c r="P13" s="63">
        <v>201250</v>
      </c>
      <c r="Q13" s="3">
        <v>221950</v>
      </c>
      <c r="R13" s="3">
        <v>216270</v>
      </c>
      <c r="S13" s="46">
        <v>232720</v>
      </c>
      <c r="T13" s="130">
        <v>210890</v>
      </c>
      <c r="U13" s="46">
        <v>172590</v>
      </c>
      <c r="V13" s="46">
        <v>173610</v>
      </c>
      <c r="W13" s="63">
        <v>170940</v>
      </c>
      <c r="X13" s="63">
        <v>170860</v>
      </c>
      <c r="Y13" s="151">
        <v>154470</v>
      </c>
      <c r="Z13" s="63">
        <v>152420</v>
      </c>
      <c r="AA13" s="151">
        <v>145460</v>
      </c>
      <c r="AB13" s="63">
        <v>196110</v>
      </c>
      <c r="AC13" s="151">
        <v>193610</v>
      </c>
      <c r="AD13" s="63">
        <v>200860</v>
      </c>
      <c r="AE13" s="151">
        <v>219160</v>
      </c>
      <c r="AF13" s="151">
        <v>219040</v>
      </c>
      <c r="AG13" s="151">
        <v>220680</v>
      </c>
      <c r="AH13" s="151">
        <v>213120</v>
      </c>
      <c r="AI13" s="151">
        <v>192430</v>
      </c>
      <c r="AJ13" s="151">
        <v>216260</v>
      </c>
      <c r="AK13" s="151">
        <v>174310</v>
      </c>
      <c r="AL13" s="151">
        <v>54370</v>
      </c>
      <c r="AM13" s="151">
        <v>99590</v>
      </c>
      <c r="AN13" s="151"/>
      <c r="AO13" s="151"/>
      <c r="AP13" s="151"/>
    </row>
    <row r="14" spans="1:42" x14ac:dyDescent="0.25">
      <c r="B14" s="195"/>
      <c r="C14" s="62" t="s">
        <v>122</v>
      </c>
      <c r="D14" s="1" t="s">
        <v>151</v>
      </c>
      <c r="E14" s="1" t="s">
        <v>4</v>
      </c>
      <c r="F14" s="2"/>
      <c r="G14" s="3"/>
      <c r="H14" s="46"/>
      <c r="I14" s="46"/>
      <c r="J14" s="46"/>
      <c r="K14" s="46">
        <v>23587</v>
      </c>
      <c r="L14" s="3">
        <v>80220</v>
      </c>
      <c r="M14" s="3">
        <v>77776</v>
      </c>
      <c r="N14" s="46">
        <v>78165</v>
      </c>
      <c r="O14" s="46">
        <v>65316</v>
      </c>
      <c r="P14" s="63">
        <v>56661</v>
      </c>
      <c r="Q14" s="3">
        <v>72856</v>
      </c>
      <c r="R14" s="3">
        <v>65501</v>
      </c>
      <c r="S14" s="46">
        <v>80054</v>
      </c>
      <c r="T14" s="130">
        <v>78743</v>
      </c>
      <c r="U14" s="46">
        <v>86495</v>
      </c>
      <c r="V14" s="46">
        <v>68948</v>
      </c>
      <c r="W14" s="63">
        <v>76115</v>
      </c>
      <c r="X14" s="63">
        <v>71855</v>
      </c>
      <c r="Y14" s="151">
        <v>78285</v>
      </c>
      <c r="Z14" s="63">
        <v>64911</v>
      </c>
      <c r="AA14" s="151">
        <v>77049</v>
      </c>
      <c r="AB14" s="63">
        <v>94036</v>
      </c>
      <c r="AC14" s="151">
        <v>72659</v>
      </c>
      <c r="AD14" s="63">
        <v>82930</v>
      </c>
      <c r="AE14" s="151">
        <v>90132</v>
      </c>
      <c r="AF14" s="151">
        <v>96535</v>
      </c>
      <c r="AG14" s="151">
        <v>88619</v>
      </c>
      <c r="AH14" s="151">
        <v>75233</v>
      </c>
      <c r="AI14" s="151">
        <v>65433</v>
      </c>
      <c r="AJ14" s="151">
        <v>59779</v>
      </c>
      <c r="AK14" s="151">
        <v>72523</v>
      </c>
      <c r="AL14" s="151">
        <v>38088</v>
      </c>
      <c r="AM14" s="151">
        <v>304</v>
      </c>
      <c r="AN14" s="151"/>
      <c r="AO14" s="151"/>
      <c r="AP14" s="151"/>
    </row>
    <row r="15" spans="1:42" x14ac:dyDescent="0.25">
      <c r="B15" s="195"/>
      <c r="C15" s="71" t="s">
        <v>120</v>
      </c>
      <c r="D15" s="1" t="s">
        <v>45</v>
      </c>
      <c r="E15" s="1" t="s">
        <v>4</v>
      </c>
      <c r="F15" s="2"/>
      <c r="G15" s="3"/>
      <c r="H15" s="46"/>
      <c r="I15" s="46"/>
      <c r="J15" s="46"/>
      <c r="K15" s="46"/>
      <c r="L15" s="3"/>
      <c r="M15" s="3"/>
      <c r="N15" s="46"/>
      <c r="O15" s="46"/>
      <c r="P15" s="63"/>
      <c r="Q15" s="3"/>
      <c r="R15" s="3"/>
      <c r="S15" s="46"/>
      <c r="T15" s="130"/>
      <c r="U15" s="46"/>
      <c r="V15" s="46"/>
      <c r="W15" s="63"/>
      <c r="X15" s="63"/>
      <c r="Y15" s="151"/>
      <c r="Z15" s="63"/>
      <c r="AA15" s="151"/>
      <c r="AB15" s="63"/>
      <c r="AC15" s="151"/>
      <c r="AD15" s="63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</row>
    <row r="16" spans="1:42" x14ac:dyDescent="0.25">
      <c r="B16" s="195"/>
      <c r="C16" s="62" t="s">
        <v>22</v>
      </c>
      <c r="D16" s="1" t="s">
        <v>23</v>
      </c>
      <c r="E16" s="1" t="s">
        <v>4</v>
      </c>
      <c r="F16" s="2"/>
      <c r="G16" s="3">
        <v>262844</v>
      </c>
      <c r="H16" s="46">
        <v>269752</v>
      </c>
      <c r="I16" s="46">
        <v>225193</v>
      </c>
      <c r="J16" s="46">
        <v>236177</v>
      </c>
      <c r="K16" s="46">
        <v>214756</v>
      </c>
      <c r="L16" s="3">
        <v>169134</v>
      </c>
      <c r="M16" s="3">
        <v>274692</v>
      </c>
      <c r="N16" s="46">
        <v>299846</v>
      </c>
      <c r="O16" s="46">
        <v>343790</v>
      </c>
      <c r="P16" s="63">
        <v>277457</v>
      </c>
      <c r="Q16" s="3">
        <v>333457</v>
      </c>
      <c r="R16" s="3">
        <v>268129</v>
      </c>
      <c r="S16" s="46">
        <v>332759</v>
      </c>
      <c r="T16" s="130">
        <v>300859</v>
      </c>
      <c r="U16" s="46">
        <v>200651</v>
      </c>
      <c r="V16" s="46">
        <v>238850</v>
      </c>
      <c r="W16" s="63">
        <v>247660</v>
      </c>
      <c r="X16" s="63">
        <v>253047</v>
      </c>
      <c r="Y16" s="151">
        <v>233567</v>
      </c>
      <c r="Z16" s="63">
        <v>222871</v>
      </c>
      <c r="AA16" s="151">
        <v>208231</v>
      </c>
      <c r="AB16" s="63">
        <v>267282</v>
      </c>
      <c r="AC16" s="151">
        <v>253270</v>
      </c>
      <c r="AD16" s="63">
        <v>288945</v>
      </c>
      <c r="AE16" s="151">
        <v>304375</v>
      </c>
      <c r="AF16" s="151">
        <v>300980</v>
      </c>
      <c r="AG16" s="151">
        <v>254926</v>
      </c>
      <c r="AH16" s="151">
        <v>257194</v>
      </c>
      <c r="AI16" s="151">
        <v>216708</v>
      </c>
      <c r="AJ16" s="151">
        <v>277045</v>
      </c>
      <c r="AK16" s="151">
        <v>252633</v>
      </c>
      <c r="AL16" s="151">
        <v>85106</v>
      </c>
      <c r="AM16" s="151">
        <v>155770</v>
      </c>
      <c r="AN16" s="151"/>
      <c r="AO16" s="151"/>
      <c r="AP16" s="151"/>
    </row>
    <row r="17" spans="2:42" x14ac:dyDescent="0.25">
      <c r="B17" s="195"/>
      <c r="C17" s="62" t="s">
        <v>24</v>
      </c>
      <c r="D17" s="1" t="s">
        <v>23</v>
      </c>
      <c r="E17" s="1" t="s">
        <v>4</v>
      </c>
      <c r="F17" s="2"/>
      <c r="G17" s="3">
        <v>89237</v>
      </c>
      <c r="H17" s="46">
        <v>69212</v>
      </c>
      <c r="I17" s="46">
        <v>90822</v>
      </c>
      <c r="J17" s="46">
        <v>22243</v>
      </c>
      <c r="K17" s="46">
        <v>23067</v>
      </c>
      <c r="L17" s="3">
        <v>12991</v>
      </c>
      <c r="M17" s="3">
        <v>55140</v>
      </c>
      <c r="N17" s="46">
        <v>97951</v>
      </c>
      <c r="O17" s="46">
        <v>17561</v>
      </c>
      <c r="P17" s="63">
        <v>28259</v>
      </c>
      <c r="Q17" s="3">
        <v>16753</v>
      </c>
      <c r="R17" s="3">
        <v>75027</v>
      </c>
      <c r="S17" s="46">
        <v>22127</v>
      </c>
      <c r="T17" s="130">
        <v>21450</v>
      </c>
      <c r="U17" s="46">
        <v>71101</v>
      </c>
      <c r="V17" s="46">
        <v>32928</v>
      </c>
      <c r="W17" s="63">
        <v>6278</v>
      </c>
      <c r="X17" s="63">
        <v>5046</v>
      </c>
      <c r="Y17" s="151">
        <v>19049</v>
      </c>
      <c r="Z17" s="63">
        <v>0</v>
      </c>
      <c r="AA17" s="151">
        <v>8963</v>
      </c>
      <c r="AB17" s="63">
        <v>11889</v>
      </c>
      <c r="AC17" s="151">
        <v>23397</v>
      </c>
      <c r="AD17" s="63">
        <v>159</v>
      </c>
      <c r="AE17" s="151">
        <v>15384</v>
      </c>
      <c r="AF17" s="151">
        <v>22875</v>
      </c>
      <c r="AG17" s="151">
        <v>11256</v>
      </c>
      <c r="AH17" s="151">
        <v>29983</v>
      </c>
      <c r="AI17" s="151">
        <v>6593</v>
      </c>
      <c r="AJ17" s="151">
        <v>5557</v>
      </c>
      <c r="AK17" s="151">
        <v>10172</v>
      </c>
      <c r="AL17" s="151">
        <v>8034</v>
      </c>
      <c r="AM17" s="151">
        <v>2025</v>
      </c>
      <c r="AN17" s="151"/>
      <c r="AO17" s="151"/>
      <c r="AP17" s="151"/>
    </row>
    <row r="18" spans="2:42" x14ac:dyDescent="0.25">
      <c r="B18" s="195"/>
      <c r="C18" s="62" t="s">
        <v>25</v>
      </c>
      <c r="D18" s="1" t="s">
        <v>26</v>
      </c>
      <c r="E18" s="1" t="s">
        <v>4</v>
      </c>
      <c r="F18" s="2"/>
      <c r="G18" s="3">
        <v>352081</v>
      </c>
      <c r="H18" s="46">
        <v>338964</v>
      </c>
      <c r="I18" s="46">
        <v>316015</v>
      </c>
      <c r="J18" s="46">
        <v>258420</v>
      </c>
      <c r="K18" s="46">
        <v>237823</v>
      </c>
      <c r="L18" s="3">
        <f t="shared" ref="L18:T18" si="0">L16+L17</f>
        <v>182125</v>
      </c>
      <c r="M18" s="3">
        <f t="shared" si="0"/>
        <v>329832</v>
      </c>
      <c r="N18" s="3">
        <f t="shared" si="0"/>
        <v>397797</v>
      </c>
      <c r="O18" s="3">
        <f t="shared" si="0"/>
        <v>361351</v>
      </c>
      <c r="P18" s="3">
        <f t="shared" si="0"/>
        <v>305716</v>
      </c>
      <c r="Q18" s="3">
        <f t="shared" si="0"/>
        <v>350210</v>
      </c>
      <c r="R18" s="3">
        <f t="shared" si="0"/>
        <v>343156</v>
      </c>
      <c r="S18" s="3">
        <f t="shared" si="0"/>
        <v>354886</v>
      </c>
      <c r="T18" s="3">
        <f t="shared" si="0"/>
        <v>322309</v>
      </c>
      <c r="U18" s="3">
        <f t="shared" ref="U18:X18" si="1">U16+U17</f>
        <v>271752</v>
      </c>
      <c r="V18" s="3">
        <f t="shared" si="1"/>
        <v>271778</v>
      </c>
      <c r="W18" s="3">
        <f t="shared" si="1"/>
        <v>253938</v>
      </c>
      <c r="X18" s="3">
        <f t="shared" si="1"/>
        <v>258093</v>
      </c>
      <c r="Y18" s="154">
        <f t="shared" ref="Y18:AE18" si="2">Y16+Y17</f>
        <v>252616</v>
      </c>
      <c r="Z18" s="154">
        <f t="shared" si="2"/>
        <v>222871</v>
      </c>
      <c r="AA18" s="154">
        <f t="shared" si="2"/>
        <v>217194</v>
      </c>
      <c r="AB18" s="154">
        <f t="shared" si="2"/>
        <v>279171</v>
      </c>
      <c r="AC18" s="154">
        <f t="shared" si="2"/>
        <v>276667</v>
      </c>
      <c r="AD18" s="154">
        <f t="shared" si="2"/>
        <v>289104</v>
      </c>
      <c r="AE18" s="154">
        <f t="shared" si="2"/>
        <v>319759</v>
      </c>
      <c r="AF18" s="154">
        <f t="shared" ref="AF18:AG18" si="3">AF16+AF17</f>
        <v>323855</v>
      </c>
      <c r="AG18" s="154">
        <f t="shared" si="3"/>
        <v>266182</v>
      </c>
      <c r="AH18" s="154">
        <f t="shared" ref="AH18:AJ18" si="4">AH16+AH17</f>
        <v>287177</v>
      </c>
      <c r="AI18" s="154">
        <f>AI16+AI17</f>
        <v>223301</v>
      </c>
      <c r="AJ18" s="154">
        <f t="shared" si="4"/>
        <v>282602</v>
      </c>
      <c r="AK18" s="154">
        <f t="shared" ref="AK18:AL18" si="5">AK16+AK17</f>
        <v>262805</v>
      </c>
      <c r="AL18" s="154">
        <f t="shared" si="5"/>
        <v>93140</v>
      </c>
      <c r="AM18" s="154">
        <f t="shared" ref="AM18:AP18" si="6">AM16+AM17</f>
        <v>157795</v>
      </c>
      <c r="AN18" s="154">
        <f t="shared" si="6"/>
        <v>0</v>
      </c>
      <c r="AO18" s="154">
        <f t="shared" si="6"/>
        <v>0</v>
      </c>
      <c r="AP18" s="154">
        <f t="shared" si="6"/>
        <v>0</v>
      </c>
    </row>
    <row r="19" spans="2:42" x14ac:dyDescent="0.25">
      <c r="B19" s="195"/>
      <c r="C19" s="68" t="s">
        <v>27</v>
      </c>
      <c r="D19" s="1" t="s">
        <v>31</v>
      </c>
      <c r="E19" s="1" t="s">
        <v>4</v>
      </c>
      <c r="F19" s="100"/>
      <c r="G19" s="8">
        <v>2657411</v>
      </c>
      <c r="H19" s="101">
        <v>52484</v>
      </c>
      <c r="I19" s="101">
        <v>51663</v>
      </c>
      <c r="J19" s="101">
        <v>36166</v>
      </c>
      <c r="K19" s="101">
        <v>44140</v>
      </c>
      <c r="L19" s="8">
        <v>48250</v>
      </c>
      <c r="M19" s="8">
        <v>43660</v>
      </c>
      <c r="N19" s="101">
        <v>32827</v>
      </c>
      <c r="O19" s="101">
        <v>32621</v>
      </c>
      <c r="P19" s="102">
        <v>36836</v>
      </c>
      <c r="Q19" s="8">
        <v>47543</v>
      </c>
      <c r="R19" s="8">
        <f>8882+9331+9296+6693+10753+9041+7960</f>
        <v>61956</v>
      </c>
      <c r="S19" s="101">
        <f>9005+9272+8373+9858+9996+11202+10578</f>
        <v>68284</v>
      </c>
      <c r="T19" s="101">
        <v>64261</v>
      </c>
      <c r="U19" s="101">
        <v>51421</v>
      </c>
      <c r="V19" s="101">
        <v>50648</v>
      </c>
      <c r="W19" s="102">
        <v>53325</v>
      </c>
      <c r="X19" s="102">
        <v>48564</v>
      </c>
      <c r="Y19" s="155">
        <v>44776</v>
      </c>
      <c r="Z19" s="102">
        <v>49292</v>
      </c>
      <c r="AA19" s="155">
        <v>47282</v>
      </c>
      <c r="AB19" s="102">
        <f>10519+10879+8188+8800+7364+6557+9480</f>
        <v>61787</v>
      </c>
      <c r="AC19" s="155">
        <v>58155</v>
      </c>
      <c r="AD19" s="102">
        <v>60380</v>
      </c>
      <c r="AE19" s="155">
        <v>57012</v>
      </c>
      <c r="AF19" s="155">
        <v>53576</v>
      </c>
      <c r="AG19" s="155">
        <v>58821</v>
      </c>
      <c r="AH19" s="155">
        <v>54727</v>
      </c>
      <c r="AI19" s="155">
        <v>48799</v>
      </c>
      <c r="AJ19" s="155">
        <v>54922</v>
      </c>
      <c r="AK19" s="155">
        <v>47531</v>
      </c>
      <c r="AL19" s="155">
        <v>11096</v>
      </c>
      <c r="AM19" s="155">
        <v>21288</v>
      </c>
      <c r="AN19" s="155"/>
      <c r="AO19" s="155"/>
      <c r="AP19" s="155"/>
    </row>
    <row r="20" spans="2:42" x14ac:dyDescent="0.25">
      <c r="B20" s="195"/>
      <c r="C20" s="68" t="s">
        <v>28</v>
      </c>
      <c r="D20" s="1" t="s">
        <v>29</v>
      </c>
      <c r="E20" s="1" t="s">
        <v>4</v>
      </c>
      <c r="F20" s="100"/>
      <c r="G20" s="8"/>
      <c r="H20" s="101">
        <v>0</v>
      </c>
      <c r="I20" s="101">
        <v>0</v>
      </c>
      <c r="J20" s="101">
        <v>0</v>
      </c>
      <c r="K20" s="101">
        <v>0</v>
      </c>
      <c r="L20" s="8">
        <v>0</v>
      </c>
      <c r="M20" s="8">
        <v>15000</v>
      </c>
      <c r="N20" s="101">
        <v>32000</v>
      </c>
      <c r="O20" s="101">
        <v>32000</v>
      </c>
      <c r="P20" s="102">
        <v>18000</v>
      </c>
      <c r="Q20" s="8">
        <v>13000</v>
      </c>
      <c r="R20" s="8">
        <v>0</v>
      </c>
      <c r="S20" s="101">
        <v>0</v>
      </c>
      <c r="T20" s="133">
        <v>0</v>
      </c>
      <c r="U20" s="101">
        <v>0</v>
      </c>
      <c r="V20" s="101">
        <v>0</v>
      </c>
      <c r="W20" s="102">
        <v>1000</v>
      </c>
      <c r="X20" s="102">
        <v>0</v>
      </c>
      <c r="Y20" s="155">
        <v>0</v>
      </c>
      <c r="Z20" s="102">
        <v>0</v>
      </c>
      <c r="AA20" s="155">
        <v>0</v>
      </c>
      <c r="AB20" s="102">
        <v>500</v>
      </c>
      <c r="AC20" s="155">
        <v>0</v>
      </c>
      <c r="AD20" s="102">
        <v>0</v>
      </c>
      <c r="AE20" s="155">
        <v>0</v>
      </c>
      <c r="AF20" s="155">
        <v>0</v>
      </c>
      <c r="AG20" s="155">
        <v>0</v>
      </c>
      <c r="AH20" s="155">
        <v>0</v>
      </c>
      <c r="AI20" s="155">
        <v>0</v>
      </c>
      <c r="AJ20" s="155">
        <v>0</v>
      </c>
      <c r="AK20" s="155">
        <v>0</v>
      </c>
      <c r="AL20" s="155">
        <v>0</v>
      </c>
      <c r="AM20" s="155">
        <v>5000</v>
      </c>
      <c r="AN20" s="155"/>
      <c r="AO20" s="155"/>
      <c r="AP20" s="155"/>
    </row>
    <row r="21" spans="2:42" x14ac:dyDescent="0.25">
      <c r="B21" s="195"/>
      <c r="C21" s="68" t="s">
        <v>84</v>
      </c>
      <c r="D21" s="1" t="s">
        <v>29</v>
      </c>
      <c r="E21" s="1" t="s">
        <v>4</v>
      </c>
      <c r="F21" s="100"/>
      <c r="G21" s="8"/>
      <c r="H21" s="101">
        <v>14451</v>
      </c>
      <c r="I21" s="101">
        <v>22034</v>
      </c>
      <c r="J21" s="101">
        <v>5537</v>
      </c>
      <c r="K21" s="101">
        <v>5746</v>
      </c>
      <c r="L21" s="8">
        <v>3080</v>
      </c>
      <c r="M21" s="8">
        <v>13605</v>
      </c>
      <c r="N21" s="101">
        <v>24205</v>
      </c>
      <c r="O21" s="101">
        <v>4295</v>
      </c>
      <c r="P21" s="102">
        <v>6856</v>
      </c>
      <c r="Q21" s="8">
        <v>4061</v>
      </c>
      <c r="R21" s="8">
        <v>18257</v>
      </c>
      <c r="S21" s="101">
        <v>5300</v>
      </c>
      <c r="T21" s="133">
        <v>5247</v>
      </c>
      <c r="U21" s="101">
        <v>17496</v>
      </c>
      <c r="V21" s="101">
        <v>8158</v>
      </c>
      <c r="W21" s="102">
        <v>1553</v>
      </c>
      <c r="X21" s="102">
        <v>1247</v>
      </c>
      <c r="Y21" s="155">
        <v>4799</v>
      </c>
      <c r="Z21" s="102">
        <v>0</v>
      </c>
      <c r="AA21" s="155">
        <v>2709</v>
      </c>
      <c r="AB21" s="102">
        <v>2875</v>
      </c>
      <c r="AC21" s="155">
        <v>5608</v>
      </c>
      <c r="AD21" s="102">
        <v>45</v>
      </c>
      <c r="AE21" s="155">
        <v>3748</v>
      </c>
      <c r="AF21" s="155">
        <v>5555</v>
      </c>
      <c r="AG21" s="155">
        <v>11256</v>
      </c>
      <c r="AH21" s="155">
        <v>7410</v>
      </c>
      <c r="AI21" s="155">
        <v>7319</v>
      </c>
      <c r="AJ21" s="155">
        <v>1360</v>
      </c>
      <c r="AK21" s="155">
        <v>2532</v>
      </c>
      <c r="AL21" s="155">
        <v>2360</v>
      </c>
      <c r="AM21" s="155">
        <v>635</v>
      </c>
      <c r="AN21" s="155"/>
      <c r="AO21" s="155"/>
      <c r="AP21" s="155"/>
    </row>
    <row r="22" spans="2:42" x14ac:dyDescent="0.25">
      <c r="B22" s="195"/>
      <c r="C22" s="68" t="s">
        <v>32</v>
      </c>
      <c r="D22" s="1" t="s">
        <v>31</v>
      </c>
      <c r="E22" s="1" t="s">
        <v>4</v>
      </c>
      <c r="F22" s="100"/>
      <c r="G22" s="8">
        <v>252</v>
      </c>
      <c r="H22" s="101">
        <v>214</v>
      </c>
      <c r="I22" s="101">
        <v>231</v>
      </c>
      <c r="J22" s="101">
        <v>185</v>
      </c>
      <c r="K22" s="101">
        <v>143</v>
      </c>
      <c r="L22" s="8">
        <v>180</v>
      </c>
      <c r="M22" s="8">
        <v>139</v>
      </c>
      <c r="N22" s="101">
        <v>155</v>
      </c>
      <c r="O22" s="101">
        <v>174</v>
      </c>
      <c r="P22" s="102">
        <v>302</v>
      </c>
      <c r="Q22" s="8">
        <v>198</v>
      </c>
      <c r="R22" s="8">
        <v>319</v>
      </c>
      <c r="S22" s="101">
        <v>491</v>
      </c>
      <c r="T22" s="133">
        <v>499</v>
      </c>
      <c r="U22" s="101">
        <v>241</v>
      </c>
      <c r="V22" s="101">
        <v>277</v>
      </c>
      <c r="W22" s="102">
        <v>280</v>
      </c>
      <c r="X22" s="102">
        <v>217</v>
      </c>
      <c r="Y22" s="155">
        <v>231</v>
      </c>
      <c r="Z22" s="102">
        <v>213</v>
      </c>
      <c r="AA22" s="155">
        <v>196</v>
      </c>
      <c r="AB22" s="102">
        <v>415</v>
      </c>
      <c r="AC22" s="155">
        <v>349</v>
      </c>
      <c r="AD22" s="102">
        <v>171</v>
      </c>
      <c r="AE22" s="155">
        <v>220</v>
      </c>
      <c r="AF22" s="155">
        <v>268</v>
      </c>
      <c r="AG22" s="191">
        <v>182</v>
      </c>
      <c r="AH22" s="155">
        <v>182</v>
      </c>
      <c r="AI22" s="155">
        <v>306</v>
      </c>
      <c r="AJ22" s="155">
        <v>221</v>
      </c>
      <c r="AK22" s="155">
        <v>157</v>
      </c>
      <c r="AL22" s="155">
        <v>282</v>
      </c>
      <c r="AM22" s="155">
        <v>220</v>
      </c>
      <c r="AN22" s="155"/>
      <c r="AO22" s="155"/>
      <c r="AP22" s="155"/>
    </row>
    <row r="23" spans="2:42" ht="15.75" thickBot="1" x14ac:dyDescent="0.3">
      <c r="B23" s="196"/>
      <c r="C23" s="64" t="s">
        <v>123</v>
      </c>
      <c r="D23" s="99" t="s">
        <v>31</v>
      </c>
      <c r="E23" s="99" t="s">
        <v>4</v>
      </c>
      <c r="F23" s="52"/>
      <c r="G23" s="16"/>
      <c r="H23" s="53"/>
      <c r="I23" s="53"/>
      <c r="J23" s="53"/>
      <c r="K23" s="53">
        <v>916</v>
      </c>
      <c r="L23" s="16">
        <v>892</v>
      </c>
      <c r="M23" s="16">
        <v>1086</v>
      </c>
      <c r="N23" s="53">
        <v>1159</v>
      </c>
      <c r="O23" s="53">
        <v>1145</v>
      </c>
      <c r="P23" s="65">
        <v>900</v>
      </c>
      <c r="Q23" s="16">
        <v>1167</v>
      </c>
      <c r="R23" s="16">
        <v>1156</v>
      </c>
      <c r="S23" s="53">
        <v>1080</v>
      </c>
      <c r="T23" s="131">
        <v>989</v>
      </c>
      <c r="U23" s="53">
        <v>927</v>
      </c>
      <c r="V23" s="53">
        <v>862</v>
      </c>
      <c r="W23" s="65">
        <v>948</v>
      </c>
      <c r="X23" s="65">
        <v>901</v>
      </c>
      <c r="Y23" s="152">
        <v>835</v>
      </c>
      <c r="Z23" s="65">
        <v>968</v>
      </c>
      <c r="AA23" s="152">
        <v>647</v>
      </c>
      <c r="AB23" s="65">
        <v>1389</v>
      </c>
      <c r="AC23" s="152">
        <v>915</v>
      </c>
      <c r="AD23" s="65">
        <v>1303</v>
      </c>
      <c r="AE23" s="152">
        <v>1166</v>
      </c>
      <c r="AF23" s="152">
        <v>1057</v>
      </c>
      <c r="AG23" s="152">
        <v>1141</v>
      </c>
      <c r="AH23" s="152">
        <v>1104</v>
      </c>
      <c r="AI23" s="152">
        <v>889</v>
      </c>
      <c r="AJ23" s="152">
        <v>1115</v>
      </c>
      <c r="AK23" s="152">
        <v>960</v>
      </c>
      <c r="AL23" s="152">
        <v>129</v>
      </c>
      <c r="AM23" s="152">
        <v>549</v>
      </c>
      <c r="AN23" s="152"/>
      <c r="AO23" s="152"/>
      <c r="AP23" s="152"/>
    </row>
    <row r="24" spans="2:42" ht="17.25" customHeight="1" x14ac:dyDescent="0.25">
      <c r="B24" s="198" t="s">
        <v>8</v>
      </c>
      <c r="C24" s="66" t="s">
        <v>9</v>
      </c>
      <c r="D24" s="4" t="s">
        <v>11</v>
      </c>
      <c r="E24" s="5" t="s">
        <v>4</v>
      </c>
      <c r="F24" s="6" t="s">
        <v>10</v>
      </c>
      <c r="G24" s="39">
        <f t="shared" ref="G24:K24" si="7">(G42/G37)*1000</f>
        <v>0.41732347762540306</v>
      </c>
      <c r="H24" s="47">
        <f t="shared" si="7"/>
        <v>18.786677844676472</v>
      </c>
      <c r="I24" s="47">
        <f t="shared" si="7"/>
        <v>19.182006464974936</v>
      </c>
      <c r="J24" s="47">
        <f t="shared" si="7"/>
        <v>23.198584305701488</v>
      </c>
      <c r="K24" s="47">
        <f t="shared" si="7"/>
        <v>25.917535115541462</v>
      </c>
      <c r="L24" s="39">
        <f>(L42/L37)*1000</f>
        <v>25.077720207253886</v>
      </c>
      <c r="M24" s="39">
        <f t="shared" ref="M24:W24" si="8">(M42/M37)*1000</f>
        <v>44.411360513055428</v>
      </c>
      <c r="N24" s="103">
        <f>(N42/N37)*1000</f>
        <v>61.656563194930996</v>
      </c>
      <c r="O24" s="106">
        <f t="shared" ref="O24" si="9">(O42/O37)*1000</f>
        <v>69.740351307439994</v>
      </c>
      <c r="P24" s="67">
        <f t="shared" si="8"/>
        <v>34.287110435443587</v>
      </c>
      <c r="Q24" s="107">
        <f t="shared" si="8"/>
        <v>23.179016889973287</v>
      </c>
      <c r="R24" s="121">
        <f t="shared" si="8"/>
        <v>19.433146103686489</v>
      </c>
      <c r="S24" s="145">
        <f t="shared" si="8"/>
        <v>19.477476422002226</v>
      </c>
      <c r="T24" s="124">
        <f t="shared" si="8"/>
        <v>19.234061094598591</v>
      </c>
      <c r="U24" s="124">
        <f t="shared" si="8"/>
        <v>18.397152914179031</v>
      </c>
      <c r="V24" s="124">
        <f t="shared" si="8"/>
        <v>18.421260464381614</v>
      </c>
      <c r="W24" s="124">
        <f t="shared" si="8"/>
        <v>18.771683075480542</v>
      </c>
      <c r="X24" s="124">
        <f t="shared" ref="X24" si="10">(X42/X37)*1000</f>
        <v>18.511654723663618</v>
      </c>
      <c r="Y24" s="156">
        <f>(Y42/Y37)*1000</f>
        <v>19.474718599249595</v>
      </c>
      <c r="Z24" s="124">
        <f t="shared" ref="Z24" si="11">(Z42/Z37)*1000</f>
        <v>19.455489734642537</v>
      </c>
      <c r="AA24" s="156">
        <f>(AA42/AA37)*1000</f>
        <v>19.034727803392414</v>
      </c>
      <c r="AB24" s="156">
        <f t="shared" ref="AB24:AC24" si="12">(AB42/AB37)*1000</f>
        <v>19.47011507274993</v>
      </c>
      <c r="AC24" s="156">
        <f t="shared" si="12"/>
        <v>19.138509156564353</v>
      </c>
      <c r="AD24" s="156">
        <f t="shared" ref="AD24:AE24" si="13">(AD42/AD37)*1000</f>
        <v>19.360715468698245</v>
      </c>
      <c r="AE24" s="156">
        <f t="shared" si="13"/>
        <v>19.504665684417315</v>
      </c>
      <c r="AF24" s="156">
        <f t="shared" ref="AF24:AG24" si="14">(AF42/AF37)*1000</f>
        <v>19.971629087651188</v>
      </c>
      <c r="AG24" s="156">
        <f t="shared" si="14"/>
        <v>18.836809982829262</v>
      </c>
      <c r="AH24" s="156">
        <f t="shared" ref="AH24:AJ24" si="15">(AH42/AH37)*1000</f>
        <v>18.528331536535898</v>
      </c>
      <c r="AI24" s="156">
        <f t="shared" si="15"/>
        <v>19.057767577204451</v>
      </c>
      <c r="AJ24" s="156">
        <f t="shared" si="15"/>
        <v>19.518590000364153</v>
      </c>
      <c r="AK24" s="156">
        <f t="shared" ref="AK24:AL24" si="16">(AK42/AK37)*1000</f>
        <v>18.198649302560437</v>
      </c>
      <c r="AL24" s="156">
        <f t="shared" si="16"/>
        <v>14.059120403749098</v>
      </c>
      <c r="AM24" s="156">
        <f t="shared" ref="AM24:AP24" si="17">(AM42/AM37)*1000</f>
        <v>25.178504321683576</v>
      </c>
      <c r="AN24" s="156" t="e">
        <f t="shared" si="17"/>
        <v>#DIV/0!</v>
      </c>
      <c r="AO24" s="156" t="e">
        <f t="shared" si="17"/>
        <v>#DIV/0!</v>
      </c>
      <c r="AP24" s="156" t="e">
        <f t="shared" si="17"/>
        <v>#DIV/0!</v>
      </c>
    </row>
    <row r="25" spans="2:42" x14ac:dyDescent="0.25">
      <c r="B25" s="198"/>
      <c r="C25" s="68" t="s">
        <v>86</v>
      </c>
      <c r="D25" s="1" t="s">
        <v>85</v>
      </c>
      <c r="E25" s="1" t="s">
        <v>4</v>
      </c>
      <c r="F25" s="3" t="s">
        <v>146</v>
      </c>
      <c r="G25" s="7"/>
      <c r="H25" s="43">
        <f>H39/H35</f>
        <v>0.20879327284285962</v>
      </c>
      <c r="I25" s="43">
        <f t="shared" ref="I25:K25" si="18">I39/I35</f>
        <v>0.24260641694743565</v>
      </c>
      <c r="J25" s="35">
        <f t="shared" si="18"/>
        <v>0.24893224834779482</v>
      </c>
      <c r="K25" s="35">
        <f t="shared" si="18"/>
        <v>0.24910044652533922</v>
      </c>
      <c r="L25" s="35">
        <f>L21/L17</f>
        <v>0.23708721422523285</v>
      </c>
      <c r="M25" s="35">
        <f>M21/M17</f>
        <v>0.24673558215451577</v>
      </c>
      <c r="N25" s="35">
        <f>N21/N17</f>
        <v>0.24711335259466469</v>
      </c>
      <c r="O25" s="69">
        <f t="shared" ref="O25" si="19">O39/O35</f>
        <v>0.24457604919993167</v>
      </c>
      <c r="P25" s="69">
        <f>P39/P35</f>
        <v>0.24261297285820446</v>
      </c>
      <c r="Q25" s="105">
        <f t="shared" ref="Q25:T25" si="20">Q39/Q35</f>
        <v>0.24240434549035994</v>
      </c>
      <c r="R25" s="122">
        <f t="shared" si="20"/>
        <v>0.24333906460340943</v>
      </c>
      <c r="S25" s="35">
        <f t="shared" si="20"/>
        <v>0.23952637049758213</v>
      </c>
      <c r="T25" s="125">
        <f t="shared" si="20"/>
        <v>0.24461538461538462</v>
      </c>
      <c r="U25" s="125">
        <f t="shared" ref="U25:W25" si="21">U39/U35</f>
        <v>0.24607248843194893</v>
      </c>
      <c r="V25" s="125">
        <f t="shared" si="21"/>
        <v>0.24775267249757046</v>
      </c>
      <c r="W25" s="125">
        <f t="shared" si="21"/>
        <v>0.24737177445046193</v>
      </c>
      <c r="X25" s="149">
        <f t="shared" ref="X25:Y25" si="22">X39/X35</f>
        <v>0.2471264367816092</v>
      </c>
      <c r="Y25" s="158">
        <f t="shared" si="22"/>
        <v>0.25192923513045307</v>
      </c>
      <c r="Z25" s="125" t="e">
        <f t="shared" ref="Z25:AD25" si="23">Z39/Z35</f>
        <v>#DIV/0!</v>
      </c>
      <c r="AA25" s="158">
        <f>AA39/AA35</f>
        <v>0.30224255271672429</v>
      </c>
      <c r="AB25" s="175">
        <f t="shared" si="23"/>
        <v>0.24182016990495417</v>
      </c>
      <c r="AC25" s="175">
        <f t="shared" si="23"/>
        <v>0.23968884899773477</v>
      </c>
      <c r="AD25" s="158">
        <f t="shared" si="23"/>
        <v>0.28301886792452829</v>
      </c>
      <c r="AE25" s="175">
        <f>AE39/AE35</f>
        <v>0.24362974518980759</v>
      </c>
      <c r="AF25" s="175">
        <f t="shared" ref="AF25:AG25" si="24">AF39/AF35</f>
        <v>0.24284153005464482</v>
      </c>
      <c r="AG25" s="175">
        <f t="shared" si="24"/>
        <v>1</v>
      </c>
      <c r="AH25" s="158">
        <f t="shared" ref="AH25:AJ25" si="25">AH39/AH35</f>
        <v>0.24714004602608144</v>
      </c>
      <c r="AI25" s="175">
        <f t="shared" si="25"/>
        <v>1.1101167905354163</v>
      </c>
      <c r="AJ25" s="175">
        <f t="shared" si="25"/>
        <v>0.24473636854417852</v>
      </c>
      <c r="AK25" s="158">
        <f t="shared" ref="AK25:AL25" si="26">AK39/AK35</f>
        <v>0.24891860007864727</v>
      </c>
      <c r="AL25" s="158">
        <f t="shared" si="26"/>
        <v>0.2937515558874782</v>
      </c>
      <c r="AM25" s="158">
        <f t="shared" ref="AM25:AP25" si="27">AM39/AM35</f>
        <v>0.31358024691358027</v>
      </c>
      <c r="AN25" s="175" t="e">
        <f t="shared" si="27"/>
        <v>#DIV/0!</v>
      </c>
      <c r="AO25" s="175" t="e">
        <f t="shared" si="27"/>
        <v>#DIV/0!</v>
      </c>
      <c r="AP25" s="175" t="e">
        <f t="shared" si="27"/>
        <v>#DIV/0!</v>
      </c>
    </row>
    <row r="26" spans="2:42" x14ac:dyDescent="0.25">
      <c r="B26" s="198"/>
      <c r="C26" s="68" t="s">
        <v>97</v>
      </c>
      <c r="D26" s="1" t="s">
        <v>12</v>
      </c>
      <c r="E26" s="1" t="s">
        <v>4</v>
      </c>
      <c r="F26" s="3"/>
      <c r="G26" s="7">
        <f t="shared" ref="G26:J26" si="28">G41/G44</f>
        <v>6.0248165060845862E-3</v>
      </c>
      <c r="H26" s="7">
        <f t="shared" si="28"/>
        <v>5.5171702588429411E-3</v>
      </c>
      <c r="I26" s="7">
        <f t="shared" si="28"/>
        <v>5.6922800145201924E-3</v>
      </c>
      <c r="J26" s="7">
        <f t="shared" si="28"/>
        <v>6.6837674771487408E-3</v>
      </c>
      <c r="K26" s="7">
        <f>K41/K44</f>
        <v>7.6710752783323605E-4</v>
      </c>
      <c r="L26" s="7">
        <f>L41/L44</f>
        <v>5.6507816914673197E-3</v>
      </c>
      <c r="M26" s="7">
        <f>M41/M44</f>
        <v>3.8804053488177325E-3</v>
      </c>
      <c r="N26" s="7">
        <f>N41/N44</f>
        <v>3.4171075837742503E-3</v>
      </c>
      <c r="O26" s="70">
        <f t="shared" ref="O26:T26" si="29">O41/O44</f>
        <v>3.641538654723536E-3</v>
      </c>
      <c r="P26" s="70">
        <f t="shared" si="29"/>
        <v>7.3315206836278889E-3</v>
      </c>
      <c r="Q26" s="70">
        <f t="shared" si="29"/>
        <v>2.3158897422158719E-2</v>
      </c>
      <c r="R26" s="123">
        <f t="shared" si="29"/>
        <v>6.7386298823380302E-3</v>
      </c>
      <c r="S26" s="7">
        <f t="shared" si="29"/>
        <v>1.0402542372881357E-2</v>
      </c>
      <c r="T26" s="126">
        <f t="shared" si="29"/>
        <v>1.2793559634909239E-2</v>
      </c>
      <c r="U26" s="126">
        <f t="shared" ref="U26:W26" si="30">U41/U44</f>
        <v>9.5437985110090294E-3</v>
      </c>
      <c r="V26" s="126">
        <f t="shared" si="30"/>
        <v>8.2210482578500624E-3</v>
      </c>
      <c r="W26" s="126">
        <f t="shared" si="30"/>
        <v>9.6276175085101261E-3</v>
      </c>
      <c r="X26" s="126">
        <f t="shared" ref="X26:Y26" si="31">X41/X44</f>
        <v>6.8627450980392156E-3</v>
      </c>
      <c r="Y26" s="157">
        <f t="shared" si="31"/>
        <v>7.9553672900092992E-3</v>
      </c>
      <c r="Z26" s="126">
        <f t="shared" ref="Z26:AC26" si="32">Z41/Z44</f>
        <v>8.6529086772830673E-3</v>
      </c>
      <c r="AA26" s="157">
        <f t="shared" si="32"/>
        <v>8.793180798564379E-3</v>
      </c>
      <c r="AB26" s="157">
        <f t="shared" si="32"/>
        <v>1.1122129016696593E-2</v>
      </c>
      <c r="AC26" s="157">
        <f t="shared" si="32"/>
        <v>1.0158933457530418E-2</v>
      </c>
      <c r="AD26" s="157">
        <f t="shared" ref="AD26" si="33">AD41/AD44</f>
        <v>4.6253719231809575E-3</v>
      </c>
      <c r="AE26" s="157">
        <f>AE41/AE44</f>
        <v>5.3414912472382059E-3</v>
      </c>
      <c r="AF26" s="157">
        <f t="shared" ref="AF26:AG26" si="34">AF41/AF44</f>
        <v>6.2091654696260603E-3</v>
      </c>
      <c r="AG26" s="157">
        <f t="shared" si="34"/>
        <v>4.7429181976910845E-3</v>
      </c>
      <c r="AH26" s="157">
        <f t="shared" ref="AH26:AJ26" si="35">AH41/AH44</f>
        <v>7.3320133646825889E-3</v>
      </c>
      <c r="AI26" s="157">
        <f t="shared" si="35"/>
        <v>1.1296932107653118E-2</v>
      </c>
      <c r="AJ26" s="157">
        <f t="shared" si="35"/>
        <v>5.6788981395826908E-3</v>
      </c>
      <c r="AK26" s="157">
        <f t="shared" ref="AK26:AL26" si="36">AK41/AK44</f>
        <v>5.948772355259169E-3</v>
      </c>
      <c r="AL26" s="157" t="e">
        <f t="shared" si="36"/>
        <v>#DIV/0!</v>
      </c>
      <c r="AM26" s="157">
        <f t="shared" ref="AM26:AP26" si="37">AM41/AM44</f>
        <v>1.2741066774772688E-2</v>
      </c>
      <c r="AN26" s="157" t="e">
        <f t="shared" si="37"/>
        <v>#DIV/0!</v>
      </c>
      <c r="AO26" s="157" t="e">
        <f t="shared" si="37"/>
        <v>#DIV/0!</v>
      </c>
      <c r="AP26" s="157" t="e">
        <f t="shared" si="37"/>
        <v>#DIV/0!</v>
      </c>
    </row>
    <row r="27" spans="2:42" x14ac:dyDescent="0.25">
      <c r="B27" s="198"/>
      <c r="C27" s="71" t="s">
        <v>96</v>
      </c>
      <c r="D27" s="1" t="s">
        <v>13</v>
      </c>
      <c r="E27" s="1" t="s">
        <v>4</v>
      </c>
      <c r="F27" s="3"/>
      <c r="G27" s="7"/>
      <c r="H27" s="7"/>
      <c r="I27" s="7"/>
      <c r="J27" s="7"/>
      <c r="K27" s="7"/>
      <c r="L27" s="7"/>
      <c r="M27" s="7"/>
      <c r="N27" s="7"/>
      <c r="O27" s="70"/>
      <c r="P27" s="70"/>
      <c r="Q27" s="7"/>
      <c r="R27" s="123"/>
      <c r="S27" s="7"/>
      <c r="T27" s="127"/>
      <c r="U27" s="127"/>
      <c r="V27" s="127"/>
      <c r="W27" s="70"/>
      <c r="X27" s="70"/>
      <c r="Y27" s="123"/>
      <c r="Z27" s="70"/>
      <c r="AA27" s="123"/>
      <c r="AB27" s="70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</row>
    <row r="28" spans="2:42" x14ac:dyDescent="0.25">
      <c r="B28" s="198"/>
      <c r="C28" s="71" t="s">
        <v>98</v>
      </c>
      <c r="D28" s="1" t="s">
        <v>12</v>
      </c>
      <c r="E28" s="1" t="s">
        <v>4</v>
      </c>
      <c r="F28" s="3"/>
      <c r="G28" s="7"/>
      <c r="H28" s="7"/>
      <c r="I28" s="7"/>
      <c r="J28" s="7"/>
      <c r="K28" s="7"/>
      <c r="L28" s="7"/>
      <c r="M28" s="7"/>
      <c r="N28" s="7"/>
      <c r="O28" s="70"/>
      <c r="P28" s="70"/>
      <c r="Q28" s="7"/>
      <c r="R28" s="123"/>
      <c r="S28" s="7"/>
      <c r="T28" s="127"/>
      <c r="U28" s="127"/>
      <c r="V28" s="127"/>
      <c r="W28" s="70"/>
      <c r="X28" s="70"/>
      <c r="Y28" s="123"/>
      <c r="Z28" s="70"/>
      <c r="AA28" s="123"/>
      <c r="AB28" s="70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</row>
    <row r="29" spans="2:42" x14ac:dyDescent="0.25">
      <c r="B29" s="198"/>
      <c r="C29" s="62" t="s">
        <v>95</v>
      </c>
      <c r="D29" s="1" t="s">
        <v>94</v>
      </c>
      <c r="E29" s="1" t="s">
        <v>4</v>
      </c>
      <c r="F29" s="3"/>
      <c r="G29" s="7">
        <f t="shared" ref="G29" si="38">G44/G37</f>
        <v>1.5739755724650799E-2</v>
      </c>
      <c r="H29" s="7">
        <v>7.0000000000000007E-2</v>
      </c>
      <c r="I29" s="7">
        <v>7.0000000000000007E-2</v>
      </c>
      <c r="J29" s="7" t="s">
        <v>87</v>
      </c>
      <c r="K29" s="7" t="s">
        <v>112</v>
      </c>
      <c r="L29" s="7">
        <f>L44/L37</f>
        <v>0.66018652849740933</v>
      </c>
      <c r="M29" s="7">
        <f t="shared" ref="M29" si="39">M44/M37</f>
        <v>0.82045350435180942</v>
      </c>
      <c r="N29" s="7">
        <f>N44/N37</f>
        <v>1.3817893806927224</v>
      </c>
      <c r="O29" s="7">
        <f>O44/O37</f>
        <v>1.4647619631525703</v>
      </c>
      <c r="P29" s="7">
        <f>P44/P37</f>
        <v>1.1182538820718861</v>
      </c>
      <c r="Q29" s="7">
        <f>Q44/Q37</f>
        <v>1.0599036661548493</v>
      </c>
      <c r="R29" s="123">
        <f t="shared" ref="R29:T29" si="40">R44/R37</f>
        <v>0.76407450448705538</v>
      </c>
      <c r="S29" s="7">
        <f t="shared" si="40"/>
        <v>0.69123074219436476</v>
      </c>
      <c r="T29" s="127">
        <f t="shared" si="40"/>
        <v>0.60696223214702538</v>
      </c>
      <c r="U29" s="127">
        <f t="shared" ref="U29:W29" si="41">U44/U37</f>
        <v>0.49108340950195445</v>
      </c>
      <c r="V29" s="127">
        <f t="shared" si="41"/>
        <v>0.66525825304059394</v>
      </c>
      <c r="W29" s="127">
        <f t="shared" si="41"/>
        <v>0.5453914674167839</v>
      </c>
      <c r="X29" s="127">
        <f t="shared" ref="X29:Y29" si="42">X44/X37</f>
        <v>0.65109957993575485</v>
      </c>
      <c r="Y29" s="157">
        <f t="shared" si="42"/>
        <v>0.64849472931927821</v>
      </c>
      <c r="Z29" s="127">
        <f t="shared" ref="Z29:AC29" si="43">Z44/Z37</f>
        <v>0.49939138196867644</v>
      </c>
      <c r="AA29" s="157">
        <f t="shared" si="43"/>
        <v>0.47142675859735206</v>
      </c>
      <c r="AB29" s="157">
        <f t="shared" si="43"/>
        <v>0.60389725994141163</v>
      </c>
      <c r="AC29" s="157">
        <f t="shared" si="43"/>
        <v>0.59073166537700972</v>
      </c>
      <c r="AD29" s="157">
        <f t="shared" ref="AD29:AE29" si="44">AD44/AD37</f>
        <v>0.61228883736336537</v>
      </c>
      <c r="AE29" s="157">
        <f t="shared" si="44"/>
        <v>0.72242685750368341</v>
      </c>
      <c r="AF29" s="157">
        <f t="shared" ref="AF29:AG29" si="45">AF44/AF37</f>
        <v>0.80562192026280421</v>
      </c>
      <c r="AG29" s="157">
        <f t="shared" si="45"/>
        <v>0.65236905186923033</v>
      </c>
      <c r="AH29" s="157">
        <f t="shared" ref="AH29:AJ29" si="46">AH44/AH37</f>
        <v>0.59064081714692929</v>
      </c>
      <c r="AI29" s="157">
        <f t="shared" si="46"/>
        <v>0.5550728498534806</v>
      </c>
      <c r="AJ29" s="157">
        <f t="shared" si="46"/>
        <v>0.70856851534904042</v>
      </c>
      <c r="AK29" s="157">
        <f t="shared" ref="AK29:AL29" si="47">AK44/AK37</f>
        <v>0.55525867328690748</v>
      </c>
      <c r="AL29" s="157">
        <f t="shared" si="47"/>
        <v>0</v>
      </c>
      <c r="AM29" s="157">
        <f t="shared" ref="AM29:AP29" si="48">AM44/AM37</f>
        <v>0.81111424276587751</v>
      </c>
      <c r="AN29" s="157" t="e">
        <f t="shared" si="48"/>
        <v>#DIV/0!</v>
      </c>
      <c r="AO29" s="157" t="e">
        <f t="shared" si="48"/>
        <v>#DIV/0!</v>
      </c>
      <c r="AP29" s="157" t="e">
        <f t="shared" si="48"/>
        <v>#DIV/0!</v>
      </c>
    </row>
    <row r="30" spans="2:42" x14ac:dyDescent="0.25">
      <c r="B30" s="198"/>
      <c r="C30" s="71" t="s">
        <v>14</v>
      </c>
      <c r="D30" s="1" t="s">
        <v>15</v>
      </c>
      <c r="E30" s="1" t="s">
        <v>4</v>
      </c>
      <c r="F30" s="3"/>
      <c r="G30" s="7"/>
      <c r="H30" s="7"/>
      <c r="I30" s="7"/>
      <c r="J30" s="7"/>
      <c r="K30" s="7"/>
      <c r="L30" s="7"/>
      <c r="M30" s="7"/>
      <c r="N30" s="7"/>
      <c r="O30" s="70"/>
      <c r="P30" s="70"/>
      <c r="Q30" s="7"/>
      <c r="R30" s="123"/>
      <c r="S30" s="7"/>
      <c r="T30" s="127"/>
      <c r="U30" s="127"/>
      <c r="V30" s="127"/>
      <c r="W30" s="70"/>
      <c r="X30" s="70"/>
      <c r="Y30" s="123"/>
      <c r="Z30" s="70"/>
      <c r="AA30" s="123"/>
      <c r="AB30" s="70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</row>
    <row r="31" spans="2:42" x14ac:dyDescent="0.25">
      <c r="B31" s="198"/>
      <c r="C31" s="62" t="s">
        <v>16</v>
      </c>
      <c r="D31" s="1" t="s">
        <v>15</v>
      </c>
      <c r="E31" s="1" t="s">
        <v>4</v>
      </c>
      <c r="F31" s="3">
        <v>8.1</v>
      </c>
      <c r="G31" s="35">
        <f t="shared" ref="G31:K31" si="49">G36/G44</f>
        <v>8.4175532550744734</v>
      </c>
      <c r="H31" s="43">
        <f t="shared" si="49"/>
        <v>8.7388883159740125</v>
      </c>
      <c r="I31" s="43">
        <f t="shared" si="49"/>
        <v>7.7872115531973973</v>
      </c>
      <c r="J31" s="43">
        <f t="shared" si="49"/>
        <v>9.3363199537555541</v>
      </c>
      <c r="K31" s="35">
        <f t="shared" si="49"/>
        <v>1.2757749202229629</v>
      </c>
      <c r="L31" s="35">
        <f>L36/L44</f>
        <v>5.7574244992779553</v>
      </c>
      <c r="M31" s="35">
        <f t="shared" ref="M31:T31" si="50">M36/M44</f>
        <v>9.2077831439658304</v>
      </c>
      <c r="N31" s="35">
        <f>N36/N44</f>
        <v>8.7697751322751323</v>
      </c>
      <c r="O31" s="69">
        <f t="shared" ref="O31" si="51">O36/O44</f>
        <v>7.5624921518563477</v>
      </c>
      <c r="P31" s="69">
        <f t="shared" si="50"/>
        <v>7.4217323752184887</v>
      </c>
      <c r="Q31" s="69">
        <f t="shared" si="50"/>
        <v>6.9498521561389932</v>
      </c>
      <c r="R31" s="122">
        <f t="shared" si="50"/>
        <v>7.2489068210143852</v>
      </c>
      <c r="S31" s="35">
        <f t="shared" si="50"/>
        <v>7.5187711864406781</v>
      </c>
      <c r="T31" s="125">
        <f t="shared" si="50"/>
        <v>8.263485796328581</v>
      </c>
      <c r="U31" s="125">
        <f>U36/U44</f>
        <v>10.76160304134326</v>
      </c>
      <c r="V31" s="125">
        <f t="shared" ref="V31" si="52">V36/V44</f>
        <v>8.0660651748085712</v>
      </c>
      <c r="W31" s="125">
        <f t="shared" ref="W31:X31" si="53">W36/W44</f>
        <v>8.7314926245573012</v>
      </c>
      <c r="X31" s="149">
        <f t="shared" si="53"/>
        <v>8.1623339658444021</v>
      </c>
      <c r="Y31" s="158">
        <f t="shared" ref="Y31" si="54">Y36/Y44</f>
        <v>8.6997968109653208</v>
      </c>
      <c r="Z31" s="149">
        <f>Z36/Z44</f>
        <v>9.0539080272993182</v>
      </c>
      <c r="AA31" s="158">
        <f t="shared" ref="AA31:AC31" si="55">AA36/AA44</f>
        <v>9.7440107671601623</v>
      </c>
      <c r="AB31" s="158">
        <f t="shared" si="55"/>
        <v>7.48186958968724</v>
      </c>
      <c r="AC31" s="158">
        <f t="shared" si="55"/>
        <v>8.0534144495546371</v>
      </c>
      <c r="AD31" s="158">
        <f t="shared" ref="AD31:AE31" si="56">AD36/AD44</f>
        <v>7.8199621314579391</v>
      </c>
      <c r="AE31" s="158">
        <f t="shared" si="56"/>
        <v>7.7635904532983711</v>
      </c>
      <c r="AF31" s="158">
        <f t="shared" ref="AF31:AG31" si="57">AF36/AF44</f>
        <v>7.5032435939020434</v>
      </c>
      <c r="AG31" s="158">
        <f t="shared" si="57"/>
        <v>6.9958043415943498</v>
      </c>
      <c r="AH31" s="158">
        <f t="shared" ref="AH31:AJ31" si="58">AH36/AH44</f>
        <v>8.884327434723426</v>
      </c>
      <c r="AI31" s="158">
        <f t="shared" si="58"/>
        <v>8.2438439103629051</v>
      </c>
      <c r="AJ31" s="158">
        <f t="shared" si="58"/>
        <v>7.2618460273409395</v>
      </c>
      <c r="AK31" s="158">
        <f t="shared" ref="AK31:AL31" si="59">AK36/AK44</f>
        <v>9.9577523491967259</v>
      </c>
      <c r="AL31" s="158" t="e">
        <f t="shared" si="59"/>
        <v>#DIV/0!</v>
      </c>
      <c r="AM31" s="158">
        <f t="shared" ref="AM31:AP31" si="60">AM36/AM44</f>
        <v>9.1385301442057099</v>
      </c>
      <c r="AN31" s="158" t="e">
        <f t="shared" si="60"/>
        <v>#DIV/0!</v>
      </c>
      <c r="AO31" s="158" t="e">
        <f t="shared" si="60"/>
        <v>#DIV/0!</v>
      </c>
      <c r="AP31" s="158" t="e">
        <f t="shared" si="60"/>
        <v>#DIV/0!</v>
      </c>
    </row>
    <row r="32" spans="2:42" x14ac:dyDescent="0.25">
      <c r="B32" s="198"/>
      <c r="C32" s="62" t="s">
        <v>17</v>
      </c>
      <c r="D32" s="1" t="s">
        <v>18</v>
      </c>
      <c r="E32" s="1" t="s">
        <v>4</v>
      </c>
      <c r="F32" s="3">
        <v>4.7</v>
      </c>
      <c r="G32" s="51">
        <f t="shared" ref="G32:K32" si="61">G43/G44</f>
        <v>5.3078155258565038</v>
      </c>
      <c r="H32" s="43">
        <f t="shared" si="61"/>
        <v>5.4308033412395584</v>
      </c>
      <c r="I32" s="43">
        <f t="shared" si="61"/>
        <v>5.4199869662065643</v>
      </c>
      <c r="J32" s="43">
        <f t="shared" si="61"/>
        <v>6.2523935113262761</v>
      </c>
      <c r="K32" s="35">
        <f t="shared" si="61"/>
        <v>0</v>
      </c>
      <c r="L32" s="35">
        <f>L43/L44</f>
        <v>6.2230803038864817</v>
      </c>
      <c r="M32" s="51">
        <f>M43/(M44-6481)</f>
        <v>6.4815950920245395</v>
      </c>
      <c r="N32" s="104">
        <f>N43/(N44)</f>
        <v>4.920414462081129</v>
      </c>
      <c r="O32" s="105">
        <f t="shared" ref="O32:T32" si="62">O43/O44</f>
        <v>4.6075928173789293</v>
      </c>
      <c r="P32" s="69">
        <f t="shared" si="62"/>
        <v>4.8856574092056713</v>
      </c>
      <c r="Q32" s="69">
        <f t="shared" si="62"/>
        <v>4.4045563691929113</v>
      </c>
      <c r="R32" s="122">
        <f t="shared" si="62"/>
        <v>4.5685375694459118</v>
      </c>
      <c r="S32" s="35">
        <f t="shared" si="62"/>
        <v>4.9305084745762713</v>
      </c>
      <c r="T32" s="125">
        <f t="shared" si="62"/>
        <v>5.4068813455030256</v>
      </c>
      <c r="U32" s="125">
        <f t="shared" ref="U32" si="63">U43/U44</f>
        <v>6.8347061618881675</v>
      </c>
      <c r="V32" s="125">
        <f t="shared" ref="V32:AA32" si="64">V43/V44</f>
        <v>5.1525494153261704</v>
      </c>
      <c r="W32" s="125">
        <f t="shared" si="64"/>
        <v>5.8776604889454322</v>
      </c>
      <c r="X32" s="149">
        <f t="shared" si="64"/>
        <v>5.4035420619860846</v>
      </c>
      <c r="Y32" s="158">
        <f t="shared" si="64"/>
        <v>5.3197644384750493</v>
      </c>
      <c r="Z32" s="149">
        <f t="shared" si="64"/>
        <v>6.191907702307442</v>
      </c>
      <c r="AA32" s="158">
        <f t="shared" si="64"/>
        <v>6.5257963212202785</v>
      </c>
      <c r="AB32" s="158">
        <f t="shared" ref="AB32:AC32" si="65">AB43/AB44</f>
        <v>5.2558089673840218</v>
      </c>
      <c r="AC32" s="158">
        <f t="shared" si="65"/>
        <v>5.6357338301216746</v>
      </c>
      <c r="AD32" s="158">
        <f t="shared" ref="AD32:AE32" si="66">AD43/AD44</f>
        <v>5.4330538274276439</v>
      </c>
      <c r="AE32" s="158">
        <f t="shared" si="66"/>
        <v>5.3210964624760244</v>
      </c>
      <c r="AF32" s="158">
        <f t="shared" ref="AF32:AG32" si="67">AF43/AF44</f>
        <v>5.0748343450257174</v>
      </c>
      <c r="AG32" s="158">
        <f t="shared" si="67"/>
        <v>5.7509186146509261</v>
      </c>
      <c r="AH32" s="158">
        <f t="shared" ref="AH32:AJ32" si="68">AH43/AH44</f>
        <v>6.5932434104690012</v>
      </c>
      <c r="AI32" s="158">
        <f>AI43/AI44</f>
        <v>7.1041459002473513</v>
      </c>
      <c r="AJ32" s="158">
        <f t="shared" si="68"/>
        <v>5.557097337855895</v>
      </c>
      <c r="AK32" s="158">
        <f t="shared" ref="AK32:AL32" si="69">AK43/AK44</f>
        <v>5.9203546529251287</v>
      </c>
      <c r="AL32" s="158" t="e">
        <f t="shared" si="69"/>
        <v>#DIV/0!</v>
      </c>
      <c r="AM32" s="158">
        <f t="shared" ref="AM32:AP32" si="70">AM43/AM44</f>
        <v>5.7676492731800542</v>
      </c>
      <c r="AN32" s="158" t="e">
        <f t="shared" si="70"/>
        <v>#DIV/0!</v>
      </c>
      <c r="AO32" s="158" t="e">
        <f t="shared" si="70"/>
        <v>#DIV/0!</v>
      </c>
      <c r="AP32" s="158" t="e">
        <f t="shared" si="70"/>
        <v>#DIV/0!</v>
      </c>
    </row>
    <row r="33" spans="2:42" x14ac:dyDescent="0.25">
      <c r="B33" s="198"/>
      <c r="C33" s="68" t="s">
        <v>19</v>
      </c>
      <c r="D33" s="1" t="s">
        <v>20</v>
      </c>
      <c r="E33" s="1" t="s">
        <v>4</v>
      </c>
      <c r="F33" s="8" t="s">
        <v>21</v>
      </c>
      <c r="G33" s="9"/>
      <c r="H33" s="46">
        <v>82</v>
      </c>
      <c r="I33" s="46">
        <v>80</v>
      </c>
      <c r="J33" s="44">
        <v>77</v>
      </c>
      <c r="K33" s="3">
        <v>86.49</v>
      </c>
      <c r="L33" s="3">
        <v>82</v>
      </c>
      <c r="M33" s="3">
        <v>88.33</v>
      </c>
      <c r="N33" s="46">
        <v>88.15</v>
      </c>
      <c r="O33" s="76">
        <v>87.2</v>
      </c>
      <c r="P33" s="76">
        <v>78.17</v>
      </c>
      <c r="Q33" s="3">
        <v>85.35</v>
      </c>
      <c r="R33" s="3">
        <v>81.05</v>
      </c>
      <c r="S33" s="44">
        <v>69.14</v>
      </c>
      <c r="T33" s="138">
        <v>68.62</v>
      </c>
      <c r="U33" s="130">
        <v>76.56</v>
      </c>
      <c r="V33" s="130">
        <v>85.2</v>
      </c>
      <c r="W33" s="76">
        <v>80.3</v>
      </c>
      <c r="X33" s="76">
        <v>80.3</v>
      </c>
      <c r="Y33" s="154">
        <v>79.599999999999994</v>
      </c>
      <c r="Z33" s="76">
        <v>80.3</v>
      </c>
      <c r="AA33" s="154">
        <v>79.599999999999994</v>
      </c>
      <c r="AB33" s="76">
        <v>78</v>
      </c>
      <c r="AC33" s="190">
        <v>74</v>
      </c>
      <c r="AD33" s="76">
        <v>88.29</v>
      </c>
      <c r="AE33" s="154">
        <v>84.18</v>
      </c>
      <c r="AF33" s="154">
        <v>79</v>
      </c>
      <c r="AG33" s="154">
        <v>82.81</v>
      </c>
      <c r="AH33" s="154">
        <v>84.05</v>
      </c>
      <c r="AI33" s="190">
        <v>67.599999999999994</v>
      </c>
      <c r="AJ33" s="154"/>
      <c r="AK33" s="154"/>
      <c r="AL33" s="154"/>
      <c r="AM33" s="154"/>
      <c r="AN33" s="154"/>
      <c r="AO33" s="154"/>
      <c r="AP33" s="154"/>
    </row>
    <row r="34" spans="2:42" x14ac:dyDescent="0.25">
      <c r="B34" s="198"/>
      <c r="C34" s="68" t="s">
        <v>22</v>
      </c>
      <c r="D34" s="1" t="s">
        <v>23</v>
      </c>
      <c r="E34" s="1" t="s">
        <v>4</v>
      </c>
      <c r="F34" s="8"/>
      <c r="G34" s="8">
        <v>262844</v>
      </c>
      <c r="H34" s="8">
        <v>269752</v>
      </c>
      <c r="I34" s="8">
        <v>225193</v>
      </c>
      <c r="J34" s="8">
        <v>236177</v>
      </c>
      <c r="K34" s="8">
        <v>214756</v>
      </c>
      <c r="L34" s="3">
        <v>169134</v>
      </c>
      <c r="M34" s="8">
        <v>274692</v>
      </c>
      <c r="N34" s="8">
        <v>299846</v>
      </c>
      <c r="O34" s="72">
        <v>343790</v>
      </c>
      <c r="P34" s="63">
        <v>277457</v>
      </c>
      <c r="Q34" s="3">
        <v>333457</v>
      </c>
      <c r="R34" s="8">
        <v>268129</v>
      </c>
      <c r="S34" s="8">
        <v>332759</v>
      </c>
      <c r="T34" s="134">
        <v>300859</v>
      </c>
      <c r="U34" s="134">
        <v>200651</v>
      </c>
      <c r="V34" s="134">
        <v>238850</v>
      </c>
      <c r="W34" s="63">
        <v>247660</v>
      </c>
      <c r="X34" s="63">
        <v>253047</v>
      </c>
      <c r="Y34" s="151">
        <v>233567</v>
      </c>
      <c r="Z34" s="63">
        <v>222871</v>
      </c>
      <c r="AA34" s="151">
        <v>208231</v>
      </c>
      <c r="AB34" s="63">
        <v>267282</v>
      </c>
      <c r="AC34" s="151">
        <v>253270</v>
      </c>
      <c r="AD34" s="63">
        <v>288945</v>
      </c>
      <c r="AE34" s="151">
        <v>304375</v>
      </c>
      <c r="AF34" s="151">
        <v>300980</v>
      </c>
      <c r="AG34" s="151">
        <v>257194</v>
      </c>
      <c r="AH34" s="151">
        <v>257194</v>
      </c>
      <c r="AI34" s="151">
        <v>216708</v>
      </c>
      <c r="AJ34" s="151">
        <v>277045</v>
      </c>
      <c r="AK34" s="151">
        <v>252633</v>
      </c>
      <c r="AL34" s="151">
        <v>85106</v>
      </c>
      <c r="AM34" s="151">
        <v>155770</v>
      </c>
      <c r="AN34" s="151"/>
      <c r="AO34" s="151"/>
      <c r="AP34" s="151"/>
    </row>
    <row r="35" spans="2:42" x14ac:dyDescent="0.25">
      <c r="B35" s="198"/>
      <c r="C35" s="68" t="s">
        <v>24</v>
      </c>
      <c r="D35" s="1" t="s">
        <v>23</v>
      </c>
      <c r="E35" s="1" t="s">
        <v>4</v>
      </c>
      <c r="F35" s="8"/>
      <c r="G35" s="8">
        <v>89237</v>
      </c>
      <c r="H35" s="8">
        <v>69212</v>
      </c>
      <c r="I35" s="8">
        <v>90822</v>
      </c>
      <c r="J35" s="8">
        <v>22243</v>
      </c>
      <c r="K35" s="8">
        <v>23067</v>
      </c>
      <c r="L35" s="3">
        <v>14263</v>
      </c>
      <c r="M35" s="10">
        <v>55140</v>
      </c>
      <c r="N35" s="8">
        <v>97951</v>
      </c>
      <c r="O35" s="72">
        <v>17561</v>
      </c>
      <c r="P35" s="63">
        <v>28259</v>
      </c>
      <c r="Q35" s="3">
        <v>16753</v>
      </c>
      <c r="R35" s="10">
        <v>75027</v>
      </c>
      <c r="S35" s="8">
        <v>22127</v>
      </c>
      <c r="T35" s="134">
        <v>21450</v>
      </c>
      <c r="U35" s="134">
        <v>71101</v>
      </c>
      <c r="V35" s="134">
        <v>32928</v>
      </c>
      <c r="W35" s="63">
        <v>6278</v>
      </c>
      <c r="X35" s="63">
        <v>5046</v>
      </c>
      <c r="Y35" s="151">
        <v>19049</v>
      </c>
      <c r="Z35" s="63">
        <v>0</v>
      </c>
      <c r="AA35" s="151">
        <v>8963</v>
      </c>
      <c r="AB35" s="63">
        <v>11889</v>
      </c>
      <c r="AC35" s="151">
        <v>23397</v>
      </c>
      <c r="AD35" s="63">
        <v>159</v>
      </c>
      <c r="AE35" s="151">
        <v>15384</v>
      </c>
      <c r="AF35" s="151">
        <v>22875</v>
      </c>
      <c r="AG35" s="151">
        <v>11256</v>
      </c>
      <c r="AH35" s="151">
        <v>29983</v>
      </c>
      <c r="AI35" s="151">
        <v>6593</v>
      </c>
      <c r="AJ35" s="151">
        <v>5557</v>
      </c>
      <c r="AK35" s="151">
        <v>10172</v>
      </c>
      <c r="AL35" s="151">
        <v>8034</v>
      </c>
      <c r="AM35" s="151">
        <v>2025</v>
      </c>
      <c r="AN35" s="151"/>
      <c r="AO35" s="151"/>
      <c r="AP35" s="151"/>
    </row>
    <row r="36" spans="2:42" x14ac:dyDescent="0.25">
      <c r="B36" s="198"/>
      <c r="C36" s="68" t="s">
        <v>25</v>
      </c>
      <c r="D36" s="11" t="s">
        <v>26</v>
      </c>
      <c r="E36" s="1" t="s">
        <v>4</v>
      </c>
      <c r="F36" s="8"/>
      <c r="G36" s="12">
        <f>G34+G35</f>
        <v>352081</v>
      </c>
      <c r="H36" s="12">
        <f>SUM(H34:H35)</f>
        <v>338964</v>
      </c>
      <c r="I36" s="12">
        <f t="shared" ref="I36:K36" si="71">SUM(I34:I35)</f>
        <v>316015</v>
      </c>
      <c r="J36" s="12">
        <f t="shared" si="71"/>
        <v>258420</v>
      </c>
      <c r="K36" s="12">
        <f t="shared" si="71"/>
        <v>237823</v>
      </c>
      <c r="L36" s="10">
        <f>L34+L35</f>
        <v>183397</v>
      </c>
      <c r="M36" s="12">
        <f>SUM(M34:M35)</f>
        <v>329832</v>
      </c>
      <c r="N36" s="12">
        <f>SUM(N34:N35)</f>
        <v>397797</v>
      </c>
      <c r="O36" s="73">
        <f t="shared" ref="O36:P36" si="72">SUM(O34:O35)</f>
        <v>361351</v>
      </c>
      <c r="P36" s="73">
        <f t="shared" si="72"/>
        <v>305716</v>
      </c>
      <c r="Q36" s="73">
        <f t="shared" ref="Q36:T36" si="73">SUM(Q34:Q35)</f>
        <v>350210</v>
      </c>
      <c r="R36" s="73">
        <f t="shared" si="73"/>
        <v>343156</v>
      </c>
      <c r="S36" s="73">
        <f t="shared" si="73"/>
        <v>354886</v>
      </c>
      <c r="T36" s="135">
        <f t="shared" si="73"/>
        <v>322309</v>
      </c>
      <c r="U36" s="135">
        <f t="shared" ref="U36:X36" si="74">SUM(U34:U35)</f>
        <v>271752</v>
      </c>
      <c r="V36" s="135">
        <f t="shared" si="74"/>
        <v>271778</v>
      </c>
      <c r="W36" s="135">
        <f t="shared" si="74"/>
        <v>253938</v>
      </c>
      <c r="X36" s="135">
        <f t="shared" si="74"/>
        <v>258093</v>
      </c>
      <c r="Y36" s="159">
        <f t="shared" ref="Y36:AE36" si="75">SUM(Y34:Y35)</f>
        <v>252616</v>
      </c>
      <c r="Z36" s="159">
        <f t="shared" si="75"/>
        <v>222871</v>
      </c>
      <c r="AA36" s="159">
        <f t="shared" si="75"/>
        <v>217194</v>
      </c>
      <c r="AB36" s="159">
        <f t="shared" si="75"/>
        <v>279171</v>
      </c>
      <c r="AC36" s="159">
        <f t="shared" si="75"/>
        <v>276667</v>
      </c>
      <c r="AD36" s="159">
        <f t="shared" si="75"/>
        <v>289104</v>
      </c>
      <c r="AE36" s="159">
        <f t="shared" si="75"/>
        <v>319759</v>
      </c>
      <c r="AF36" s="159">
        <f t="shared" ref="AF36:AG36" si="76">SUM(AF34:AF35)</f>
        <v>323855</v>
      </c>
      <c r="AG36" s="159">
        <f t="shared" si="76"/>
        <v>268450</v>
      </c>
      <c r="AH36" s="159">
        <f t="shared" ref="AH36:AJ36" si="77">SUM(AH34:AH35)</f>
        <v>287177</v>
      </c>
      <c r="AI36" s="159">
        <f t="shared" si="77"/>
        <v>223301</v>
      </c>
      <c r="AJ36" s="159">
        <f t="shared" si="77"/>
        <v>282602</v>
      </c>
      <c r="AK36" s="159">
        <f t="shared" ref="AK36:AL36" si="78">SUM(AK34:AK35)</f>
        <v>262805</v>
      </c>
      <c r="AL36" s="159">
        <f t="shared" si="78"/>
        <v>93140</v>
      </c>
      <c r="AM36" s="159">
        <f t="shared" ref="AM36:AP36" si="79">SUM(AM34:AM35)</f>
        <v>157795</v>
      </c>
      <c r="AN36" s="159">
        <f t="shared" si="79"/>
        <v>0</v>
      </c>
      <c r="AO36" s="159">
        <f t="shared" si="79"/>
        <v>0</v>
      </c>
      <c r="AP36" s="159">
        <f t="shared" si="79"/>
        <v>0</v>
      </c>
    </row>
    <row r="37" spans="2:42" x14ac:dyDescent="0.25">
      <c r="B37" s="198"/>
      <c r="C37" s="68" t="s">
        <v>27</v>
      </c>
      <c r="D37" s="13" t="s">
        <v>31</v>
      </c>
      <c r="E37" s="1" t="s">
        <v>4</v>
      </c>
      <c r="F37" s="8"/>
      <c r="G37" s="36">
        <v>2657411</v>
      </c>
      <c r="H37" s="10">
        <v>52484</v>
      </c>
      <c r="I37" s="8">
        <v>51663</v>
      </c>
      <c r="J37" s="8">
        <v>36166</v>
      </c>
      <c r="K37" s="8">
        <v>44140</v>
      </c>
      <c r="L37" s="10">
        <v>48250</v>
      </c>
      <c r="M37" s="10">
        <v>43660</v>
      </c>
      <c r="N37" s="10">
        <v>32827</v>
      </c>
      <c r="O37" s="72">
        <v>32621</v>
      </c>
      <c r="P37" s="102">
        <v>36836</v>
      </c>
      <c r="Q37" s="8">
        <v>47543</v>
      </c>
      <c r="R37" s="10">
        <v>61956</v>
      </c>
      <c r="S37" s="10">
        <v>68284</v>
      </c>
      <c r="T37" s="136">
        <v>64261</v>
      </c>
      <c r="U37" s="136">
        <v>51421</v>
      </c>
      <c r="V37" s="136">
        <v>50648</v>
      </c>
      <c r="W37" s="102">
        <v>53325</v>
      </c>
      <c r="X37" s="102">
        <v>48564</v>
      </c>
      <c r="Y37" s="155">
        <v>44776</v>
      </c>
      <c r="Z37" s="102">
        <v>49292</v>
      </c>
      <c r="AA37" s="155">
        <v>47282</v>
      </c>
      <c r="AB37" s="102">
        <v>61787</v>
      </c>
      <c r="AC37" s="155">
        <v>58155</v>
      </c>
      <c r="AD37" s="102">
        <v>60380</v>
      </c>
      <c r="AE37" s="155">
        <v>57012</v>
      </c>
      <c r="AF37" s="155">
        <v>53576</v>
      </c>
      <c r="AG37" s="155">
        <v>58821</v>
      </c>
      <c r="AH37" s="155">
        <v>54727</v>
      </c>
      <c r="AI37" s="155">
        <v>48799</v>
      </c>
      <c r="AJ37" s="155">
        <v>54922</v>
      </c>
      <c r="AK37" s="155">
        <v>47531</v>
      </c>
      <c r="AL37" s="155">
        <v>11096</v>
      </c>
      <c r="AM37" s="155">
        <v>21288</v>
      </c>
      <c r="AN37" s="155"/>
      <c r="AO37" s="155"/>
      <c r="AP37" s="155"/>
    </row>
    <row r="38" spans="2:42" x14ac:dyDescent="0.25">
      <c r="B38" s="198"/>
      <c r="C38" s="68" t="s">
        <v>28</v>
      </c>
      <c r="D38" s="13" t="s">
        <v>29</v>
      </c>
      <c r="E38" s="1" t="s">
        <v>4</v>
      </c>
      <c r="F38" s="8"/>
      <c r="G38" s="8"/>
      <c r="H38" s="8">
        <v>0</v>
      </c>
      <c r="I38" s="8">
        <v>0</v>
      </c>
      <c r="J38" s="8">
        <v>0</v>
      </c>
      <c r="K38" s="8">
        <v>0</v>
      </c>
      <c r="L38" s="10">
        <v>0</v>
      </c>
      <c r="M38" s="8">
        <v>15000</v>
      </c>
      <c r="N38" s="8">
        <v>32000</v>
      </c>
      <c r="O38" s="72">
        <v>32000</v>
      </c>
      <c r="P38" s="72">
        <v>18000</v>
      </c>
      <c r="Q38" s="8">
        <v>13000</v>
      </c>
      <c r="R38" s="8">
        <v>0</v>
      </c>
      <c r="S38" s="8">
        <v>0</v>
      </c>
      <c r="T38" s="134">
        <v>0</v>
      </c>
      <c r="U38" s="134">
        <v>0</v>
      </c>
      <c r="V38" s="134">
        <v>0</v>
      </c>
      <c r="W38" s="72">
        <v>1000</v>
      </c>
      <c r="X38" s="72">
        <v>0</v>
      </c>
      <c r="Y38" s="160">
        <v>0</v>
      </c>
      <c r="Z38" s="72">
        <v>0</v>
      </c>
      <c r="AA38" s="160">
        <v>0</v>
      </c>
      <c r="AB38" s="72">
        <v>500</v>
      </c>
      <c r="AC38" s="160">
        <v>0</v>
      </c>
      <c r="AD38" s="72">
        <v>0</v>
      </c>
      <c r="AE38" s="160">
        <v>0</v>
      </c>
      <c r="AF38" s="160">
        <v>0</v>
      </c>
      <c r="AG38" s="160">
        <v>0</v>
      </c>
      <c r="AH38" s="160">
        <v>0</v>
      </c>
      <c r="AI38" s="160">
        <v>0</v>
      </c>
      <c r="AJ38" s="160">
        <v>0</v>
      </c>
      <c r="AK38" s="160">
        <v>0</v>
      </c>
      <c r="AL38" s="160">
        <v>0</v>
      </c>
      <c r="AM38" s="160">
        <v>5000</v>
      </c>
      <c r="AN38" s="160"/>
      <c r="AO38" s="160"/>
      <c r="AP38" s="160"/>
    </row>
    <row r="39" spans="2:42" x14ac:dyDescent="0.25">
      <c r="B39" s="198"/>
      <c r="C39" s="68" t="s">
        <v>84</v>
      </c>
      <c r="D39" s="13" t="s">
        <v>29</v>
      </c>
      <c r="E39" s="1" t="s">
        <v>4</v>
      </c>
      <c r="F39" s="8"/>
      <c r="G39" s="8"/>
      <c r="H39" s="8">
        <v>14451</v>
      </c>
      <c r="I39" s="8">
        <v>22034</v>
      </c>
      <c r="J39" s="8">
        <v>5537</v>
      </c>
      <c r="K39" s="8">
        <v>5746</v>
      </c>
      <c r="L39" s="10">
        <v>6688</v>
      </c>
      <c r="M39" s="8">
        <v>13605</v>
      </c>
      <c r="N39" s="8">
        <v>24205</v>
      </c>
      <c r="O39" s="8">
        <v>4295</v>
      </c>
      <c r="P39" s="102">
        <v>6856</v>
      </c>
      <c r="Q39" s="8">
        <v>4061</v>
      </c>
      <c r="R39" s="8">
        <v>18257</v>
      </c>
      <c r="S39" s="8">
        <v>5300</v>
      </c>
      <c r="T39" s="134">
        <v>5247</v>
      </c>
      <c r="U39" s="134">
        <v>17496</v>
      </c>
      <c r="V39" s="134">
        <v>8158</v>
      </c>
      <c r="W39" s="102">
        <v>1553</v>
      </c>
      <c r="X39" s="102">
        <v>1247</v>
      </c>
      <c r="Y39" s="155">
        <v>4799</v>
      </c>
      <c r="Z39" s="102">
        <v>0</v>
      </c>
      <c r="AA39" s="155">
        <v>2709</v>
      </c>
      <c r="AB39" s="102">
        <v>2875</v>
      </c>
      <c r="AC39" s="155">
        <v>5608</v>
      </c>
      <c r="AD39" s="102">
        <v>45</v>
      </c>
      <c r="AE39" s="155">
        <v>3748</v>
      </c>
      <c r="AF39" s="155">
        <v>5555</v>
      </c>
      <c r="AG39" s="155">
        <v>11256</v>
      </c>
      <c r="AH39" s="155">
        <v>7410</v>
      </c>
      <c r="AI39" s="155">
        <v>7319</v>
      </c>
      <c r="AJ39" s="155">
        <v>1360</v>
      </c>
      <c r="AK39" s="155">
        <v>2532</v>
      </c>
      <c r="AL39" s="155">
        <v>2360</v>
      </c>
      <c r="AM39" s="155">
        <v>635</v>
      </c>
      <c r="AN39" s="155"/>
      <c r="AO39" s="155"/>
      <c r="AP39" s="155"/>
    </row>
    <row r="40" spans="2:42" x14ac:dyDescent="0.25">
      <c r="B40" s="198"/>
      <c r="C40" s="68" t="s">
        <v>30</v>
      </c>
      <c r="D40" s="13" t="s">
        <v>31</v>
      </c>
      <c r="E40" s="1" t="s">
        <v>4</v>
      </c>
      <c r="F40" s="8"/>
      <c r="G40" s="8">
        <v>1117</v>
      </c>
      <c r="H40" s="8">
        <v>997</v>
      </c>
      <c r="I40" s="8">
        <v>985</v>
      </c>
      <c r="J40" s="8">
        <v>663</v>
      </c>
      <c r="K40" s="8">
        <v>916</v>
      </c>
      <c r="L40" s="36">
        <v>892</v>
      </c>
      <c r="M40" s="37">
        <v>1086</v>
      </c>
      <c r="N40" s="8">
        <v>1159</v>
      </c>
      <c r="O40" s="8">
        <v>1145</v>
      </c>
      <c r="P40" s="72">
        <v>900</v>
      </c>
      <c r="Q40" s="8">
        <v>198</v>
      </c>
      <c r="R40" s="37">
        <v>1156</v>
      </c>
      <c r="S40" s="8">
        <v>1080</v>
      </c>
      <c r="T40" s="134">
        <v>989</v>
      </c>
      <c r="U40" s="134">
        <v>927</v>
      </c>
      <c r="V40" s="134">
        <v>862</v>
      </c>
      <c r="W40" s="72">
        <v>948</v>
      </c>
      <c r="X40" s="72">
        <v>901</v>
      </c>
      <c r="Y40" s="160">
        <v>835</v>
      </c>
      <c r="Z40" s="72">
        <v>968</v>
      </c>
      <c r="AA40" s="160">
        <v>647</v>
      </c>
      <c r="AB40" s="72">
        <v>1389</v>
      </c>
      <c r="AC40" s="160">
        <v>915</v>
      </c>
      <c r="AD40" s="72">
        <v>1303</v>
      </c>
      <c r="AE40" s="160">
        <v>1166</v>
      </c>
      <c r="AF40" s="160">
        <v>1057</v>
      </c>
      <c r="AG40" s="160">
        <v>1141</v>
      </c>
      <c r="AH40" s="160">
        <v>1104</v>
      </c>
      <c r="AI40" s="160">
        <v>889</v>
      </c>
      <c r="AJ40" s="160">
        <v>1115</v>
      </c>
      <c r="AK40" s="160">
        <v>960</v>
      </c>
      <c r="AL40" s="160">
        <v>129</v>
      </c>
      <c r="AM40" s="160">
        <v>549</v>
      </c>
      <c r="AN40" s="160"/>
      <c r="AO40" s="160"/>
      <c r="AP40" s="160"/>
    </row>
    <row r="41" spans="2:42" x14ac:dyDescent="0.25">
      <c r="B41" s="198"/>
      <c r="C41" s="68" t="s">
        <v>32</v>
      </c>
      <c r="D41" s="13" t="s">
        <v>31</v>
      </c>
      <c r="E41" s="1" t="s">
        <v>4</v>
      </c>
      <c r="F41" s="8"/>
      <c r="G41" s="8">
        <v>252</v>
      </c>
      <c r="H41" s="8">
        <v>214</v>
      </c>
      <c r="I41" s="8">
        <v>231</v>
      </c>
      <c r="J41" s="8">
        <v>185</v>
      </c>
      <c r="K41" s="8">
        <v>143</v>
      </c>
      <c r="L41" s="10">
        <v>180</v>
      </c>
      <c r="M41" s="12">
        <v>139</v>
      </c>
      <c r="N41" s="8">
        <v>155</v>
      </c>
      <c r="O41" s="8">
        <v>174</v>
      </c>
      <c r="P41" s="72">
        <v>302</v>
      </c>
      <c r="Q41" s="3">
        <v>1167</v>
      </c>
      <c r="R41" s="35">
        <v>319</v>
      </c>
      <c r="S41" s="3">
        <v>491</v>
      </c>
      <c r="T41" s="134">
        <v>499</v>
      </c>
      <c r="U41" s="134">
        <v>241</v>
      </c>
      <c r="V41" s="134">
        <v>277</v>
      </c>
      <c r="W41" s="72">
        <v>280</v>
      </c>
      <c r="X41" s="72">
        <v>217</v>
      </c>
      <c r="Y41" s="160">
        <v>231</v>
      </c>
      <c r="Z41" s="72">
        <v>213</v>
      </c>
      <c r="AA41" s="160">
        <v>196</v>
      </c>
      <c r="AB41" s="72">
        <v>415</v>
      </c>
      <c r="AC41" s="160">
        <v>349</v>
      </c>
      <c r="AD41" s="72">
        <v>171</v>
      </c>
      <c r="AE41" s="160">
        <v>220</v>
      </c>
      <c r="AF41" s="160">
        <v>268</v>
      </c>
      <c r="AG41" s="191">
        <v>182</v>
      </c>
      <c r="AH41" s="155">
        <v>237</v>
      </c>
      <c r="AI41" s="160">
        <v>306</v>
      </c>
      <c r="AJ41" s="160">
        <v>221</v>
      </c>
      <c r="AK41" s="160">
        <v>157</v>
      </c>
      <c r="AL41" s="160">
        <v>282</v>
      </c>
      <c r="AM41" s="160">
        <v>220</v>
      </c>
      <c r="AN41" s="160"/>
      <c r="AO41" s="160"/>
      <c r="AP41" s="160"/>
    </row>
    <row r="42" spans="2:42" x14ac:dyDescent="0.25">
      <c r="B42" s="198"/>
      <c r="C42" s="68" t="s">
        <v>33</v>
      </c>
      <c r="D42" s="11" t="s">
        <v>34</v>
      </c>
      <c r="E42" s="1" t="s">
        <v>4</v>
      </c>
      <c r="F42" s="8"/>
      <c r="G42" s="12">
        <v>1109</v>
      </c>
      <c r="H42" s="8">
        <v>986</v>
      </c>
      <c r="I42" s="8">
        <v>991</v>
      </c>
      <c r="J42" s="8">
        <v>839</v>
      </c>
      <c r="K42" s="8">
        <v>1144</v>
      </c>
      <c r="L42" s="12">
        <v>1210</v>
      </c>
      <c r="M42" s="12">
        <v>1939</v>
      </c>
      <c r="N42" s="8">
        <v>2024</v>
      </c>
      <c r="O42" s="8">
        <v>2275</v>
      </c>
      <c r="P42" s="46">
        <v>1263</v>
      </c>
      <c r="Q42" s="54">
        <v>1102</v>
      </c>
      <c r="R42" s="54">
        <v>1204</v>
      </c>
      <c r="S42" s="54">
        <v>1330</v>
      </c>
      <c r="T42" s="134">
        <v>1236</v>
      </c>
      <c r="U42" s="134">
        <v>946</v>
      </c>
      <c r="V42" s="134">
        <v>933</v>
      </c>
      <c r="W42" s="46">
        <v>1001</v>
      </c>
      <c r="X42" s="46">
        <v>899</v>
      </c>
      <c r="Y42" s="151">
        <v>872</v>
      </c>
      <c r="Z42" s="46">
        <v>959</v>
      </c>
      <c r="AA42" s="151">
        <v>900</v>
      </c>
      <c r="AB42" s="46">
        <v>1203</v>
      </c>
      <c r="AC42" s="151">
        <v>1113</v>
      </c>
      <c r="AD42" s="46">
        <v>1169</v>
      </c>
      <c r="AE42" s="151">
        <v>1112</v>
      </c>
      <c r="AF42" s="151">
        <v>1070</v>
      </c>
      <c r="AG42" s="151">
        <v>1108</v>
      </c>
      <c r="AH42" s="151">
        <v>1014</v>
      </c>
      <c r="AI42" s="151">
        <v>930</v>
      </c>
      <c r="AJ42" s="151">
        <v>1072</v>
      </c>
      <c r="AK42" s="151">
        <v>865</v>
      </c>
      <c r="AL42" s="151">
        <v>156</v>
      </c>
      <c r="AM42" s="151">
        <v>536</v>
      </c>
      <c r="AN42" s="151"/>
      <c r="AO42" s="151"/>
      <c r="AP42" s="151"/>
    </row>
    <row r="43" spans="2:42" x14ac:dyDescent="0.25">
      <c r="B43" s="198"/>
      <c r="C43" s="68" t="s">
        <v>35</v>
      </c>
      <c r="D43" s="11" t="s">
        <v>36</v>
      </c>
      <c r="E43" s="14" t="s">
        <v>4</v>
      </c>
      <c r="F43" s="8"/>
      <c r="G43" s="37">
        <v>222010</v>
      </c>
      <c r="H43" s="8">
        <v>210650</v>
      </c>
      <c r="I43" s="8">
        <v>219950</v>
      </c>
      <c r="J43" s="8">
        <v>173060</v>
      </c>
      <c r="K43" s="8"/>
      <c r="L43" s="12">
        <v>198230</v>
      </c>
      <c r="M43" s="12">
        <v>190170</v>
      </c>
      <c r="N43" s="8">
        <v>223190</v>
      </c>
      <c r="O43" s="8">
        <v>220160</v>
      </c>
      <c r="P43" s="63">
        <v>201250</v>
      </c>
      <c r="Q43" s="3">
        <v>221950</v>
      </c>
      <c r="R43" s="12">
        <v>216270</v>
      </c>
      <c r="S43" s="12">
        <v>232720</v>
      </c>
      <c r="T43" s="134">
        <v>210890</v>
      </c>
      <c r="U43" s="134">
        <v>172590</v>
      </c>
      <c r="V43" s="134">
        <v>173610</v>
      </c>
      <c r="W43" s="63">
        <v>170940</v>
      </c>
      <c r="X43" s="63">
        <v>170860</v>
      </c>
      <c r="Y43" s="151">
        <v>154470</v>
      </c>
      <c r="Z43" s="63">
        <v>152420</v>
      </c>
      <c r="AA43" s="151">
        <v>145460</v>
      </c>
      <c r="AB43" s="63">
        <v>196110</v>
      </c>
      <c r="AC43" s="151">
        <v>193610</v>
      </c>
      <c r="AD43" s="63">
        <v>200860</v>
      </c>
      <c r="AE43" s="151">
        <v>219160</v>
      </c>
      <c r="AF43" s="151">
        <v>219040</v>
      </c>
      <c r="AG43" s="151">
        <v>220680</v>
      </c>
      <c r="AH43" s="151">
        <v>213120</v>
      </c>
      <c r="AI43" s="151">
        <v>192430</v>
      </c>
      <c r="AJ43" s="151">
        <v>216260</v>
      </c>
      <c r="AK43" s="151">
        <v>156250</v>
      </c>
      <c r="AL43" s="151">
        <v>54370</v>
      </c>
      <c r="AM43" s="151">
        <v>99590</v>
      </c>
      <c r="AN43" s="151"/>
      <c r="AO43" s="151"/>
      <c r="AP43" s="151"/>
    </row>
    <row r="44" spans="2:42" ht="15.75" thickBot="1" x14ac:dyDescent="0.3">
      <c r="B44" s="198"/>
      <c r="C44" s="64" t="s">
        <v>37</v>
      </c>
      <c r="D44" s="15" t="s">
        <v>36</v>
      </c>
      <c r="E44" s="15" t="s">
        <v>4</v>
      </c>
      <c r="F44" s="16"/>
      <c r="G44" s="16">
        <v>41827</v>
      </c>
      <c r="H44" s="16">
        <v>38788</v>
      </c>
      <c r="I44" s="38">
        <v>40581.278400000003</v>
      </c>
      <c r="J44" s="16">
        <v>27679</v>
      </c>
      <c r="K44" s="16" t="s">
        <v>118</v>
      </c>
      <c r="L44" s="16">
        <v>31854</v>
      </c>
      <c r="M44" s="16">
        <v>35821</v>
      </c>
      <c r="N44" s="16">
        <v>45360</v>
      </c>
      <c r="O44" s="38">
        <v>47782</v>
      </c>
      <c r="P44" s="74">
        <v>41192</v>
      </c>
      <c r="Q44" s="16">
        <v>50391</v>
      </c>
      <c r="R44" s="16">
        <v>47339</v>
      </c>
      <c r="S44" s="16">
        <v>47200</v>
      </c>
      <c r="T44" s="137">
        <v>39004</v>
      </c>
      <c r="U44" s="137">
        <v>25252</v>
      </c>
      <c r="V44" s="137">
        <v>33694</v>
      </c>
      <c r="W44" s="74">
        <v>29083</v>
      </c>
      <c r="X44" s="74">
        <v>31620</v>
      </c>
      <c r="Y44" s="161">
        <v>29037</v>
      </c>
      <c r="Z44" s="74">
        <v>24616</v>
      </c>
      <c r="AA44" s="161">
        <v>22290</v>
      </c>
      <c r="AB44" s="74">
        <v>37313</v>
      </c>
      <c r="AC44" s="161">
        <v>34354</v>
      </c>
      <c r="AD44" s="74">
        <v>36970</v>
      </c>
      <c r="AE44" s="161">
        <v>41187</v>
      </c>
      <c r="AF44" s="161">
        <v>43162</v>
      </c>
      <c r="AG44" s="161">
        <v>38373</v>
      </c>
      <c r="AH44" s="161">
        <v>32324</v>
      </c>
      <c r="AI44" s="161">
        <v>27087</v>
      </c>
      <c r="AJ44" s="161">
        <v>38916</v>
      </c>
      <c r="AK44" s="161">
        <v>26392</v>
      </c>
      <c r="AL44" s="161">
        <v>0</v>
      </c>
      <c r="AM44" s="161">
        <v>17267</v>
      </c>
      <c r="AN44" s="161"/>
      <c r="AO44" s="161"/>
      <c r="AP44" s="161"/>
    </row>
    <row r="45" spans="2:42" x14ac:dyDescent="0.25">
      <c r="B45" s="198"/>
      <c r="C45" s="75" t="s">
        <v>38</v>
      </c>
      <c r="D45" s="13" t="s">
        <v>20</v>
      </c>
      <c r="E45" s="1" t="s">
        <v>4</v>
      </c>
      <c r="F45" s="3" t="s">
        <v>117</v>
      </c>
      <c r="G45" s="3">
        <v>5.32</v>
      </c>
      <c r="H45" s="44">
        <v>4.53</v>
      </c>
      <c r="I45" s="44">
        <v>4.5199999999999996</v>
      </c>
      <c r="J45" s="44">
        <v>4.29</v>
      </c>
      <c r="K45" s="3">
        <v>0</v>
      </c>
      <c r="L45" s="3">
        <v>0.5</v>
      </c>
      <c r="M45" s="3">
        <v>0.5</v>
      </c>
      <c r="N45" s="46">
        <v>0</v>
      </c>
      <c r="O45" s="46">
        <v>0</v>
      </c>
      <c r="P45" s="76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130">
        <v>0</v>
      </c>
      <c r="W45" s="76">
        <v>0</v>
      </c>
      <c r="X45" s="76">
        <v>0</v>
      </c>
      <c r="Y45" s="154">
        <v>0</v>
      </c>
      <c r="Z45" s="76">
        <v>1</v>
      </c>
      <c r="AA45" s="154">
        <v>1</v>
      </c>
      <c r="AB45" s="76">
        <v>1</v>
      </c>
      <c r="AC45" s="154">
        <v>1</v>
      </c>
      <c r="AD45" s="154">
        <v>1</v>
      </c>
      <c r="AE45" s="154">
        <v>1</v>
      </c>
      <c r="AF45" s="154">
        <v>0</v>
      </c>
      <c r="AG45" s="154">
        <v>1</v>
      </c>
      <c r="AH45" s="154">
        <v>0</v>
      </c>
      <c r="AI45" s="154">
        <v>0</v>
      </c>
      <c r="AJ45" s="154">
        <v>0</v>
      </c>
      <c r="AK45" s="154">
        <v>0</v>
      </c>
      <c r="AL45" s="154">
        <v>0</v>
      </c>
      <c r="AM45" s="154">
        <v>0</v>
      </c>
      <c r="AN45" s="154"/>
      <c r="AO45" s="154"/>
      <c r="AP45" s="154"/>
    </row>
    <row r="46" spans="2:42" x14ac:dyDescent="0.25">
      <c r="B46" s="198"/>
      <c r="C46" s="75" t="s">
        <v>39</v>
      </c>
      <c r="D46" s="13" t="s">
        <v>20</v>
      </c>
      <c r="E46" s="1" t="s">
        <v>4</v>
      </c>
      <c r="F46" s="3" t="s">
        <v>117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76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132">
        <v>0</v>
      </c>
      <c r="W46" s="76">
        <v>0</v>
      </c>
      <c r="X46" s="76">
        <v>0</v>
      </c>
      <c r="Y46" s="154">
        <v>0</v>
      </c>
      <c r="Z46" s="76">
        <v>0</v>
      </c>
      <c r="AA46" s="154">
        <v>0</v>
      </c>
      <c r="AB46" s="76">
        <v>0</v>
      </c>
      <c r="AC46" s="154">
        <v>0</v>
      </c>
      <c r="AD46" s="154">
        <v>0</v>
      </c>
      <c r="AE46" s="154">
        <v>1</v>
      </c>
      <c r="AF46" s="154">
        <v>0</v>
      </c>
      <c r="AG46" s="154">
        <v>0</v>
      </c>
      <c r="AH46" s="154">
        <v>0</v>
      </c>
      <c r="AI46" s="154">
        <v>0</v>
      </c>
      <c r="AJ46" s="154">
        <v>0</v>
      </c>
      <c r="AK46" s="154">
        <v>0</v>
      </c>
      <c r="AL46" s="154">
        <v>0</v>
      </c>
      <c r="AM46" s="154">
        <v>0</v>
      </c>
      <c r="AN46" s="154"/>
      <c r="AO46" s="154"/>
      <c r="AP46" s="154"/>
    </row>
    <row r="47" spans="2:42" x14ac:dyDescent="0.25">
      <c r="B47" s="198"/>
      <c r="C47" s="62" t="s">
        <v>109</v>
      </c>
      <c r="D47" s="1" t="s">
        <v>20</v>
      </c>
      <c r="E47" s="1" t="s">
        <v>4</v>
      </c>
      <c r="F47" s="3" t="s">
        <v>40</v>
      </c>
      <c r="G47" s="3">
        <v>98</v>
      </c>
      <c r="H47" s="46">
        <v>100</v>
      </c>
      <c r="I47" s="46">
        <v>100</v>
      </c>
      <c r="J47" s="46">
        <v>100</v>
      </c>
      <c r="K47" s="46">
        <v>100</v>
      </c>
      <c r="L47" s="3">
        <v>100</v>
      </c>
      <c r="M47" s="3">
        <v>100</v>
      </c>
      <c r="N47" s="46">
        <v>100</v>
      </c>
      <c r="O47" s="46">
        <v>100</v>
      </c>
      <c r="P47" s="63">
        <v>100</v>
      </c>
      <c r="Q47" s="3">
        <v>100</v>
      </c>
      <c r="R47" s="3">
        <v>100</v>
      </c>
      <c r="S47" s="3">
        <v>100</v>
      </c>
      <c r="T47" s="3">
        <v>100</v>
      </c>
      <c r="U47" s="3">
        <v>100</v>
      </c>
      <c r="V47" s="130">
        <v>100</v>
      </c>
      <c r="W47" s="63">
        <v>100</v>
      </c>
      <c r="X47" s="63">
        <v>100</v>
      </c>
      <c r="Y47" s="151">
        <v>100</v>
      </c>
      <c r="Z47" s="63">
        <v>100</v>
      </c>
      <c r="AA47" s="151">
        <v>100</v>
      </c>
      <c r="AB47" s="151">
        <v>100</v>
      </c>
      <c r="AC47" s="151">
        <v>100</v>
      </c>
      <c r="AD47" s="151">
        <v>100</v>
      </c>
      <c r="AE47" s="151">
        <v>100</v>
      </c>
      <c r="AF47" s="151">
        <v>100</v>
      </c>
      <c r="AG47" s="151">
        <v>100</v>
      </c>
      <c r="AH47" s="151">
        <v>100</v>
      </c>
      <c r="AI47" s="151">
        <v>100</v>
      </c>
      <c r="AJ47" s="151">
        <v>100</v>
      </c>
      <c r="AK47" s="151">
        <v>100</v>
      </c>
      <c r="AL47" s="151">
        <v>100</v>
      </c>
      <c r="AM47" s="151">
        <v>100</v>
      </c>
      <c r="AN47" s="151"/>
      <c r="AO47" s="151"/>
      <c r="AP47" s="151"/>
    </row>
    <row r="48" spans="2:42" x14ac:dyDescent="0.25">
      <c r="B48" s="198"/>
      <c r="C48" s="77" t="s">
        <v>41</v>
      </c>
      <c r="D48" s="1" t="s">
        <v>20</v>
      </c>
      <c r="E48" s="1" t="s">
        <v>42</v>
      </c>
      <c r="F48" s="3" t="s">
        <v>105</v>
      </c>
      <c r="G48" s="3">
        <v>97</v>
      </c>
      <c r="H48" s="46">
        <v>100</v>
      </c>
      <c r="I48" s="46">
        <v>100</v>
      </c>
      <c r="J48" s="46">
        <v>100</v>
      </c>
      <c r="K48" s="46">
        <v>100</v>
      </c>
      <c r="L48" s="3">
        <v>100</v>
      </c>
      <c r="M48" s="3">
        <v>100</v>
      </c>
      <c r="N48" s="46">
        <v>100</v>
      </c>
      <c r="O48" s="46">
        <v>100</v>
      </c>
      <c r="P48" s="6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130">
        <v>100</v>
      </c>
      <c r="W48" s="63">
        <v>100</v>
      </c>
      <c r="X48" s="63">
        <v>100</v>
      </c>
      <c r="Y48" s="151">
        <v>100</v>
      </c>
      <c r="Z48" s="63">
        <v>100</v>
      </c>
      <c r="AA48" s="151">
        <v>100</v>
      </c>
      <c r="AB48" s="151">
        <v>100</v>
      </c>
      <c r="AC48" s="151">
        <v>100</v>
      </c>
      <c r="AD48" s="151">
        <v>100</v>
      </c>
      <c r="AE48" s="151">
        <v>100</v>
      </c>
      <c r="AF48" s="151">
        <v>100</v>
      </c>
      <c r="AG48" s="151">
        <v>100</v>
      </c>
      <c r="AH48" s="151">
        <v>100</v>
      </c>
      <c r="AI48" s="151">
        <v>100</v>
      </c>
      <c r="AJ48" s="151">
        <v>100</v>
      </c>
      <c r="AK48" s="151">
        <v>100</v>
      </c>
      <c r="AL48" s="151">
        <v>100</v>
      </c>
      <c r="AM48" s="151">
        <v>100</v>
      </c>
      <c r="AN48" s="151"/>
      <c r="AO48" s="151"/>
      <c r="AP48" s="151"/>
    </row>
    <row r="49" spans="2:42" x14ac:dyDescent="0.25">
      <c r="B49" s="198"/>
      <c r="C49" s="77" t="s">
        <v>43</v>
      </c>
      <c r="D49" s="1" t="s">
        <v>20</v>
      </c>
      <c r="E49" s="1" t="s">
        <v>42</v>
      </c>
      <c r="F49" s="3" t="s">
        <v>106</v>
      </c>
      <c r="G49" s="3">
        <v>1</v>
      </c>
      <c r="H49" s="46">
        <v>0</v>
      </c>
      <c r="I49" s="46">
        <v>0</v>
      </c>
      <c r="J49" s="46">
        <v>0</v>
      </c>
      <c r="K49" s="46">
        <v>0</v>
      </c>
      <c r="L49" s="3">
        <v>0</v>
      </c>
      <c r="M49" s="3">
        <v>0</v>
      </c>
      <c r="N49" s="3">
        <v>0</v>
      </c>
      <c r="O49" s="46">
        <v>0</v>
      </c>
      <c r="P49" s="6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132">
        <v>0</v>
      </c>
      <c r="W49" s="63">
        <v>1</v>
      </c>
      <c r="X49" s="63">
        <v>1</v>
      </c>
      <c r="Y49" s="151">
        <v>0</v>
      </c>
      <c r="Z49" s="63">
        <v>1</v>
      </c>
      <c r="AA49" s="151">
        <v>1</v>
      </c>
      <c r="AB49" s="151">
        <v>1</v>
      </c>
      <c r="AC49" s="151">
        <v>1</v>
      </c>
      <c r="AD49" s="151">
        <v>1</v>
      </c>
      <c r="AE49" s="151">
        <v>1</v>
      </c>
      <c r="AF49" s="151">
        <v>0</v>
      </c>
      <c r="AG49" s="151">
        <v>0</v>
      </c>
      <c r="AH49" s="151">
        <v>0</v>
      </c>
      <c r="AI49" s="151">
        <v>0</v>
      </c>
      <c r="AJ49" s="151">
        <v>0</v>
      </c>
      <c r="AK49" s="151">
        <v>0</v>
      </c>
      <c r="AL49" s="151">
        <v>0</v>
      </c>
      <c r="AM49" s="151">
        <v>0</v>
      </c>
      <c r="AN49" s="151"/>
      <c r="AO49" s="151"/>
      <c r="AP49" s="151"/>
    </row>
    <row r="50" spans="2:42" ht="15.75" thickBot="1" x14ac:dyDescent="0.3">
      <c r="B50" s="199"/>
      <c r="C50" s="64" t="s">
        <v>44</v>
      </c>
      <c r="D50" s="15" t="s">
        <v>45</v>
      </c>
      <c r="E50" s="15" t="s">
        <v>42</v>
      </c>
      <c r="F50" s="16">
        <v>5</v>
      </c>
      <c r="G50" s="16">
        <v>1</v>
      </c>
      <c r="H50" s="53">
        <v>1</v>
      </c>
      <c r="I50" s="53">
        <v>0</v>
      </c>
      <c r="J50" s="53">
        <v>0</v>
      </c>
      <c r="K50" s="53">
        <v>0</v>
      </c>
      <c r="L50" s="16">
        <v>0</v>
      </c>
      <c r="M50" s="16">
        <v>0</v>
      </c>
      <c r="N50" s="53">
        <v>0</v>
      </c>
      <c r="O50" s="53">
        <v>0</v>
      </c>
      <c r="P50" s="65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30">
        <v>1</v>
      </c>
      <c r="W50" s="63">
        <v>2</v>
      </c>
      <c r="X50" s="63">
        <v>2</v>
      </c>
      <c r="Y50" s="151">
        <v>0</v>
      </c>
      <c r="Z50" s="63">
        <v>2</v>
      </c>
      <c r="AA50" s="151">
        <v>1</v>
      </c>
      <c r="AB50" s="151">
        <v>1</v>
      </c>
      <c r="AC50" s="151">
        <v>1</v>
      </c>
      <c r="AD50" s="151">
        <v>1</v>
      </c>
      <c r="AE50" s="151">
        <v>1</v>
      </c>
      <c r="AF50" s="151">
        <v>1</v>
      </c>
      <c r="AG50" s="151">
        <v>0</v>
      </c>
      <c r="AH50" s="151">
        <v>0</v>
      </c>
      <c r="AI50" s="151">
        <v>0</v>
      </c>
      <c r="AJ50" s="151">
        <v>0</v>
      </c>
      <c r="AK50" s="151">
        <v>0</v>
      </c>
      <c r="AL50" s="151">
        <v>0</v>
      </c>
      <c r="AM50" s="151">
        <v>0</v>
      </c>
      <c r="AN50" s="151"/>
      <c r="AO50" s="151"/>
      <c r="AP50" s="151"/>
    </row>
    <row r="51" spans="2:42" x14ac:dyDescent="0.25">
      <c r="B51" s="197" t="s">
        <v>46</v>
      </c>
      <c r="C51" s="82" t="s">
        <v>93</v>
      </c>
      <c r="D51" s="17" t="s">
        <v>20</v>
      </c>
      <c r="E51" s="57" t="s">
        <v>42</v>
      </c>
      <c r="F51" s="19" t="s">
        <v>152</v>
      </c>
      <c r="G51" s="176">
        <v>95.5</v>
      </c>
      <c r="H51" s="48" t="s">
        <v>82</v>
      </c>
      <c r="I51" s="48" t="s">
        <v>83</v>
      </c>
      <c r="J51" s="48" t="s">
        <v>82</v>
      </c>
      <c r="K51" s="48" t="s">
        <v>113</v>
      </c>
      <c r="L51" s="19">
        <v>95.83</v>
      </c>
      <c r="M51" s="19">
        <v>91.96</v>
      </c>
      <c r="N51" s="48">
        <v>95.83</v>
      </c>
      <c r="O51" s="48">
        <v>95.83</v>
      </c>
      <c r="P51" s="79" t="s">
        <v>114</v>
      </c>
      <c r="Q51" s="19">
        <v>95.83</v>
      </c>
      <c r="R51" s="19">
        <v>95.83</v>
      </c>
      <c r="S51" s="19">
        <v>95.83</v>
      </c>
      <c r="T51" s="19">
        <v>95.83</v>
      </c>
      <c r="U51" s="19">
        <v>95.83</v>
      </c>
      <c r="V51" s="48">
        <v>91.25</v>
      </c>
      <c r="W51" s="79">
        <v>97.5</v>
      </c>
      <c r="X51" s="79">
        <v>97.5</v>
      </c>
      <c r="Y51" s="162">
        <v>97.5</v>
      </c>
      <c r="Z51" s="97">
        <v>93.33</v>
      </c>
      <c r="AA51" s="97">
        <v>93.33</v>
      </c>
      <c r="AB51" s="97">
        <v>93.33</v>
      </c>
      <c r="AC51" s="97">
        <v>93.33</v>
      </c>
      <c r="AD51" s="97">
        <v>93.33</v>
      </c>
      <c r="AE51" s="79">
        <v>97.5</v>
      </c>
      <c r="AF51" s="79">
        <v>97.5</v>
      </c>
      <c r="AG51" s="79">
        <v>95.66</v>
      </c>
      <c r="AH51" s="79">
        <v>97.78</v>
      </c>
      <c r="AI51" s="79">
        <v>96.32</v>
      </c>
      <c r="AJ51" s="79">
        <v>97.78</v>
      </c>
      <c r="AK51" s="79">
        <v>97.78</v>
      </c>
      <c r="AL51" s="79">
        <v>97.78</v>
      </c>
      <c r="AM51" s="79">
        <v>97.78</v>
      </c>
      <c r="AN51" s="79"/>
      <c r="AO51" s="79"/>
      <c r="AP51" s="79"/>
    </row>
    <row r="52" spans="2:42" x14ac:dyDescent="0.25">
      <c r="B52" s="195"/>
      <c r="C52" s="62" t="s">
        <v>47</v>
      </c>
      <c r="D52" s="13" t="s">
        <v>20</v>
      </c>
      <c r="E52" s="1" t="s">
        <v>4</v>
      </c>
      <c r="F52" s="21">
        <v>100</v>
      </c>
      <c r="G52" s="22">
        <v>100</v>
      </c>
      <c r="H52" s="49">
        <v>100</v>
      </c>
      <c r="I52" s="49">
        <v>100</v>
      </c>
      <c r="J52" s="49">
        <v>100</v>
      </c>
      <c r="K52" s="49">
        <v>100</v>
      </c>
      <c r="L52" s="21">
        <v>100</v>
      </c>
      <c r="M52" s="21">
        <v>100</v>
      </c>
      <c r="N52" s="49">
        <v>100</v>
      </c>
      <c r="O52" s="49">
        <v>100</v>
      </c>
      <c r="P52" s="80">
        <v>100</v>
      </c>
      <c r="Q52" s="21">
        <v>100</v>
      </c>
      <c r="R52" s="21">
        <v>100</v>
      </c>
      <c r="S52" s="21">
        <v>100</v>
      </c>
      <c r="T52" s="21">
        <v>100</v>
      </c>
      <c r="U52" s="21">
        <v>100</v>
      </c>
      <c r="V52" s="49">
        <v>100</v>
      </c>
      <c r="W52" s="80">
        <v>100</v>
      </c>
      <c r="X52" s="80">
        <v>100</v>
      </c>
      <c r="Y52" s="163">
        <v>100</v>
      </c>
      <c r="Z52" s="80">
        <v>100</v>
      </c>
      <c r="AA52" s="163">
        <v>100</v>
      </c>
      <c r="AB52" s="163">
        <v>100</v>
      </c>
      <c r="AC52" s="163">
        <v>100</v>
      </c>
      <c r="AD52" s="163">
        <v>100</v>
      </c>
      <c r="AE52" s="163">
        <v>100</v>
      </c>
      <c r="AF52" s="163">
        <v>100</v>
      </c>
      <c r="AG52" s="163">
        <v>100</v>
      </c>
      <c r="AH52" s="163">
        <v>100</v>
      </c>
      <c r="AI52" s="163">
        <v>100</v>
      </c>
      <c r="AJ52" s="163">
        <v>100</v>
      </c>
      <c r="AK52" s="163">
        <v>100</v>
      </c>
      <c r="AL52" s="163">
        <v>100</v>
      </c>
      <c r="AM52" s="163">
        <v>100</v>
      </c>
      <c r="AN52" s="163"/>
      <c r="AO52" s="163"/>
      <c r="AP52" s="163"/>
    </row>
    <row r="53" spans="2:42" x14ac:dyDescent="0.25">
      <c r="B53" s="195"/>
      <c r="C53" s="62" t="s">
        <v>48</v>
      </c>
      <c r="D53" s="13" t="s">
        <v>20</v>
      </c>
      <c r="E53" s="1" t="s">
        <v>4</v>
      </c>
      <c r="F53" s="21">
        <v>100</v>
      </c>
      <c r="G53" s="22">
        <v>100</v>
      </c>
      <c r="H53" s="49">
        <v>100</v>
      </c>
      <c r="I53" s="49">
        <v>100</v>
      </c>
      <c r="J53" s="49">
        <v>100</v>
      </c>
      <c r="K53" s="49">
        <v>100</v>
      </c>
      <c r="L53" s="21">
        <v>100</v>
      </c>
      <c r="M53" s="21">
        <v>100</v>
      </c>
      <c r="N53" s="49">
        <v>100</v>
      </c>
      <c r="O53" s="49">
        <v>100</v>
      </c>
      <c r="P53" s="80">
        <v>100</v>
      </c>
      <c r="Q53" s="21">
        <v>100</v>
      </c>
      <c r="R53" s="21">
        <v>100</v>
      </c>
      <c r="S53" s="21">
        <v>100</v>
      </c>
      <c r="T53" s="21">
        <v>100</v>
      </c>
      <c r="U53" s="21">
        <v>100</v>
      </c>
      <c r="V53" s="49">
        <v>100</v>
      </c>
      <c r="W53" s="80">
        <v>100</v>
      </c>
      <c r="X53" s="80">
        <v>100</v>
      </c>
      <c r="Y53" s="163">
        <v>100</v>
      </c>
      <c r="Z53" s="80">
        <v>66.66</v>
      </c>
      <c r="AA53" s="80">
        <v>66.66</v>
      </c>
      <c r="AB53" s="80">
        <v>66.66</v>
      </c>
      <c r="AC53" s="80">
        <v>66.66</v>
      </c>
      <c r="AD53" s="80">
        <v>66.66</v>
      </c>
      <c r="AE53" s="80">
        <v>100</v>
      </c>
      <c r="AF53" s="80">
        <v>100</v>
      </c>
      <c r="AG53" s="80">
        <v>80.95</v>
      </c>
      <c r="AH53" s="80">
        <v>100</v>
      </c>
      <c r="AI53" s="80">
        <v>86.9</v>
      </c>
      <c r="AJ53" s="80">
        <v>100</v>
      </c>
      <c r="AK53" s="80">
        <v>100</v>
      </c>
      <c r="AL53" s="80">
        <v>100</v>
      </c>
      <c r="AM53" s="80">
        <v>100</v>
      </c>
      <c r="AN53" s="80"/>
      <c r="AO53" s="80"/>
      <c r="AP53" s="80"/>
    </row>
    <row r="54" spans="2:42" x14ac:dyDescent="0.25">
      <c r="B54" s="195"/>
      <c r="C54" s="62" t="s">
        <v>49</v>
      </c>
      <c r="D54" s="1" t="s">
        <v>20</v>
      </c>
      <c r="E54" s="1" t="s">
        <v>4</v>
      </c>
      <c r="F54" s="21">
        <v>100</v>
      </c>
      <c r="G54" s="22">
        <v>87</v>
      </c>
      <c r="H54" s="49">
        <v>100</v>
      </c>
      <c r="I54" s="49">
        <v>100</v>
      </c>
      <c r="J54" s="49">
        <v>100</v>
      </c>
      <c r="K54" s="49">
        <v>100</v>
      </c>
      <c r="L54" s="21">
        <v>100</v>
      </c>
      <c r="M54" s="21">
        <v>100</v>
      </c>
      <c r="N54" s="49">
        <v>100</v>
      </c>
      <c r="O54" s="49">
        <v>100</v>
      </c>
      <c r="P54" s="80">
        <v>100</v>
      </c>
      <c r="Q54" s="21">
        <v>100</v>
      </c>
      <c r="R54" s="21">
        <v>100</v>
      </c>
      <c r="S54" s="21">
        <v>100</v>
      </c>
      <c r="T54" s="21">
        <v>100</v>
      </c>
      <c r="U54" s="21">
        <v>100</v>
      </c>
      <c r="V54" s="49">
        <v>80</v>
      </c>
      <c r="W54" s="49">
        <v>80</v>
      </c>
      <c r="X54" s="49">
        <v>80</v>
      </c>
      <c r="Y54" s="163">
        <v>80</v>
      </c>
      <c r="Z54" s="49">
        <v>80</v>
      </c>
      <c r="AA54" s="163">
        <v>80</v>
      </c>
      <c r="AB54" s="163">
        <v>80</v>
      </c>
      <c r="AC54" s="163">
        <v>80</v>
      </c>
      <c r="AD54" s="163">
        <v>80</v>
      </c>
      <c r="AE54" s="163">
        <v>80</v>
      </c>
      <c r="AF54" s="163">
        <v>80</v>
      </c>
      <c r="AG54" s="163">
        <v>80</v>
      </c>
      <c r="AH54" s="163">
        <v>80</v>
      </c>
      <c r="AI54" s="163">
        <v>80</v>
      </c>
      <c r="AJ54" s="163">
        <v>80</v>
      </c>
      <c r="AK54" s="163">
        <v>80</v>
      </c>
      <c r="AL54" s="163">
        <v>80</v>
      </c>
      <c r="AM54" s="163">
        <v>80</v>
      </c>
      <c r="AN54" s="163"/>
      <c r="AO54" s="163"/>
      <c r="AP54" s="163"/>
    </row>
    <row r="55" spans="2:42" x14ac:dyDescent="0.25">
      <c r="B55" s="195"/>
      <c r="C55" s="62" t="s">
        <v>50</v>
      </c>
      <c r="D55" s="1" t="s">
        <v>20</v>
      </c>
      <c r="E55" s="1" t="s">
        <v>4</v>
      </c>
      <c r="F55" s="21">
        <v>100</v>
      </c>
      <c r="G55" s="45">
        <v>50</v>
      </c>
      <c r="H55" s="45">
        <v>50</v>
      </c>
      <c r="I55" s="45">
        <v>50</v>
      </c>
      <c r="J55" s="45">
        <v>50</v>
      </c>
      <c r="K55" s="45">
        <v>50</v>
      </c>
      <c r="L55" s="45">
        <v>50</v>
      </c>
      <c r="M55" s="45">
        <v>50</v>
      </c>
      <c r="N55" s="45">
        <v>50</v>
      </c>
      <c r="O55" s="45">
        <v>50</v>
      </c>
      <c r="P55" s="81">
        <v>50</v>
      </c>
      <c r="Q55" s="45">
        <v>50</v>
      </c>
      <c r="R55" s="45">
        <v>50</v>
      </c>
      <c r="S55" s="45">
        <v>50</v>
      </c>
      <c r="T55" s="45">
        <v>50</v>
      </c>
      <c r="U55" s="45">
        <v>50</v>
      </c>
      <c r="V55" s="31">
        <v>100</v>
      </c>
      <c r="W55" s="31">
        <v>100</v>
      </c>
      <c r="X55" s="31">
        <v>100</v>
      </c>
      <c r="Y55" s="31">
        <v>100</v>
      </c>
      <c r="Z55" s="31">
        <v>100</v>
      </c>
      <c r="AA55" s="31">
        <v>100</v>
      </c>
      <c r="AB55" s="31">
        <v>100</v>
      </c>
      <c r="AC55" s="31">
        <v>100</v>
      </c>
      <c r="AD55" s="31">
        <v>100</v>
      </c>
      <c r="AE55" s="31">
        <v>100</v>
      </c>
      <c r="AF55" s="31">
        <v>100</v>
      </c>
      <c r="AG55" s="31">
        <v>100</v>
      </c>
      <c r="AH55" s="31">
        <v>100</v>
      </c>
      <c r="AI55" s="31">
        <v>100</v>
      </c>
      <c r="AJ55" s="31">
        <v>100</v>
      </c>
      <c r="AK55" s="31">
        <v>100</v>
      </c>
      <c r="AL55" s="31">
        <v>100</v>
      </c>
      <c r="AM55" s="31">
        <v>100</v>
      </c>
      <c r="AN55" s="31"/>
      <c r="AO55" s="31"/>
      <c r="AP55" s="31"/>
    </row>
    <row r="56" spans="2:42" ht="17.25" customHeight="1" thickBot="1" x14ac:dyDescent="0.3">
      <c r="B56" s="196"/>
      <c r="C56" s="64" t="s">
        <v>51</v>
      </c>
      <c r="D56" s="177" t="s">
        <v>20</v>
      </c>
      <c r="E56" s="15" t="s">
        <v>4</v>
      </c>
      <c r="F56" s="33">
        <v>100</v>
      </c>
      <c r="G56" s="178">
        <v>100</v>
      </c>
      <c r="H56" s="179">
        <v>100</v>
      </c>
      <c r="I56" s="179">
        <v>100</v>
      </c>
      <c r="J56" s="179">
        <v>100</v>
      </c>
      <c r="K56" s="179">
        <v>100</v>
      </c>
      <c r="L56" s="33">
        <v>100</v>
      </c>
      <c r="M56" s="180">
        <v>85.71</v>
      </c>
      <c r="N56" s="179">
        <v>100</v>
      </c>
      <c r="O56" s="179">
        <v>100</v>
      </c>
      <c r="P56" s="181">
        <v>100</v>
      </c>
      <c r="Q56" s="33">
        <v>100</v>
      </c>
      <c r="R56" s="33">
        <v>100</v>
      </c>
      <c r="S56" s="33">
        <v>100</v>
      </c>
      <c r="T56" s="33">
        <v>100</v>
      </c>
      <c r="U56" s="33">
        <v>100</v>
      </c>
      <c r="V56" s="33">
        <v>100</v>
      </c>
      <c r="W56" s="33">
        <v>100</v>
      </c>
      <c r="X56" s="33">
        <v>100</v>
      </c>
      <c r="Y56" s="182">
        <v>100</v>
      </c>
      <c r="Z56" s="33">
        <v>100</v>
      </c>
      <c r="AA56" s="182">
        <v>100</v>
      </c>
      <c r="AB56" s="182">
        <v>100</v>
      </c>
      <c r="AC56" s="182">
        <v>100</v>
      </c>
      <c r="AD56" s="182">
        <v>100</v>
      </c>
      <c r="AE56" s="182">
        <v>100</v>
      </c>
      <c r="AF56" s="182">
        <v>100</v>
      </c>
      <c r="AG56" s="182">
        <v>100</v>
      </c>
      <c r="AH56" s="182">
        <v>100</v>
      </c>
      <c r="AI56" s="182">
        <v>100</v>
      </c>
      <c r="AJ56" s="182">
        <v>100</v>
      </c>
      <c r="AK56" s="182">
        <v>100</v>
      </c>
      <c r="AL56" s="182">
        <v>100</v>
      </c>
      <c r="AM56" s="182">
        <v>100</v>
      </c>
      <c r="AN56" s="182"/>
      <c r="AO56" s="182"/>
      <c r="AP56" s="182"/>
    </row>
    <row r="57" spans="2:42" ht="15" customHeight="1" x14ac:dyDescent="0.25">
      <c r="B57" s="201" t="s">
        <v>168</v>
      </c>
      <c r="C57" s="78" t="s">
        <v>91</v>
      </c>
      <c r="D57" s="25" t="s">
        <v>20</v>
      </c>
      <c r="E57" s="18" t="s">
        <v>4</v>
      </c>
      <c r="F57" s="40">
        <v>70</v>
      </c>
      <c r="G57" s="172">
        <f t="shared" ref="G57:K57" si="80">G34/G36*100</f>
        <v>74.654411910895504</v>
      </c>
      <c r="H57" s="173">
        <f t="shared" si="80"/>
        <v>79.581312469760803</v>
      </c>
      <c r="I57" s="173">
        <f t="shared" si="80"/>
        <v>71.260224989320136</v>
      </c>
      <c r="J57" s="173">
        <f t="shared" si="80"/>
        <v>91.392694063926939</v>
      </c>
      <c r="K57" s="173">
        <f t="shared" si="80"/>
        <v>90.300769900304019</v>
      </c>
      <c r="L57" s="173">
        <f>L34/L36*100</f>
        <v>92.222882598952012</v>
      </c>
      <c r="M57" s="173">
        <f>M34/M36*100</f>
        <v>83.282398311867851</v>
      </c>
      <c r="N57" s="173">
        <f>N34/N36*100</f>
        <v>75.376636827326507</v>
      </c>
      <c r="O57" s="173">
        <f>O34/O36*100</f>
        <v>95.140182260461444</v>
      </c>
      <c r="P57" s="174">
        <f t="shared" ref="P57:AC57" si="81">P34/P36*100</f>
        <v>90.756453702128766</v>
      </c>
      <c r="Q57" s="174">
        <f t="shared" si="81"/>
        <v>95.216298792153282</v>
      </c>
      <c r="R57" s="174">
        <f t="shared" si="81"/>
        <v>78.13618296051942</v>
      </c>
      <c r="S57" s="174">
        <f t="shared" si="81"/>
        <v>93.765040041027262</v>
      </c>
      <c r="T57" s="174">
        <f t="shared" si="81"/>
        <v>93.344895736699868</v>
      </c>
      <c r="U57" s="174">
        <f t="shared" si="81"/>
        <v>73.836071123671587</v>
      </c>
      <c r="V57" s="174">
        <f t="shared" si="81"/>
        <v>87.884229039878136</v>
      </c>
      <c r="W57" s="174">
        <f t="shared" si="81"/>
        <v>97.527742992383963</v>
      </c>
      <c r="X57" s="174">
        <f t="shared" si="81"/>
        <v>98.044890795178489</v>
      </c>
      <c r="Y57" s="174">
        <f t="shared" si="81"/>
        <v>92.45930582385914</v>
      </c>
      <c r="Z57" s="174">
        <f t="shared" si="81"/>
        <v>100</v>
      </c>
      <c r="AA57" s="174">
        <f t="shared" si="81"/>
        <v>95.873274584012449</v>
      </c>
      <c r="AB57" s="174">
        <f t="shared" si="81"/>
        <v>95.741319836229408</v>
      </c>
      <c r="AC57" s="174">
        <f t="shared" si="81"/>
        <v>91.543263200887708</v>
      </c>
      <c r="AD57" s="174">
        <f t="shared" ref="AD57:AE57" si="82">AD34/AD36*100</f>
        <v>99.945002490453263</v>
      </c>
      <c r="AE57" s="174">
        <f t="shared" si="82"/>
        <v>95.188876622706474</v>
      </c>
      <c r="AF57" s="174">
        <f t="shared" ref="AF57:AG57" si="83">AF34/AF36*100</f>
        <v>92.936653749363145</v>
      </c>
      <c r="AG57" s="174">
        <f t="shared" si="83"/>
        <v>95.807040417209905</v>
      </c>
      <c r="AH57" s="174">
        <f t="shared" ref="AH57:AJ57" si="84">AH34/AH36*100</f>
        <v>89.559400648380617</v>
      </c>
      <c r="AI57" s="174">
        <f t="shared" si="84"/>
        <v>97.047482993806568</v>
      </c>
      <c r="AJ57" s="174">
        <f t="shared" si="84"/>
        <v>98.033630335241781</v>
      </c>
      <c r="AK57" s="174">
        <f t="shared" ref="AK57:AL57" si="85">AK34/AK36*100</f>
        <v>96.129449591902741</v>
      </c>
      <c r="AL57" s="174">
        <f t="shared" si="85"/>
        <v>91.374275284517921</v>
      </c>
      <c r="AM57" s="174">
        <f t="shared" ref="AM57:AP57" si="86">AM34/AM36*100</f>
        <v>98.716689375455488</v>
      </c>
      <c r="AN57" s="174" t="e">
        <f t="shared" si="86"/>
        <v>#DIV/0!</v>
      </c>
      <c r="AO57" s="174" t="e">
        <f t="shared" si="86"/>
        <v>#DIV/0!</v>
      </c>
      <c r="AP57" s="174" t="e">
        <f t="shared" si="86"/>
        <v>#DIV/0!</v>
      </c>
    </row>
    <row r="58" spans="2:42" ht="15" customHeight="1" thickBot="1" x14ac:dyDescent="0.3">
      <c r="B58" s="201"/>
      <c r="C58" s="83" t="s">
        <v>92</v>
      </c>
      <c r="D58" s="25" t="s">
        <v>20</v>
      </c>
      <c r="E58" s="1" t="s">
        <v>4</v>
      </c>
      <c r="F58" s="21">
        <v>30</v>
      </c>
      <c r="G58" s="42">
        <f t="shared" ref="G58:K58" si="87">G35/G36*100</f>
        <v>25.345588089104499</v>
      </c>
      <c r="H58" s="42">
        <f t="shared" si="87"/>
        <v>20.4186875302392</v>
      </c>
      <c r="I58" s="42">
        <f t="shared" si="87"/>
        <v>28.739775010679875</v>
      </c>
      <c r="J58" s="42">
        <f t="shared" si="87"/>
        <v>8.6073059360730593</v>
      </c>
      <c r="K58" s="42">
        <f t="shared" si="87"/>
        <v>9.6992300996959919</v>
      </c>
      <c r="L58" s="42">
        <f>L35/L36*100</f>
        <v>7.7771174010479989</v>
      </c>
      <c r="M58" s="42">
        <f>M35/M36*100</f>
        <v>16.717601688132138</v>
      </c>
      <c r="N58" s="42">
        <f>N35/N36*100</f>
        <v>24.6233631726735</v>
      </c>
      <c r="O58" s="42">
        <f>O35/O36*100</f>
        <v>4.8598177395385651</v>
      </c>
      <c r="P58" s="84">
        <f t="shared" ref="P58:AC58" si="88">P35/P36*100</f>
        <v>9.2435462978712266</v>
      </c>
      <c r="Q58" s="84">
        <f t="shared" si="88"/>
        <v>4.78370120784672</v>
      </c>
      <c r="R58" s="84">
        <f t="shared" si="88"/>
        <v>21.863817039480583</v>
      </c>
      <c r="S58" s="84">
        <f t="shared" si="88"/>
        <v>6.2349599589727402</v>
      </c>
      <c r="T58" s="84">
        <f t="shared" si="88"/>
        <v>6.6551042633001254</v>
      </c>
      <c r="U58" s="84">
        <f t="shared" si="88"/>
        <v>26.16392887632842</v>
      </c>
      <c r="V58" s="84">
        <f t="shared" si="88"/>
        <v>12.115770960121864</v>
      </c>
      <c r="W58" s="84">
        <f t="shared" si="88"/>
        <v>2.4722570076160322</v>
      </c>
      <c r="X58" s="84">
        <f t="shared" si="88"/>
        <v>1.9551092048215177</v>
      </c>
      <c r="Y58" s="84">
        <f t="shared" si="88"/>
        <v>7.5406941761408621</v>
      </c>
      <c r="Z58" s="84">
        <f t="shared" si="88"/>
        <v>0</v>
      </c>
      <c r="AA58" s="84">
        <f t="shared" si="88"/>
        <v>4.1267254159875506</v>
      </c>
      <c r="AB58" s="84">
        <f t="shared" si="88"/>
        <v>4.2586801637705927</v>
      </c>
      <c r="AC58" s="84">
        <f t="shared" si="88"/>
        <v>8.4567367991122904</v>
      </c>
      <c r="AD58" s="84">
        <f t="shared" ref="AD58:AE58" si="89">AD35/AD36*100</f>
        <v>5.4997509546737509E-2</v>
      </c>
      <c r="AE58" s="84">
        <f t="shared" si="89"/>
        <v>4.8111233772935238</v>
      </c>
      <c r="AF58" s="84">
        <f t="shared" ref="AF58:AG58" si="90">AF35/AF36*100</f>
        <v>7.0633462506368598</v>
      </c>
      <c r="AG58" s="84">
        <f t="shared" si="90"/>
        <v>4.1929595827900918</v>
      </c>
      <c r="AH58" s="84">
        <f t="shared" ref="AH58:AJ58" si="91">AH35/AH36*100</f>
        <v>10.440599351619383</v>
      </c>
      <c r="AI58" s="84">
        <f t="shared" si="91"/>
        <v>2.952517006193434</v>
      </c>
      <c r="AJ58" s="84">
        <f t="shared" si="91"/>
        <v>1.9663696647582112</v>
      </c>
      <c r="AK58" s="84">
        <f t="shared" ref="AK58:AL58" si="92">AK35/AK36*100</f>
        <v>3.8705504080972584</v>
      </c>
      <c r="AL58" s="84">
        <f t="shared" si="92"/>
        <v>8.62572471548207</v>
      </c>
      <c r="AM58" s="84">
        <f t="shared" ref="AM58:AP58" si="93">AM35/AM36*100</f>
        <v>1.2833106245445041</v>
      </c>
      <c r="AN58" s="84" t="e">
        <f t="shared" si="93"/>
        <v>#DIV/0!</v>
      </c>
      <c r="AO58" s="84" t="e">
        <f t="shared" si="93"/>
        <v>#DIV/0!</v>
      </c>
      <c r="AP58" s="84" t="e">
        <f t="shared" si="93"/>
        <v>#DIV/0!</v>
      </c>
    </row>
    <row r="59" spans="2:42" ht="15" customHeight="1" thickBot="1" x14ac:dyDescent="0.3">
      <c r="B59" s="170"/>
      <c r="C59" s="24" t="s">
        <v>107</v>
      </c>
      <c r="D59" s="26"/>
      <c r="E59" s="27"/>
      <c r="F59" s="28"/>
      <c r="G59" s="29"/>
      <c r="H59" s="29"/>
      <c r="I59" s="29"/>
      <c r="J59" s="29"/>
      <c r="K59" s="29"/>
      <c r="L59" s="29"/>
      <c r="M59" s="29"/>
      <c r="N59" s="29"/>
      <c r="O59" s="29"/>
      <c r="P59" s="85"/>
      <c r="Q59" s="29"/>
      <c r="R59" s="29"/>
      <c r="S59" s="29"/>
      <c r="T59" s="29"/>
      <c r="U59" s="29"/>
      <c r="V59" s="29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</row>
    <row r="60" spans="2:42" ht="15" customHeight="1" x14ac:dyDescent="0.25">
      <c r="B60" s="170"/>
      <c r="C60" s="78" t="s">
        <v>52</v>
      </c>
      <c r="D60" s="25" t="s">
        <v>20</v>
      </c>
      <c r="E60" s="1" t="s">
        <v>4</v>
      </c>
      <c r="F60" s="21">
        <v>50</v>
      </c>
      <c r="G60" s="21"/>
      <c r="H60" s="21">
        <v>0</v>
      </c>
      <c r="I60" s="21">
        <v>0</v>
      </c>
      <c r="J60" s="21">
        <v>0</v>
      </c>
      <c r="K60" s="21">
        <v>0</v>
      </c>
      <c r="L60" s="23"/>
      <c r="M60" s="23"/>
      <c r="N60" s="21"/>
      <c r="O60" s="21"/>
      <c r="P60" s="86"/>
      <c r="Q60" s="23"/>
      <c r="R60" s="23"/>
      <c r="S60" s="21"/>
      <c r="T60" s="21"/>
      <c r="U60" s="21"/>
      <c r="V60" s="21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>
        <v>0</v>
      </c>
      <c r="AJ60" s="86"/>
      <c r="AK60" s="86"/>
      <c r="AL60" s="86"/>
      <c r="AM60" s="86"/>
      <c r="AN60" s="86"/>
      <c r="AO60" s="86"/>
      <c r="AP60" s="86"/>
    </row>
    <row r="61" spans="2:42" ht="15" customHeight="1" thickBot="1" x14ac:dyDescent="0.3">
      <c r="B61" s="171"/>
      <c r="C61" s="87" t="s">
        <v>53</v>
      </c>
      <c r="D61" s="25" t="s">
        <v>20</v>
      </c>
      <c r="E61" s="15" t="s">
        <v>4</v>
      </c>
      <c r="F61" s="21">
        <v>50</v>
      </c>
      <c r="G61" s="21"/>
      <c r="H61" s="50">
        <v>100</v>
      </c>
      <c r="I61" s="50">
        <v>100</v>
      </c>
      <c r="J61" s="50">
        <v>100</v>
      </c>
      <c r="K61" s="50">
        <v>100</v>
      </c>
      <c r="L61" s="23"/>
      <c r="M61" s="23"/>
      <c r="N61" s="50"/>
      <c r="O61" s="50"/>
      <c r="P61" s="88"/>
      <c r="Q61" s="23"/>
      <c r="R61" s="23"/>
      <c r="S61" s="50"/>
      <c r="T61" s="50"/>
      <c r="U61" s="50"/>
      <c r="V61" s="50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2:42" ht="15.75" hidden="1" thickBot="1" x14ac:dyDescent="0.3">
      <c r="B62" s="192" t="s">
        <v>54</v>
      </c>
      <c r="C62" s="89" t="s">
        <v>73</v>
      </c>
      <c r="D62" s="17" t="s">
        <v>74</v>
      </c>
      <c r="E62" s="18" t="s">
        <v>4</v>
      </c>
      <c r="F62" s="19"/>
      <c r="G62" s="20"/>
      <c r="H62" s="20"/>
      <c r="I62" s="20"/>
      <c r="J62" s="20"/>
      <c r="K62" s="20"/>
      <c r="L62" s="20"/>
      <c r="M62" s="20"/>
      <c r="N62" s="20"/>
      <c r="O62" s="20"/>
      <c r="P62" s="90"/>
      <c r="Q62" s="20"/>
      <c r="R62" s="20"/>
      <c r="S62" s="20"/>
      <c r="T62" s="20"/>
      <c r="U62" s="20"/>
      <c r="V62" s="2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</row>
    <row r="63" spans="2:42" ht="15.75" hidden="1" thickBot="1" x14ac:dyDescent="0.3">
      <c r="B63" s="193"/>
      <c r="C63" s="89" t="s">
        <v>55</v>
      </c>
      <c r="D63" s="17" t="s">
        <v>56</v>
      </c>
      <c r="E63" s="18" t="s">
        <v>4</v>
      </c>
      <c r="F63" s="40"/>
      <c r="G63" s="41"/>
      <c r="H63" s="41"/>
      <c r="I63" s="41"/>
      <c r="J63" s="41"/>
      <c r="K63" s="41"/>
      <c r="L63" s="41"/>
      <c r="M63" s="41"/>
      <c r="N63" s="41"/>
      <c r="O63" s="41"/>
      <c r="P63" s="91"/>
      <c r="Q63" s="41"/>
      <c r="R63" s="41"/>
      <c r="S63" s="41"/>
      <c r="T63" s="41"/>
      <c r="U63" s="41"/>
      <c r="V63" s="4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</row>
    <row r="64" spans="2:42" ht="15.75" hidden="1" thickBot="1" x14ac:dyDescent="0.3">
      <c r="B64" s="193"/>
      <c r="C64" s="92" t="s">
        <v>76</v>
      </c>
      <c r="D64" s="13" t="s">
        <v>74</v>
      </c>
      <c r="E64" s="18" t="s">
        <v>4</v>
      </c>
      <c r="F64" s="40"/>
      <c r="G64" s="41"/>
      <c r="H64" s="41"/>
      <c r="I64" s="41"/>
      <c r="J64" s="41"/>
      <c r="K64" s="41"/>
      <c r="L64" s="41"/>
      <c r="M64" s="41"/>
      <c r="N64" s="41"/>
      <c r="O64" s="41"/>
      <c r="P64" s="91"/>
      <c r="Q64" s="41"/>
      <c r="R64" s="41"/>
      <c r="S64" s="41"/>
      <c r="T64" s="41"/>
      <c r="U64" s="41"/>
      <c r="V64" s="4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</row>
    <row r="65" spans="2:42" ht="15.75" hidden="1" thickBot="1" x14ac:dyDescent="0.3">
      <c r="B65" s="193"/>
      <c r="C65" s="92" t="s">
        <v>77</v>
      </c>
      <c r="D65" s="13" t="s">
        <v>57</v>
      </c>
      <c r="E65" s="18" t="s">
        <v>4</v>
      </c>
      <c r="F65" s="40"/>
      <c r="G65" s="41"/>
      <c r="H65" s="41"/>
      <c r="I65" s="41"/>
      <c r="J65" s="41"/>
      <c r="K65" s="41"/>
      <c r="L65" s="41"/>
      <c r="M65" s="41"/>
      <c r="N65" s="41"/>
      <c r="O65" s="41"/>
      <c r="P65" s="91"/>
      <c r="Q65" s="41"/>
      <c r="R65" s="41"/>
      <c r="S65" s="41"/>
      <c r="T65" s="41"/>
      <c r="U65" s="41"/>
      <c r="V65" s="4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</row>
    <row r="66" spans="2:42" ht="15.75" hidden="1" thickBot="1" x14ac:dyDescent="0.3">
      <c r="B66" s="193"/>
      <c r="C66" s="92" t="s">
        <v>75</v>
      </c>
      <c r="D66" s="13" t="s">
        <v>74</v>
      </c>
      <c r="E66" s="18" t="s">
        <v>4</v>
      </c>
      <c r="F66" s="21"/>
      <c r="G66" s="23"/>
      <c r="H66" s="23"/>
      <c r="I66" s="23"/>
      <c r="J66" s="23"/>
      <c r="K66" s="23"/>
      <c r="L66" s="23"/>
      <c r="M66" s="23"/>
      <c r="N66" s="23"/>
      <c r="O66" s="23"/>
      <c r="P66" s="93"/>
      <c r="Q66" s="23"/>
      <c r="R66" s="23"/>
      <c r="S66" s="23"/>
      <c r="T66" s="23"/>
      <c r="U66" s="23"/>
      <c r="V66" s="2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</row>
    <row r="67" spans="2:42" ht="15.75" hidden="1" thickBot="1" x14ac:dyDescent="0.3">
      <c r="B67" s="193"/>
      <c r="C67" s="92" t="s">
        <v>58</v>
      </c>
      <c r="D67" s="13" t="s">
        <v>59</v>
      </c>
      <c r="E67" s="18" t="s">
        <v>4</v>
      </c>
      <c r="F67" s="21"/>
      <c r="G67" s="23"/>
      <c r="H67" s="23"/>
      <c r="I67" s="23"/>
      <c r="J67" s="23"/>
      <c r="K67" s="23"/>
      <c r="L67" s="23"/>
      <c r="M67" s="23"/>
      <c r="N67" s="23"/>
      <c r="O67" s="23"/>
      <c r="P67" s="93"/>
      <c r="Q67" s="23"/>
      <c r="R67" s="23"/>
      <c r="S67" s="23"/>
      <c r="T67" s="23"/>
      <c r="U67" s="23"/>
      <c r="V67" s="2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</row>
    <row r="68" spans="2:42" ht="15.75" hidden="1" thickBot="1" x14ac:dyDescent="0.3">
      <c r="B68" s="193"/>
      <c r="C68" s="92" t="s">
        <v>78</v>
      </c>
      <c r="D68" s="30" t="s">
        <v>74</v>
      </c>
      <c r="E68" s="18" t="s">
        <v>4</v>
      </c>
      <c r="F68" s="31"/>
      <c r="G68" s="32"/>
      <c r="H68" s="32"/>
      <c r="I68" s="32"/>
      <c r="J68" s="32"/>
      <c r="K68" s="32"/>
      <c r="L68" s="32"/>
      <c r="M68" s="32"/>
      <c r="N68" s="32"/>
      <c r="O68" s="32"/>
      <c r="P68" s="94"/>
      <c r="Q68" s="32"/>
      <c r="R68" s="32"/>
      <c r="S68" s="32"/>
      <c r="T68" s="32"/>
      <c r="U68" s="32"/>
      <c r="V68" s="32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</row>
    <row r="69" spans="2:42" ht="15.75" hidden="1" thickBot="1" x14ac:dyDescent="0.3">
      <c r="B69" s="193"/>
      <c r="C69" s="92" t="s">
        <v>79</v>
      </c>
      <c r="D69" s="30" t="s">
        <v>74</v>
      </c>
      <c r="E69" s="18" t="s">
        <v>4</v>
      </c>
      <c r="F69" s="31"/>
      <c r="G69" s="32"/>
      <c r="H69" s="32"/>
      <c r="I69" s="32"/>
      <c r="J69" s="32"/>
      <c r="K69" s="32"/>
      <c r="L69" s="32"/>
      <c r="M69" s="32"/>
      <c r="N69" s="32"/>
      <c r="O69" s="32"/>
      <c r="P69" s="94"/>
      <c r="Q69" s="32"/>
      <c r="R69" s="32"/>
      <c r="S69" s="32"/>
      <c r="T69" s="32"/>
      <c r="U69" s="32"/>
      <c r="V69" s="32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</row>
    <row r="70" spans="2:42" ht="15.75" hidden="1" thickBot="1" x14ac:dyDescent="0.3">
      <c r="B70" s="193"/>
      <c r="C70" s="92" t="s">
        <v>80</v>
      </c>
      <c r="D70" s="30" t="s">
        <v>74</v>
      </c>
      <c r="E70" s="18" t="s">
        <v>4</v>
      </c>
      <c r="F70" s="31"/>
      <c r="G70" s="32"/>
      <c r="H70" s="32"/>
      <c r="I70" s="32"/>
      <c r="J70" s="32"/>
      <c r="K70" s="32"/>
      <c r="L70" s="32"/>
      <c r="M70" s="32"/>
      <c r="N70" s="32"/>
      <c r="O70" s="32"/>
      <c r="P70" s="94"/>
      <c r="Q70" s="32"/>
      <c r="R70" s="32"/>
      <c r="S70" s="32"/>
      <c r="T70" s="32"/>
      <c r="U70" s="32"/>
      <c r="V70" s="32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</row>
    <row r="71" spans="2:42" ht="15.75" hidden="1" thickBot="1" x14ac:dyDescent="0.3">
      <c r="B71" s="193"/>
      <c r="C71" s="92" t="s">
        <v>81</v>
      </c>
      <c r="D71" s="30" t="s">
        <v>56</v>
      </c>
      <c r="E71" s="18" t="s">
        <v>4</v>
      </c>
      <c r="F71" s="31"/>
      <c r="G71" s="32"/>
      <c r="H71" s="32"/>
      <c r="I71" s="32"/>
      <c r="J71" s="32"/>
      <c r="K71" s="32"/>
      <c r="L71" s="32"/>
      <c r="M71" s="32"/>
      <c r="N71" s="32"/>
      <c r="O71" s="32"/>
      <c r="P71" s="94"/>
      <c r="Q71" s="32"/>
      <c r="R71" s="32"/>
      <c r="S71" s="32"/>
      <c r="T71" s="32"/>
      <c r="U71" s="32"/>
      <c r="V71" s="32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</row>
    <row r="72" spans="2:42" ht="18.600000000000001" hidden="1" customHeight="1" thickBot="1" x14ac:dyDescent="0.3">
      <c r="B72" s="193"/>
      <c r="C72" s="92" t="s">
        <v>60</v>
      </c>
      <c r="D72" s="30" t="s">
        <v>61</v>
      </c>
      <c r="E72" s="18" t="s">
        <v>4</v>
      </c>
      <c r="F72" s="31"/>
      <c r="G72" s="32"/>
      <c r="H72" s="32"/>
      <c r="I72" s="32"/>
      <c r="J72" s="32"/>
      <c r="K72" s="32"/>
      <c r="L72" s="32"/>
      <c r="M72" s="32"/>
      <c r="N72" s="32"/>
      <c r="O72" s="32"/>
      <c r="P72" s="94"/>
      <c r="Q72" s="32"/>
      <c r="R72" s="32"/>
      <c r="S72" s="32"/>
      <c r="T72" s="32"/>
      <c r="U72" s="32"/>
      <c r="V72" s="32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</row>
    <row r="73" spans="2:42" ht="37.5" hidden="1" customHeight="1" thickBot="1" x14ac:dyDescent="0.3">
      <c r="B73" s="200"/>
      <c r="C73" s="95" t="s">
        <v>62</v>
      </c>
      <c r="D73" s="30" t="s">
        <v>63</v>
      </c>
      <c r="E73" s="18" t="s">
        <v>4</v>
      </c>
      <c r="F73" s="33"/>
      <c r="G73" s="34"/>
      <c r="H73" s="34"/>
      <c r="I73" s="34"/>
      <c r="J73" s="34"/>
      <c r="K73" s="34"/>
      <c r="L73" s="34"/>
      <c r="M73" s="34"/>
      <c r="N73" s="34"/>
      <c r="O73" s="34"/>
      <c r="P73" s="96"/>
      <c r="Q73" s="34"/>
      <c r="R73" s="34"/>
      <c r="S73" s="34"/>
      <c r="T73" s="34"/>
      <c r="U73" s="34"/>
      <c r="V73" s="34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</row>
    <row r="74" spans="2:42" x14ac:dyDescent="0.25">
      <c r="B74" s="192" t="s">
        <v>64</v>
      </c>
      <c r="C74" s="78" t="s">
        <v>65</v>
      </c>
      <c r="D74" s="17" t="s">
        <v>45</v>
      </c>
      <c r="E74" s="18" t="s">
        <v>66</v>
      </c>
      <c r="F74" s="19">
        <v>0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9">
        <v>0</v>
      </c>
      <c r="M74" s="19">
        <v>0</v>
      </c>
      <c r="N74" s="19">
        <v>0</v>
      </c>
      <c r="O74" s="19">
        <v>0</v>
      </c>
      <c r="P74" s="97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1</v>
      </c>
      <c r="Z74" s="19">
        <v>0</v>
      </c>
      <c r="AA74" s="19">
        <v>0</v>
      </c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</row>
    <row r="75" spans="2:42" x14ac:dyDescent="0.25">
      <c r="B75" s="193"/>
      <c r="C75" s="75" t="s">
        <v>67</v>
      </c>
      <c r="D75" s="13" t="s">
        <v>45</v>
      </c>
      <c r="E75" s="1" t="s">
        <v>4</v>
      </c>
      <c r="F75" s="21">
        <v>1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86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1</v>
      </c>
      <c r="Z75" s="21">
        <v>0</v>
      </c>
      <c r="AA75" s="21">
        <v>0</v>
      </c>
      <c r="AB75" s="21"/>
      <c r="AC75" s="21"/>
      <c r="AD75" s="21"/>
      <c r="AE75" s="21"/>
      <c r="AF75" s="21"/>
      <c r="AG75" s="21"/>
      <c r="AH75" s="21">
        <v>1</v>
      </c>
      <c r="AI75" s="21">
        <v>0</v>
      </c>
      <c r="AJ75" s="21"/>
      <c r="AK75" s="21"/>
      <c r="AL75" s="21"/>
      <c r="AM75" s="21"/>
      <c r="AN75" s="21"/>
      <c r="AO75" s="21"/>
      <c r="AP75" s="21"/>
    </row>
    <row r="76" spans="2:42" ht="24" customHeight="1" thickBot="1" x14ac:dyDescent="0.3">
      <c r="B76" s="194"/>
      <c r="C76" s="87" t="s">
        <v>68</v>
      </c>
      <c r="D76" s="30" t="s">
        <v>20</v>
      </c>
      <c r="E76" s="15" t="s">
        <v>4</v>
      </c>
      <c r="F76" s="33">
        <v>75</v>
      </c>
      <c r="G76" s="33">
        <v>65</v>
      </c>
      <c r="H76" s="33">
        <v>69</v>
      </c>
      <c r="I76" s="33">
        <v>75</v>
      </c>
      <c r="J76" s="33">
        <v>77</v>
      </c>
      <c r="K76" s="33">
        <v>80</v>
      </c>
      <c r="L76" s="33">
        <v>75</v>
      </c>
      <c r="M76" s="33">
        <v>77</v>
      </c>
      <c r="N76" s="33">
        <v>70</v>
      </c>
      <c r="O76" s="33">
        <v>70</v>
      </c>
      <c r="P76" s="98">
        <v>77</v>
      </c>
      <c r="Q76" s="33">
        <v>77</v>
      </c>
      <c r="R76" s="33">
        <v>77</v>
      </c>
      <c r="S76" s="33">
        <v>77</v>
      </c>
      <c r="T76" s="33">
        <v>77</v>
      </c>
      <c r="U76" s="33">
        <v>76</v>
      </c>
      <c r="V76" s="33">
        <v>76</v>
      </c>
      <c r="W76" s="33">
        <v>76</v>
      </c>
      <c r="X76" s="33">
        <v>76</v>
      </c>
      <c r="Y76" s="33">
        <v>77</v>
      </c>
      <c r="Z76" s="33">
        <v>76</v>
      </c>
      <c r="AA76" s="33">
        <v>76</v>
      </c>
      <c r="AB76" s="33">
        <v>76</v>
      </c>
      <c r="AC76" s="33">
        <v>78.5</v>
      </c>
      <c r="AD76" s="33">
        <v>78.5</v>
      </c>
      <c r="AE76" s="33">
        <v>78.5</v>
      </c>
      <c r="AF76" s="33">
        <v>78.5</v>
      </c>
      <c r="AG76" s="33">
        <v>78.5</v>
      </c>
      <c r="AH76" s="33">
        <v>84</v>
      </c>
      <c r="AI76" s="33">
        <v>84</v>
      </c>
      <c r="AJ76" s="33">
        <v>84</v>
      </c>
      <c r="AK76" s="33">
        <v>85</v>
      </c>
      <c r="AL76" s="33">
        <v>85</v>
      </c>
      <c r="AM76" s="33">
        <v>85</v>
      </c>
      <c r="AN76" s="33">
        <v>85.5</v>
      </c>
      <c r="AO76" s="33">
        <v>86.5</v>
      </c>
      <c r="AP76" s="33">
        <v>87.5</v>
      </c>
    </row>
  </sheetData>
  <mergeCells count="14">
    <mergeCell ref="O2:P2"/>
    <mergeCell ref="B4:B6"/>
    <mergeCell ref="C4:C6"/>
    <mergeCell ref="D4:D6"/>
    <mergeCell ref="E4:E6"/>
    <mergeCell ref="F4:F6"/>
    <mergeCell ref="B3:AD3"/>
    <mergeCell ref="B74:B76"/>
    <mergeCell ref="B7:B11"/>
    <mergeCell ref="B12:B23"/>
    <mergeCell ref="B24:B50"/>
    <mergeCell ref="B51:B56"/>
    <mergeCell ref="B62:B73"/>
    <mergeCell ref="B57:B58"/>
  </mergeCells>
  <phoneticPr fontId="10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6E64-639C-4D55-B6A1-EB088D305169}">
  <dimension ref="I6:U20"/>
  <sheetViews>
    <sheetView topLeftCell="J1" workbookViewId="0">
      <selection activeCell="P8" sqref="P8"/>
    </sheetView>
  </sheetViews>
  <sheetFormatPr baseColWidth="10" defaultRowHeight="15" x14ac:dyDescent="0.25"/>
  <cols>
    <col min="9" max="9" width="38.140625" bestFit="1" customWidth="1"/>
    <col min="16" max="16" width="38" bestFit="1" customWidth="1"/>
  </cols>
  <sheetData>
    <row r="6" spans="9:21" ht="15.75" thickBot="1" x14ac:dyDescent="0.3"/>
    <row r="7" spans="9:21" ht="15.75" thickBot="1" x14ac:dyDescent="0.3">
      <c r="I7" s="166" t="s">
        <v>101</v>
      </c>
      <c r="J7" s="164" t="s">
        <v>0</v>
      </c>
      <c r="K7" s="164" t="s">
        <v>102</v>
      </c>
      <c r="L7" s="164" t="s">
        <v>176</v>
      </c>
      <c r="M7" s="165" t="s">
        <v>177</v>
      </c>
    </row>
    <row r="8" spans="9:21" x14ac:dyDescent="0.25">
      <c r="I8" s="56" t="s">
        <v>119</v>
      </c>
      <c r="J8" s="57" t="s">
        <v>34</v>
      </c>
      <c r="K8" s="57" t="s">
        <v>4</v>
      </c>
      <c r="L8" s="61">
        <v>1169</v>
      </c>
      <c r="M8" s="61">
        <v>1112</v>
      </c>
    </row>
    <row r="9" spans="9:21" x14ac:dyDescent="0.25">
      <c r="I9" s="62" t="s">
        <v>35</v>
      </c>
      <c r="J9" s="1" t="s">
        <v>31</v>
      </c>
      <c r="K9" s="1" t="s">
        <v>4</v>
      </c>
      <c r="L9" s="63">
        <v>200860</v>
      </c>
      <c r="M9" s="63">
        <v>219160</v>
      </c>
    </row>
    <row r="10" spans="9:21" x14ac:dyDescent="0.25">
      <c r="I10" s="62" t="s">
        <v>122</v>
      </c>
      <c r="J10" s="1" t="s">
        <v>151</v>
      </c>
      <c r="K10" s="1" t="s">
        <v>4</v>
      </c>
      <c r="L10" s="63">
        <v>82930</v>
      </c>
      <c r="M10" s="63">
        <v>90132</v>
      </c>
    </row>
    <row r="11" spans="9:21" x14ac:dyDescent="0.25">
      <c r="I11" s="62" t="s">
        <v>22</v>
      </c>
      <c r="J11" s="1" t="s">
        <v>23</v>
      </c>
      <c r="K11" s="1" t="s">
        <v>4</v>
      </c>
      <c r="L11" s="63">
        <v>288945</v>
      </c>
      <c r="M11" s="63">
        <v>304375</v>
      </c>
    </row>
    <row r="12" spans="9:21" x14ac:dyDescent="0.25">
      <c r="I12" s="62" t="s">
        <v>24</v>
      </c>
      <c r="J12" s="1" t="s">
        <v>23</v>
      </c>
      <c r="K12" s="1" t="s">
        <v>4</v>
      </c>
      <c r="L12" s="63">
        <v>159</v>
      </c>
      <c r="M12" s="63">
        <v>15384</v>
      </c>
    </row>
    <row r="13" spans="9:21" ht="15.75" thickBot="1" x14ac:dyDescent="0.3">
      <c r="I13" s="64" t="s">
        <v>25</v>
      </c>
      <c r="J13" s="15" t="s">
        <v>26</v>
      </c>
      <c r="K13" s="15" t="s">
        <v>4</v>
      </c>
      <c r="L13" s="161">
        <v>289104</v>
      </c>
      <c r="M13" s="74">
        <v>319759</v>
      </c>
    </row>
    <row r="14" spans="9:21" ht="15.75" thickBot="1" x14ac:dyDescent="0.3">
      <c r="P14" s="217" t="s">
        <v>167</v>
      </c>
      <c r="Q14" s="218"/>
      <c r="R14" s="218"/>
      <c r="S14" s="218"/>
      <c r="T14" s="218"/>
      <c r="U14" s="219"/>
    </row>
    <row r="15" spans="9:21" x14ac:dyDescent="0.25">
      <c r="P15" s="187" t="s">
        <v>101</v>
      </c>
      <c r="Q15" s="188" t="s">
        <v>0</v>
      </c>
      <c r="R15" s="186" t="s">
        <v>102</v>
      </c>
      <c r="S15" s="186" t="s">
        <v>103</v>
      </c>
      <c r="T15" s="188" t="s">
        <v>176</v>
      </c>
      <c r="U15" s="189" t="s">
        <v>177</v>
      </c>
    </row>
    <row r="16" spans="9:21" x14ac:dyDescent="0.25">
      <c r="P16" s="62" t="s">
        <v>173</v>
      </c>
      <c r="Q16" s="167" t="s">
        <v>174</v>
      </c>
      <c r="R16" s="1" t="s">
        <v>4</v>
      </c>
      <c r="S16" s="183" t="s">
        <v>175</v>
      </c>
      <c r="T16" s="168">
        <v>435.58</v>
      </c>
      <c r="U16" s="169">
        <v>473.12</v>
      </c>
    </row>
    <row r="17" spans="16:21" x14ac:dyDescent="0.25">
      <c r="P17" s="66" t="s">
        <v>9</v>
      </c>
      <c r="Q17" s="4" t="s">
        <v>11</v>
      </c>
      <c r="R17" s="5" t="s">
        <v>4</v>
      </c>
      <c r="S17" s="6" t="s">
        <v>10</v>
      </c>
      <c r="T17" s="168">
        <v>19.360715468698245</v>
      </c>
      <c r="U17" s="169">
        <v>19.504665684417315</v>
      </c>
    </row>
    <row r="18" spans="16:21" x14ac:dyDescent="0.25">
      <c r="P18" s="68" t="s">
        <v>86</v>
      </c>
      <c r="Q18" s="1" t="s">
        <v>85</v>
      </c>
      <c r="R18" s="1" t="s">
        <v>4</v>
      </c>
      <c r="S18" s="3" t="s">
        <v>146</v>
      </c>
      <c r="T18" s="43">
        <v>0.28301886792452829</v>
      </c>
      <c r="U18" s="69">
        <v>0.24362974518980759</v>
      </c>
    </row>
    <row r="19" spans="16:21" x14ac:dyDescent="0.25">
      <c r="P19" s="62" t="s">
        <v>16</v>
      </c>
      <c r="Q19" s="1" t="s">
        <v>15</v>
      </c>
      <c r="R19" s="1" t="s">
        <v>4</v>
      </c>
      <c r="S19" s="3">
        <v>7.31</v>
      </c>
      <c r="T19" s="43">
        <v>7.8199621314579391</v>
      </c>
      <c r="U19" s="105">
        <v>7.7635904532983711</v>
      </c>
    </row>
    <row r="20" spans="16:21" ht="15.75" thickBot="1" x14ac:dyDescent="0.3">
      <c r="P20" s="64" t="s">
        <v>17</v>
      </c>
      <c r="Q20" s="15" t="s">
        <v>18</v>
      </c>
      <c r="R20" s="15" t="s">
        <v>4</v>
      </c>
      <c r="S20" s="16">
        <v>4.7</v>
      </c>
      <c r="T20" s="184">
        <v>5.4330538274276439</v>
      </c>
      <c r="U20" s="185">
        <v>5.3210964624760244</v>
      </c>
    </row>
  </sheetData>
  <mergeCells count="1">
    <mergeCell ref="P14:U14"/>
  </mergeCells>
  <phoneticPr fontId="10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663B-7309-4A1E-BACA-66BBFF4F14FE}">
  <dimension ref="D1:O13"/>
  <sheetViews>
    <sheetView topLeftCell="B1" workbookViewId="0">
      <selection activeCell="D2" sqref="D2:G2"/>
    </sheetView>
  </sheetViews>
  <sheetFormatPr baseColWidth="10" defaultColWidth="10.85546875" defaultRowHeight="15" x14ac:dyDescent="0.25"/>
  <cols>
    <col min="4" max="4" width="13.28515625" bestFit="1" customWidth="1"/>
    <col min="11" max="11" width="38" bestFit="1" customWidth="1"/>
  </cols>
  <sheetData>
    <row r="1" spans="4:15" ht="15.75" thickBot="1" x14ac:dyDescent="0.3">
      <c r="K1" s="220" t="s">
        <v>167</v>
      </c>
      <c r="L1" s="221"/>
      <c r="M1" s="221"/>
      <c r="N1" s="221"/>
      <c r="O1" s="222"/>
    </row>
    <row r="2" spans="4:15" x14ac:dyDescent="0.25">
      <c r="D2" s="166" t="s">
        <v>101</v>
      </c>
      <c r="E2" s="164" t="s">
        <v>0</v>
      </c>
      <c r="F2" s="164" t="s">
        <v>165</v>
      </c>
      <c r="G2" s="165" t="s">
        <v>166</v>
      </c>
      <c r="K2" s="62" t="s">
        <v>9</v>
      </c>
      <c r="L2" s="167" t="s">
        <v>11</v>
      </c>
      <c r="M2" s="3" t="s">
        <v>10</v>
      </c>
      <c r="N2" s="168">
        <v>19.455489734642537</v>
      </c>
      <c r="O2" s="169">
        <v>19.034727803392414</v>
      </c>
    </row>
    <row r="3" spans="4:15" x14ac:dyDescent="0.25">
      <c r="D3" s="62" t="s">
        <v>119</v>
      </c>
      <c r="E3" s="1" t="s">
        <v>34</v>
      </c>
      <c r="F3" s="46">
        <v>959</v>
      </c>
      <c r="G3" s="63">
        <v>900</v>
      </c>
      <c r="K3" s="62" t="s">
        <v>86</v>
      </c>
      <c r="L3" s="1" t="s">
        <v>85</v>
      </c>
      <c r="M3" s="3" t="s">
        <v>146</v>
      </c>
      <c r="N3" s="35" t="e">
        <v>#DIV/0!</v>
      </c>
      <c r="O3" s="69">
        <v>0.30224255271672429</v>
      </c>
    </row>
    <row r="4" spans="4:15" x14ac:dyDescent="0.25">
      <c r="D4" s="62" t="s">
        <v>35</v>
      </c>
      <c r="E4" s="1" t="s">
        <v>31</v>
      </c>
      <c r="F4" s="46">
        <v>152420</v>
      </c>
      <c r="G4" s="63">
        <v>145460</v>
      </c>
      <c r="K4" s="62" t="s">
        <v>16</v>
      </c>
      <c r="L4" s="1" t="s">
        <v>15</v>
      </c>
      <c r="M4" s="3">
        <v>7.31</v>
      </c>
      <c r="N4" s="43">
        <v>2.0024374390640234</v>
      </c>
      <c r="O4" s="105">
        <v>2.1212202781516374</v>
      </c>
    </row>
    <row r="5" spans="4:15" x14ac:dyDescent="0.25">
      <c r="D5" s="62" t="s">
        <v>122</v>
      </c>
      <c r="E5" s="1" t="s">
        <v>151</v>
      </c>
      <c r="F5" s="46">
        <v>64911</v>
      </c>
      <c r="G5" s="63">
        <v>77049</v>
      </c>
      <c r="K5" s="62" t="s">
        <v>17</v>
      </c>
      <c r="L5" s="1" t="s">
        <v>18</v>
      </c>
      <c r="M5" s="3">
        <v>4.7</v>
      </c>
      <c r="N5" s="43">
        <v>6.191907702307442</v>
      </c>
      <c r="O5" s="105">
        <v>6.5257963212202785</v>
      </c>
    </row>
    <row r="6" spans="4:15" ht="15.75" thickBot="1" x14ac:dyDescent="0.3">
      <c r="D6" s="62" t="s">
        <v>22</v>
      </c>
      <c r="E6" s="1" t="s">
        <v>23</v>
      </c>
      <c r="F6" s="46">
        <v>222871</v>
      </c>
      <c r="G6" s="63">
        <v>208231</v>
      </c>
      <c r="K6" s="64" t="s">
        <v>19</v>
      </c>
      <c r="L6" s="15" t="s">
        <v>20</v>
      </c>
      <c r="M6" s="16" t="s">
        <v>21</v>
      </c>
      <c r="N6" s="16">
        <v>82.27</v>
      </c>
      <c r="O6" s="74">
        <v>75.010000000000005</v>
      </c>
    </row>
    <row r="7" spans="4:15" x14ac:dyDescent="0.25">
      <c r="D7" s="62" t="s">
        <v>24</v>
      </c>
      <c r="E7" s="1" t="s">
        <v>23</v>
      </c>
      <c r="F7" s="46">
        <v>0</v>
      </c>
      <c r="G7" s="63">
        <v>8963</v>
      </c>
    </row>
    <row r="8" spans="4:15" x14ac:dyDescent="0.25">
      <c r="D8" s="62" t="s">
        <v>25</v>
      </c>
      <c r="E8" s="1" t="s">
        <v>26</v>
      </c>
      <c r="F8" s="3">
        <v>222871</v>
      </c>
      <c r="G8" s="76">
        <v>217194</v>
      </c>
    </row>
    <row r="9" spans="4:15" x14ac:dyDescent="0.25">
      <c r="D9" s="62" t="s">
        <v>27</v>
      </c>
      <c r="E9" s="1" t="s">
        <v>31</v>
      </c>
      <c r="F9" s="46">
        <v>49292</v>
      </c>
      <c r="G9" s="63">
        <v>47282</v>
      </c>
    </row>
    <row r="10" spans="4:15" x14ac:dyDescent="0.25">
      <c r="D10" s="62" t="s">
        <v>28</v>
      </c>
      <c r="E10" s="1" t="s">
        <v>29</v>
      </c>
      <c r="F10" s="46">
        <v>0</v>
      </c>
      <c r="G10" s="63">
        <v>0</v>
      </c>
    </row>
    <row r="11" spans="4:15" x14ac:dyDescent="0.25">
      <c r="D11" s="62" t="s">
        <v>84</v>
      </c>
      <c r="E11" s="1" t="s">
        <v>29</v>
      </c>
      <c r="F11" s="46">
        <v>0</v>
      </c>
      <c r="G11" s="63">
        <v>2709</v>
      </c>
    </row>
    <row r="12" spans="4:15" x14ac:dyDescent="0.25">
      <c r="D12" s="62" t="s">
        <v>32</v>
      </c>
      <c r="E12" s="1" t="s">
        <v>31</v>
      </c>
      <c r="F12" s="46">
        <v>213</v>
      </c>
      <c r="G12" s="63">
        <v>196</v>
      </c>
    </row>
    <row r="13" spans="4:15" ht="15.75" thickBot="1" x14ac:dyDescent="0.3">
      <c r="D13" s="64" t="s">
        <v>123</v>
      </c>
      <c r="E13" s="15" t="s">
        <v>31</v>
      </c>
      <c r="F13" s="53">
        <v>968</v>
      </c>
      <c r="G13" s="65">
        <v>647</v>
      </c>
    </row>
  </sheetData>
  <mergeCells count="1">
    <mergeCell ref="K1:O1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U.Ratio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AKEEM</dc:creator>
  <cp:lastModifiedBy>TJAHE STAN</cp:lastModifiedBy>
  <dcterms:created xsi:type="dcterms:W3CDTF">2025-04-11T16:45:31Z</dcterms:created>
  <dcterms:modified xsi:type="dcterms:W3CDTF">2025-11-12T15:27:05Z</dcterms:modified>
</cp:coreProperties>
</file>