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20055" windowHeight="7935" tabRatio="949"/>
  </bookViews>
  <sheets>
    <sheet name="Daily Elec" sheetId="6" r:id="rId1"/>
    <sheet name="Cvyr Btles" sheetId="12" state="hidden" r:id="rId2"/>
    <sheet name="CC C1" sheetId="13" state="hidden" r:id="rId3"/>
    <sheet name="CC C2" sheetId="15" state="hidden" r:id="rId4"/>
    <sheet name="CC C3" sheetId="16" state="hidden" r:id="rId5"/>
    <sheet name="CC C4" sheetId="17" state="hidden" r:id="rId6"/>
    <sheet name="CC C5" sheetId="18" state="hidden" r:id="rId7"/>
    <sheet name="CC C6" sheetId="19" state="hidden" r:id="rId8"/>
    <sheet name="CC C7" sheetId="20" state="hidden" r:id="rId9"/>
    <sheet name="CC C8" sheetId="21" state="hidden" r:id="rId10"/>
    <sheet name="Line &amp; frequency" sheetId="2" state="hidden" r:id="rId11"/>
    <sheet name="Daily Méca Alain" sheetId="33" r:id="rId12"/>
  </sheets>
  <definedNames>
    <definedName name="_xlnm.Print_Area" localSheetId="2">'CC C1'!$B$3:$G$63</definedName>
    <definedName name="_xlnm.Print_Area" localSheetId="3">'CC C2'!$B$3:$G$63</definedName>
    <definedName name="_xlnm.Print_Area" localSheetId="4">'CC C3'!$B$3:$G$32</definedName>
    <definedName name="_xlnm.Print_Area" localSheetId="5">'CC C4'!$B$3:$G$37</definedName>
    <definedName name="_xlnm.Print_Area" localSheetId="6">'CC C5'!$B$3:$G$37</definedName>
    <definedName name="_xlnm.Print_Area" localSheetId="7">'CC C6'!$B$3:$G$37</definedName>
    <definedName name="_xlnm.Print_Area" localSheetId="8">'CC C7'!$B$3:$G$37</definedName>
    <definedName name="_xlnm.Print_Area" localSheetId="9">'CC C8'!$B$3:$G$37</definedName>
    <definedName name="_xlnm.Print_Area" localSheetId="1">'Cvyr Btles'!$B$3:$G$63</definedName>
    <definedName name="_xlnm.Print_Area" localSheetId="0">'Daily Elec'!$B$3:$G$30</definedName>
    <definedName name="_xlnm.Print_Area" localSheetId="11">'Daily Méca Alain'!$B$1:$G$33</definedName>
  </definedNames>
  <calcPr calcId="144525"/>
</workbook>
</file>

<file path=xl/calcChain.xml><?xml version="1.0" encoding="utf-8"?>
<calcChain xmlns="http://schemas.openxmlformats.org/spreadsheetml/2006/main">
  <c r="B9" i="33" l="1"/>
  <c r="B10" i="33" s="1"/>
  <c r="B11" i="33" s="1"/>
  <c r="B12" i="33" s="1"/>
  <c r="B13" i="33" s="1"/>
  <c r="B27" i="33" s="1"/>
  <c r="G3" i="2" l="1"/>
  <c r="B9" i="2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G4" i="21"/>
  <c r="D4" i="21"/>
  <c r="B9" i="20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8" i="20" s="1"/>
  <c r="B29" i="20" s="1"/>
  <c r="B30" i="20" s="1"/>
  <c r="B31" i="20" s="1"/>
  <c r="B32" i="20" s="1"/>
  <c r="B33" i="20" s="1"/>
  <c r="B34" i="20" s="1"/>
  <c r="B35" i="20" s="1"/>
  <c r="B36" i="20" s="1"/>
  <c r="B37" i="20" s="1"/>
  <c r="G4" i="20"/>
  <c r="D4" i="20"/>
  <c r="B9" i="19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G4" i="19"/>
  <c r="D4" i="19"/>
  <c r="B9" i="18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G4" i="18"/>
  <c r="D4" i="18"/>
  <c r="B9" i="17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G4" i="17"/>
  <c r="D4" i="17"/>
  <c r="B9" i="16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G4" i="16"/>
  <c r="D4" i="16"/>
  <c r="B9" i="15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G4" i="15"/>
  <c r="D4" i="15"/>
  <c r="B9" i="13" l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9" i="12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G4" i="13" l="1"/>
  <c r="D4" i="13"/>
  <c r="G4" i="12"/>
  <c r="D4" i="12"/>
</calcChain>
</file>

<file path=xl/sharedStrings.xml><?xml version="1.0" encoding="utf-8"?>
<sst xmlns="http://schemas.openxmlformats.org/spreadsheetml/2006/main" count="377" uniqueCount="79">
  <si>
    <t>FAIT?</t>
  </si>
  <si>
    <t>N°</t>
  </si>
  <si>
    <t>DESCRIPTION DES TACHES</t>
  </si>
  <si>
    <t>Durée</t>
  </si>
  <si>
    <t>OUI</t>
  </si>
  <si>
    <t>NON</t>
  </si>
  <si>
    <t>REMARQUES (MATERIEL + PIECES)</t>
  </si>
  <si>
    <t>Nom et Visa Intervenants</t>
  </si>
  <si>
    <t>Nom et Visa Responsables</t>
  </si>
  <si>
    <t xml:space="preserve">Line </t>
  </si>
  <si>
    <t>Frequency</t>
  </si>
  <si>
    <t>CHECKLIST  MECANIQUE</t>
  </si>
  <si>
    <t>Date</t>
  </si>
  <si>
    <t xml:space="preserve">Commentaire </t>
  </si>
  <si>
    <t>CHAINE 4</t>
  </si>
  <si>
    <t>HEBDOMADAIRE</t>
  </si>
  <si>
    <t>PALETTISEUR</t>
  </si>
  <si>
    <t>controler l'arret d'huile et le remplacé au besoin. Aucune fuite d'huile n'est acceptable.</t>
  </si>
  <si>
    <t>CONVOYEURS CASIERS C1</t>
  </si>
  <si>
    <t>controler la fixation du réducteur sur le convoyeur et corriger si necessaire.</t>
  </si>
  <si>
    <t>controler l'usure du pignon et le remplacé au besoin. Aucun glissement n'est acceptable.</t>
  </si>
  <si>
    <t>controler l'alignement et la fixation du pignon de  l'axe moteur et remedier au besoin.</t>
  </si>
  <si>
    <t>controler l'usure de la roue libre et la remplacée au besoin. Aucun glissement n'est acceptable.</t>
  </si>
  <si>
    <t>controler l'alignement et la fixation de la roue libre et remedier au problème.</t>
  </si>
  <si>
    <t>controler l'usure de la clavette et la rainure et reparer au besoin</t>
  </si>
  <si>
    <t>controler l'état des glissières et remplacer les au besoin</t>
  </si>
  <si>
    <t xml:space="preserve">controler l'usure des roulements et paliers de l'axe moteur et remplacer si necessaire. </t>
  </si>
  <si>
    <t>controler l'usure des pignons et les remplacés au besoin. Aucun glissement n'est acceptable.</t>
  </si>
  <si>
    <t>controler l'usure du tapis et remplacer les portions usées ou maillons cassés</t>
  </si>
  <si>
    <t>controler la tenson des tapis et ajuster au besoin</t>
  </si>
  <si>
    <t>vérifier la fixation des couvres chaines et bien les rangés au besoin</t>
  </si>
  <si>
    <t>CONVOYEURS CASIERS C2</t>
  </si>
  <si>
    <t>CONVOYEURS CASIERS C4</t>
  </si>
  <si>
    <t>CONVOYEURS CASIERS C3</t>
  </si>
  <si>
    <t>CONVOYEURS CASIERS C5</t>
  </si>
  <si>
    <t>CONVOYEURS CASIERS C6</t>
  </si>
  <si>
    <t>CONVOYEURS CASIERS C7</t>
  </si>
  <si>
    <t>CONVOYEURS CASIERS C8</t>
  </si>
  <si>
    <t>New PET line</t>
  </si>
  <si>
    <t>JOURNALIERE</t>
  </si>
  <si>
    <t>CHECKLIST  ELECTRIQUE</t>
  </si>
  <si>
    <t>JPORNALIERE</t>
  </si>
  <si>
    <t>Vérifier que les climatiseurs des armoires électriques fonctionnent bien</t>
  </si>
  <si>
    <t>Chaine 6</t>
  </si>
  <si>
    <t>Effectuez le Test de lampes de toutes les machines</t>
  </si>
  <si>
    <t>Contrôler la fonction des dispositifs de signalisation visuels de toutes les machines</t>
  </si>
  <si>
    <t>Nettoyer les barrières photoélectriques et les réflecteurs de toutes les machines et convoyeurs et verifier leur alignement + fixation</t>
  </si>
  <si>
    <t>Contrôler le réglage de la pression et le bon état technique des Systèmes pneumatiques</t>
  </si>
  <si>
    <t>Vérifier que les câblages des Système électrique et capteurs ne sont pas endommagés</t>
  </si>
  <si>
    <t>Nettoyer les faces interieurs du pont de mesure du FBI</t>
  </si>
  <si>
    <t>Méca (labeller, Kisters, handle applicator, et Conveors and Compressor)</t>
  </si>
  <si>
    <t xml:space="preserve">Contrôler l'état pour détecter tout endommagement et/ou usure des pieces </t>
  </si>
  <si>
    <t>Vérifier l'absence de dommages du Convoyeurs d'admission et de sortie, de la Table, des Pièces de guidage de récipients et Étoiles,</t>
  </si>
  <si>
    <t>Vérifier l'usure du couteau et le faire remplacer le cas échéant</t>
  </si>
  <si>
    <t>Vérifier l'usure des inserts de bord et les faire remplacer et régler, le cas échéant</t>
  </si>
  <si>
    <t>Contrôler le déroulement en ligne droite des tapis de transport (Kisters)</t>
  </si>
  <si>
    <t>Éliminer les encrassements sur toute la machine</t>
  </si>
  <si>
    <t>Vérifier l'absence de dommages visibles sur Moteurs et entraînements</t>
  </si>
  <si>
    <t>Être particulièrement attentif à l'écoulement de liquides (Kisters)</t>
  </si>
  <si>
    <t>Contrôler l'endommagement et le décollage du film antidérapant appliqué sur les planchers en tôle (kisters)</t>
  </si>
  <si>
    <t>Vérifier l'absence de dommages visibles sur les machines</t>
  </si>
  <si>
    <t>Vérifier l'absence de rupture ou de bris (Tuyaux et câbles)</t>
  </si>
  <si>
    <t>Éliminer les encrassements sur le Tapis de transport (kisters)</t>
  </si>
  <si>
    <t>Nettoyer les galets d'entraînement, les poulies de renvoi et les transferts à rouleaux sur le Tapis de transport (kisters)</t>
  </si>
  <si>
    <t>Vérifier l'absence de dommages visibles sur le Tapis de transport (kisters)</t>
  </si>
  <si>
    <t xml:space="preserve">Vérifier que la tension des tapis est correcte </t>
  </si>
  <si>
    <t>Vérifier l'absence de dommages visibles sur Station de coupe du film</t>
  </si>
  <si>
    <t>Vérifier l'absence de dommages visibles sur Tapis de transport de film</t>
  </si>
  <si>
    <t xml:space="preserve">Date: </t>
  </si>
  <si>
    <t>Controler le fonctionnement des onduleurs (Blomax et Mcc room)</t>
  </si>
  <si>
    <t>Verifier le fonctionnemnt des extracteurs de chaleur du Blomax et de la salle du Compresseur</t>
  </si>
  <si>
    <t>Vérifier le fonctionnement des moteurs ventillateur du cooling tower</t>
  </si>
  <si>
    <t>Vérifier que les climatiseurs du mcc room et la salle du Blomax fonctionnent bien</t>
  </si>
  <si>
    <t>Purger le séparateur d'eau sur les unités de conditionnement d'air comprimé</t>
  </si>
  <si>
    <t>Vérifier le fonctionnement des ventillateurs (pré filtres) de la soutireuse</t>
  </si>
  <si>
    <t>Controler les balanciers des capteurs</t>
  </si>
  <si>
    <t>Former un process technician et remplir le coaching form</t>
  </si>
  <si>
    <r>
      <t>Verifier le reglage du vibreur des bouchons (</t>
    </r>
    <r>
      <rPr>
        <sz val="12"/>
        <color theme="1"/>
        <rFont val="Calibri"/>
        <family val="2"/>
      </rPr>
      <t>≤</t>
    </r>
    <r>
      <rPr>
        <sz val="10.8"/>
        <color theme="1"/>
        <rFont val="Arial Unicode MS"/>
        <family val="2"/>
      </rPr>
      <t>50Hz)</t>
    </r>
  </si>
  <si>
    <t>Laver les aillettes du chiller au katcher (au moins une fois en deux semaines)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</si>
</sst>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Arial"/>
      <family val="2"/>
    </font>
    <font>
      <sz val="16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0"/>
      <color indexed="8"/>
      <name val="Arial"/>
      <family val="2"/>
    </font>
    <font>
      <b/>
      <sz val="20"/>
      <color theme="1"/>
      <name val="Arial"/>
      <family val="2"/>
    </font>
    <font>
      <sz val="20"/>
      <color theme="1"/>
      <name val="Calibri"/>
      <family val="2"/>
      <scheme val="minor"/>
    </font>
    <font>
      <sz val="11"/>
      <color rgb="FF000000"/>
      <name val="ArialUnicodeMS"/>
    </font>
    <font>
      <sz val="12"/>
      <color rgb="FF000000"/>
      <name val="Arial Unicode MS"/>
      <family val="2"/>
    </font>
    <font>
      <sz val="12"/>
      <color theme="1"/>
      <name val="Arial Unicode MS"/>
      <family val="2"/>
    </font>
    <font>
      <sz val="12"/>
      <color theme="1"/>
      <name val="Calibri"/>
      <family val="2"/>
    </font>
    <font>
      <sz val="10.8"/>
      <color theme="1"/>
      <name val="Arial Unicode MS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6" fillId="0" borderId="0"/>
  </cellStyleXfs>
  <cellXfs count="77">
    <xf numFmtId="0" fontId="0" fillId="0" borderId="0" xfId="0"/>
    <xf numFmtId="0" fontId="1" fillId="2" borderId="0" xfId="0" applyFont="1" applyFill="1" applyProtection="1">
      <protection locked="0"/>
    </xf>
    <xf numFmtId="0" fontId="5" fillId="2" borderId="0" xfId="0" applyFont="1" applyFill="1" applyBorder="1" applyAlignment="1" applyProtection="1">
      <alignment horizontal="left"/>
      <protection locked="0"/>
    </xf>
    <xf numFmtId="0" fontId="2" fillId="2" borderId="0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Protection="1"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hidden="1"/>
    </xf>
    <xf numFmtId="0" fontId="6" fillId="2" borderId="17" xfId="0" applyFont="1" applyFill="1" applyBorder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0" fontId="7" fillId="2" borderId="17" xfId="0" applyFont="1" applyFill="1" applyBorder="1" applyProtection="1">
      <protection locked="0"/>
    </xf>
    <xf numFmtId="0" fontId="6" fillId="2" borderId="25" xfId="0" applyFont="1" applyFill="1" applyBorder="1" applyProtection="1">
      <protection locked="0"/>
    </xf>
    <xf numFmtId="0" fontId="6" fillId="2" borderId="23" xfId="0" applyFont="1" applyFill="1" applyBorder="1" applyAlignment="1" applyProtection="1">
      <alignment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0" fillId="4" borderId="0" xfId="0" applyFill="1"/>
    <xf numFmtId="0" fontId="9" fillId="2" borderId="6" xfId="0" applyFont="1" applyFill="1" applyBorder="1" applyAlignment="1" applyProtection="1">
      <alignment vertical="center"/>
      <protection locked="0"/>
    </xf>
    <xf numFmtId="0" fontId="10" fillId="2" borderId="7" xfId="0" applyFont="1" applyFill="1" applyBorder="1" applyAlignment="1" applyProtection="1">
      <alignment horizontal="center" vertical="center"/>
      <protection locked="0"/>
    </xf>
    <xf numFmtId="0" fontId="11" fillId="2" borderId="13" xfId="0" applyFont="1" applyFill="1" applyBorder="1" applyAlignment="1">
      <alignment horizontal="left" vertical="center" wrapText="1"/>
    </xf>
    <xf numFmtId="0" fontId="11" fillId="2" borderId="15" xfId="0" applyFont="1" applyFill="1" applyBorder="1" applyAlignment="1">
      <alignment horizontal="left" vertical="center" wrapText="1"/>
    </xf>
    <xf numFmtId="0" fontId="11" fillId="2" borderId="31" xfId="0" applyFont="1" applyFill="1" applyBorder="1" applyAlignment="1">
      <alignment horizontal="left" vertical="center" wrapText="1"/>
    </xf>
    <xf numFmtId="0" fontId="6" fillId="2" borderId="32" xfId="0" applyFont="1" applyFill="1" applyBorder="1" applyProtection="1">
      <protection locked="0"/>
    </xf>
    <xf numFmtId="0" fontId="6" fillId="2" borderId="30" xfId="0" applyFont="1" applyFill="1" applyBorder="1" applyAlignment="1" applyProtection="1">
      <alignment vertical="center"/>
      <protection locked="0"/>
    </xf>
    <xf numFmtId="0" fontId="7" fillId="2" borderId="28" xfId="0" applyFont="1" applyFill="1" applyBorder="1" applyAlignment="1" applyProtection="1">
      <alignment horizontal="center" vertical="center"/>
      <protection hidden="1"/>
    </xf>
    <xf numFmtId="0" fontId="7" fillId="2" borderId="19" xfId="0" applyFont="1" applyFill="1" applyBorder="1" applyAlignment="1" applyProtection="1">
      <alignment horizontal="center" vertical="center"/>
      <protection hidden="1"/>
    </xf>
    <xf numFmtId="0" fontId="7" fillId="2" borderId="21" xfId="0" applyFont="1" applyFill="1" applyBorder="1" applyAlignment="1" applyProtection="1">
      <alignment horizontal="center" vertical="center"/>
      <protection hidden="1"/>
    </xf>
    <xf numFmtId="0" fontId="12" fillId="3" borderId="12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 applyProtection="1">
      <alignment horizontal="center" vertical="center"/>
      <protection locked="0"/>
    </xf>
    <xf numFmtId="0" fontId="13" fillId="3" borderId="10" xfId="0" applyFont="1" applyFill="1" applyBorder="1" applyAlignment="1" applyProtection="1">
      <alignment horizontal="center" vertical="center"/>
      <protection locked="0"/>
    </xf>
    <xf numFmtId="0" fontId="13" fillId="3" borderId="6" xfId="0" applyFont="1" applyFill="1" applyBorder="1" applyAlignment="1" applyProtection="1">
      <alignment horizontal="center" vertical="center"/>
      <protection locked="0"/>
    </xf>
    <xf numFmtId="0" fontId="13" fillId="3" borderId="7" xfId="0" applyFont="1" applyFill="1" applyBorder="1" applyAlignment="1" applyProtection="1">
      <alignment horizontal="center" vertical="center" wrapText="1"/>
      <protection locked="0"/>
    </xf>
    <xf numFmtId="0" fontId="14" fillId="3" borderId="11" xfId="0" applyFont="1" applyFill="1" applyBorder="1" applyAlignment="1" applyProtection="1">
      <alignment horizontal="center" vertical="center"/>
      <protection locked="0"/>
    </xf>
    <xf numFmtId="0" fontId="14" fillId="3" borderId="12" xfId="0" applyFont="1" applyFill="1" applyBorder="1" applyAlignment="1" applyProtection="1">
      <alignment horizontal="center" vertical="center"/>
      <protection locked="0"/>
    </xf>
    <xf numFmtId="0" fontId="10" fillId="2" borderId="5" xfId="0" applyFont="1" applyFill="1" applyBorder="1" applyAlignment="1" applyProtection="1">
      <alignment horizontal="center" vertical="top"/>
      <protection locked="0"/>
    </xf>
    <xf numFmtId="0" fontId="15" fillId="2" borderId="1" xfId="0" applyFont="1" applyFill="1" applyBorder="1" applyAlignment="1" applyProtection="1">
      <alignment horizontal="center" vertical="center"/>
      <protection locked="0"/>
    </xf>
    <xf numFmtId="0" fontId="7" fillId="2" borderId="33" xfId="0" applyFont="1" applyFill="1" applyBorder="1" applyAlignment="1" applyProtection="1">
      <alignment horizontal="left" vertical="center"/>
      <protection locked="0"/>
    </xf>
    <xf numFmtId="0" fontId="7" fillId="2" borderId="16" xfId="0" applyFont="1" applyFill="1" applyBorder="1" applyAlignment="1" applyProtection="1">
      <alignment horizontal="left" vertical="center"/>
      <protection locked="0"/>
    </xf>
    <xf numFmtId="0" fontId="8" fillId="2" borderId="16" xfId="0" applyFont="1" applyFill="1" applyBorder="1" applyAlignment="1" applyProtection="1">
      <alignment horizontal="left" vertical="center" wrapText="1"/>
      <protection locked="0"/>
    </xf>
    <xf numFmtId="0" fontId="7" fillId="2" borderId="24" xfId="0" applyFont="1" applyFill="1" applyBorder="1" applyAlignment="1" applyProtection="1">
      <alignment horizontal="left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1" fillId="2" borderId="14" xfId="0" applyFont="1" applyFill="1" applyBorder="1" applyAlignment="1">
      <alignment horizontal="left" vertical="center" wrapText="1"/>
    </xf>
    <xf numFmtId="0" fontId="11" fillId="2" borderId="36" xfId="0" applyFont="1" applyFill="1" applyBorder="1" applyAlignment="1">
      <alignment horizontal="left" vertical="center" wrapText="1"/>
    </xf>
    <xf numFmtId="0" fontId="7" fillId="2" borderId="37" xfId="0" applyFont="1" applyFill="1" applyBorder="1" applyAlignment="1" applyProtection="1">
      <alignment horizontal="center" vertical="center"/>
      <protection hidden="1"/>
    </xf>
    <xf numFmtId="0" fontId="6" fillId="2" borderId="38" xfId="0" applyFont="1" applyFill="1" applyBorder="1" applyProtection="1">
      <protection locked="0"/>
    </xf>
    <xf numFmtId="0" fontId="6" fillId="2" borderId="39" xfId="0" applyFont="1" applyFill="1" applyBorder="1" applyAlignment="1" applyProtection="1">
      <alignment vertical="center"/>
      <protection locked="0"/>
    </xf>
    <xf numFmtId="0" fontId="7" fillId="2" borderId="40" xfId="0" applyFont="1" applyFill="1" applyBorder="1" applyAlignment="1" applyProtection="1">
      <alignment horizontal="left" vertical="center"/>
      <protection locked="0"/>
    </xf>
    <xf numFmtId="164" fontId="17" fillId="2" borderId="5" xfId="0" applyNumberFormat="1" applyFont="1" applyFill="1" applyBorder="1" applyAlignment="1" applyProtection="1">
      <alignment horizontal="center" vertical="center"/>
      <protection locked="0"/>
    </xf>
    <xf numFmtId="164" fontId="18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0" fontId="19" fillId="0" borderId="20" xfId="0" applyFont="1" applyBorder="1" applyAlignment="1">
      <alignment vertical="center" wrapText="1"/>
    </xf>
    <xf numFmtId="0" fontId="19" fillId="0" borderId="41" xfId="0" applyFont="1" applyBorder="1" applyAlignment="1">
      <alignment vertical="center" wrapText="1"/>
    </xf>
    <xf numFmtId="0" fontId="7" fillId="2" borderId="32" xfId="0" applyFont="1" applyFill="1" applyBorder="1" applyAlignment="1" applyProtection="1">
      <alignment horizontal="center" vertical="center"/>
      <protection hidden="1"/>
    </xf>
    <xf numFmtId="0" fontId="19" fillId="2" borderId="20" xfId="0" applyFont="1" applyFill="1" applyBorder="1" applyAlignment="1">
      <alignment vertical="center" wrapText="1"/>
    </xf>
    <xf numFmtId="0" fontId="13" fillId="2" borderId="7" xfId="0" applyFont="1" applyFill="1" applyBorder="1" applyAlignment="1" applyProtection="1">
      <alignment horizontal="center" vertical="center"/>
      <protection locked="0"/>
    </xf>
    <xf numFmtId="164" fontId="17" fillId="2" borderId="5" xfId="0" applyNumberFormat="1" applyFont="1" applyFill="1" applyBorder="1" applyAlignment="1" applyProtection="1">
      <alignment horizontal="left" vertical="center"/>
      <protection locked="0"/>
    </xf>
    <xf numFmtId="0" fontId="20" fillId="0" borderId="20" xfId="0" applyFont="1" applyBorder="1" applyAlignment="1">
      <alignment vertical="center" wrapText="1"/>
    </xf>
    <xf numFmtId="0" fontId="21" fillId="2" borderId="20" xfId="0" applyFont="1" applyFill="1" applyBorder="1" applyAlignment="1">
      <alignment horizontal="left" vertical="center" wrapText="1"/>
    </xf>
    <xf numFmtId="0" fontId="1" fillId="2" borderId="28" xfId="0" applyFont="1" applyFill="1" applyBorder="1" applyAlignment="1" applyProtection="1">
      <alignment horizontal="center"/>
      <protection locked="0"/>
    </xf>
    <xf numFmtId="0" fontId="1" fillId="2" borderId="29" xfId="0" applyFont="1" applyFill="1" applyBorder="1" applyAlignment="1" applyProtection="1">
      <alignment horizontal="center"/>
      <protection locked="0"/>
    </xf>
    <xf numFmtId="0" fontId="1" fillId="2" borderId="19" xfId="0" applyFont="1" applyFill="1" applyBorder="1" applyAlignment="1" applyProtection="1">
      <alignment horizontal="center"/>
      <protection locked="0"/>
    </xf>
    <xf numFmtId="0" fontId="1" fillId="2" borderId="20" xfId="0" applyFont="1" applyFill="1" applyBorder="1" applyAlignment="1" applyProtection="1">
      <alignment horizontal="center"/>
      <protection locked="0"/>
    </xf>
    <xf numFmtId="0" fontId="1" fillId="2" borderId="21" xfId="0" applyFont="1" applyFill="1" applyBorder="1" applyAlignment="1" applyProtection="1">
      <alignment horizontal="center"/>
      <protection locked="0"/>
    </xf>
    <xf numFmtId="0" fontId="1" fillId="2" borderId="22" xfId="0" applyFont="1" applyFill="1" applyBorder="1" applyAlignment="1" applyProtection="1">
      <alignment horizontal="center"/>
      <protection locked="0"/>
    </xf>
    <xf numFmtId="0" fontId="1" fillId="2" borderId="30" xfId="0" applyFont="1" applyFill="1" applyBorder="1" applyAlignment="1" applyProtection="1">
      <alignment horizontal="center"/>
      <protection locked="0"/>
    </xf>
    <xf numFmtId="0" fontId="1" fillId="2" borderId="18" xfId="0" applyFont="1" applyFill="1" applyBorder="1" applyAlignment="1" applyProtection="1">
      <alignment horizontal="center"/>
      <protection locked="0"/>
    </xf>
    <xf numFmtId="0" fontId="1" fillId="2" borderId="23" xfId="0" applyFont="1" applyFill="1" applyBorder="1" applyAlignment="1" applyProtection="1">
      <alignment horizontal="center"/>
      <protection locked="0"/>
    </xf>
    <xf numFmtId="0" fontId="3" fillId="5" borderId="2" xfId="0" applyFont="1" applyFill="1" applyBorder="1" applyAlignment="1" applyProtection="1">
      <alignment horizontal="center" vertical="center"/>
      <protection locked="0"/>
    </xf>
    <xf numFmtId="0" fontId="3" fillId="5" borderId="3" xfId="0" applyFont="1" applyFill="1" applyBorder="1" applyAlignment="1" applyProtection="1">
      <alignment horizontal="center" vertical="center"/>
      <protection locked="0"/>
    </xf>
    <xf numFmtId="0" fontId="3" fillId="5" borderId="4" xfId="0" applyFont="1" applyFill="1" applyBorder="1" applyAlignment="1" applyProtection="1">
      <alignment horizontal="center" vertical="center"/>
      <protection locked="0"/>
    </xf>
    <xf numFmtId="0" fontId="15" fillId="2" borderId="6" xfId="0" applyFont="1" applyFill="1" applyBorder="1" applyAlignment="1" applyProtection="1">
      <alignment horizontal="center" vertical="center"/>
      <protection locked="0"/>
    </xf>
    <xf numFmtId="0" fontId="15" fillId="2" borderId="8" xfId="0" applyFont="1" applyFill="1" applyBorder="1" applyAlignment="1" applyProtection="1">
      <alignment horizontal="center" vertical="center"/>
      <protection locked="0"/>
    </xf>
    <xf numFmtId="0" fontId="12" fillId="2" borderId="6" xfId="0" applyFont="1" applyFill="1" applyBorder="1" applyAlignment="1" applyProtection="1">
      <alignment horizontal="center" vertical="center"/>
      <protection locked="0"/>
    </xf>
    <xf numFmtId="0" fontId="12" fillId="2" borderId="7" xfId="0" applyFont="1" applyFill="1" applyBorder="1" applyAlignment="1" applyProtection="1">
      <alignment horizontal="center" vertical="center"/>
      <protection locked="0"/>
    </xf>
    <xf numFmtId="0" fontId="12" fillId="3" borderId="26" xfId="0" applyFont="1" applyFill="1" applyBorder="1" applyAlignment="1" applyProtection="1">
      <alignment horizontal="center" vertical="center"/>
      <protection locked="0"/>
    </xf>
    <xf numFmtId="0" fontId="12" fillId="3" borderId="2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 wrapText="1"/>
      <protection locked="0"/>
    </xf>
    <xf numFmtId="0" fontId="12" fillId="3" borderId="8" xfId="0" applyFont="1" applyFill="1" applyBorder="1" applyAlignment="1" applyProtection="1">
      <alignment horizontal="center" vertical="center" wrapText="1"/>
      <protection locked="0"/>
    </xf>
    <xf numFmtId="0" fontId="12" fillId="3" borderId="35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3" xfId="1"/>
  </cellStyles>
  <dxfs count="28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2D259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30"/>
  <sheetViews>
    <sheetView tabSelected="1" view="pageBreakPreview" zoomScale="90" zoomScaleNormal="55" zoomScaleSheetLayoutView="90" zoomScalePageLayoutView="70" workbookViewId="0">
      <selection activeCell="I17" sqref="I17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96.85546875" style="1" bestFit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65" t="s">
        <v>40</v>
      </c>
      <c r="C3" s="66"/>
      <c r="D3" s="66"/>
      <c r="E3" s="66"/>
      <c r="F3" s="67"/>
      <c r="G3" s="53" t="s">
        <v>68</v>
      </c>
    </row>
    <row r="4" spans="2:7" ht="24" thickBot="1">
      <c r="B4" s="14"/>
      <c r="C4" s="15" t="s">
        <v>43</v>
      </c>
      <c r="D4" s="68" t="s">
        <v>38</v>
      </c>
      <c r="E4" s="69"/>
      <c r="F4" s="69"/>
      <c r="G4" s="32" t="s">
        <v>39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70" t="s">
        <v>0</v>
      </c>
      <c r="F6" s="71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18.75">
      <c r="B8" s="5">
        <v>1</v>
      </c>
      <c r="C8" s="54" t="s">
        <v>44</v>
      </c>
      <c r="D8" s="21"/>
      <c r="E8" s="19"/>
      <c r="F8" s="20"/>
      <c r="G8" s="33"/>
    </row>
    <row r="9" spans="2:7" s="4" customFormat="1" ht="19.5" thickBot="1">
      <c r="B9" s="6">
        <v>2</v>
      </c>
      <c r="C9" s="54" t="s">
        <v>45</v>
      </c>
      <c r="D9" s="21"/>
      <c r="E9" s="19"/>
      <c r="F9" s="20"/>
      <c r="G9" s="33"/>
    </row>
    <row r="10" spans="2:7" s="4" customFormat="1" ht="34.5">
      <c r="B10" s="5">
        <v>3</v>
      </c>
      <c r="C10" s="54" t="s">
        <v>46</v>
      </c>
      <c r="D10" s="50"/>
      <c r="E10" s="19"/>
      <c r="F10" s="20"/>
      <c r="G10" s="33"/>
    </row>
    <row r="11" spans="2:7" s="4" customFormat="1" ht="19.5" thickBot="1">
      <c r="B11" s="6">
        <v>4</v>
      </c>
      <c r="C11" s="54" t="s">
        <v>42</v>
      </c>
      <c r="D11" s="50"/>
      <c r="E11" s="19"/>
      <c r="F11" s="20"/>
      <c r="G11" s="33"/>
    </row>
    <row r="12" spans="2:7" s="4" customFormat="1" ht="18.75">
      <c r="B12" s="5">
        <v>5</v>
      </c>
      <c r="C12" s="54" t="s">
        <v>72</v>
      </c>
      <c r="D12" s="50"/>
      <c r="E12" s="19"/>
      <c r="F12" s="20"/>
      <c r="G12" s="33"/>
    </row>
    <row r="13" spans="2:7" s="4" customFormat="1" ht="19.5" thickBot="1">
      <c r="B13" s="6">
        <v>6</v>
      </c>
      <c r="C13" s="54" t="s">
        <v>47</v>
      </c>
      <c r="D13" s="50"/>
      <c r="E13" s="19"/>
      <c r="F13" s="20"/>
      <c r="G13" s="33"/>
    </row>
    <row r="14" spans="2:7" s="4" customFormat="1" ht="18.75">
      <c r="B14" s="5">
        <v>7</v>
      </c>
      <c r="C14" s="54" t="s">
        <v>48</v>
      </c>
      <c r="D14" s="50"/>
      <c r="E14" s="19"/>
      <c r="F14" s="20"/>
      <c r="G14" s="33"/>
    </row>
    <row r="15" spans="2:7" s="4" customFormat="1" ht="19.5" thickBot="1">
      <c r="B15" s="6">
        <v>8</v>
      </c>
      <c r="C15" s="54" t="s">
        <v>49</v>
      </c>
      <c r="D15" s="50"/>
      <c r="E15" s="19"/>
      <c r="F15" s="20"/>
      <c r="G15" s="33"/>
    </row>
    <row r="16" spans="2:7" s="4" customFormat="1" ht="18.75">
      <c r="B16" s="5">
        <v>9</v>
      </c>
      <c r="C16" s="54" t="s">
        <v>73</v>
      </c>
      <c r="D16" s="50"/>
      <c r="E16" s="19"/>
      <c r="F16" s="20"/>
      <c r="G16" s="33"/>
    </row>
    <row r="17" spans="2:7" s="4" customFormat="1" ht="19.5" thickBot="1">
      <c r="B17" s="6">
        <v>10</v>
      </c>
      <c r="C17" s="54" t="s">
        <v>69</v>
      </c>
      <c r="D17" s="50"/>
      <c r="E17" s="19"/>
      <c r="F17" s="20"/>
      <c r="G17" s="33"/>
    </row>
    <row r="18" spans="2:7" s="4" customFormat="1" ht="18.75">
      <c r="B18" s="5">
        <v>11</v>
      </c>
      <c r="C18" s="54" t="s">
        <v>70</v>
      </c>
      <c r="D18" s="50"/>
      <c r="E18" s="19"/>
      <c r="F18" s="20"/>
      <c r="G18" s="33"/>
    </row>
    <row r="19" spans="2:7" s="4" customFormat="1" ht="19.5" thickBot="1">
      <c r="B19" s="6">
        <v>12</v>
      </c>
      <c r="C19" s="55" t="s">
        <v>71</v>
      </c>
      <c r="D19" s="50"/>
      <c r="E19" s="19"/>
      <c r="F19" s="20"/>
      <c r="G19" s="33"/>
    </row>
    <row r="20" spans="2:7" s="4" customFormat="1" ht="18.75">
      <c r="B20" s="5">
        <v>13</v>
      </c>
      <c r="C20" s="55" t="s">
        <v>74</v>
      </c>
      <c r="D20" s="50"/>
      <c r="E20" s="19"/>
      <c r="F20" s="20"/>
      <c r="G20" s="33"/>
    </row>
    <row r="21" spans="2:7" s="4" customFormat="1" ht="19.5" thickBot="1">
      <c r="B21" s="6">
        <v>14</v>
      </c>
      <c r="C21" s="55" t="s">
        <v>75</v>
      </c>
      <c r="D21" s="50"/>
      <c r="E21" s="19"/>
      <c r="F21" s="20"/>
      <c r="G21" s="33"/>
    </row>
    <row r="22" spans="2:7" s="4" customFormat="1" ht="18.75">
      <c r="B22" s="5">
        <v>15</v>
      </c>
      <c r="C22" s="55" t="s">
        <v>77</v>
      </c>
      <c r="D22" s="50"/>
      <c r="E22" s="19"/>
      <c r="F22" s="20"/>
      <c r="G22" s="33"/>
    </row>
    <row r="23" spans="2:7" s="4" customFormat="1" ht="19.5" thickBot="1">
      <c r="B23" s="6">
        <v>16</v>
      </c>
      <c r="C23" s="55" t="s">
        <v>76</v>
      </c>
      <c r="D23" s="50"/>
      <c r="E23" s="19"/>
      <c r="F23" s="20"/>
      <c r="G23" s="33"/>
    </row>
    <row r="24" spans="2:7" s="4" customFormat="1" ht="19.5" thickBot="1">
      <c r="B24" s="5">
        <v>17</v>
      </c>
      <c r="C24" s="55" t="s">
        <v>78</v>
      </c>
      <c r="D24" s="50"/>
      <c r="E24" s="19"/>
      <c r="F24" s="20"/>
      <c r="G24" s="33"/>
    </row>
    <row r="25" spans="2:7" ht="18.75" thickBot="1">
      <c r="B25" s="72" t="s">
        <v>13</v>
      </c>
      <c r="C25" s="73"/>
      <c r="D25" s="74" t="s">
        <v>7</v>
      </c>
      <c r="E25" s="75"/>
      <c r="F25" s="76"/>
      <c r="G25" s="24" t="s">
        <v>8</v>
      </c>
    </row>
    <row r="26" spans="2:7">
      <c r="B26" s="56"/>
      <c r="C26" s="57"/>
      <c r="D26" s="57"/>
      <c r="E26" s="57"/>
      <c r="F26" s="57"/>
      <c r="G26" s="62"/>
    </row>
    <row r="27" spans="2:7">
      <c r="B27" s="58"/>
      <c r="C27" s="59"/>
      <c r="D27" s="59"/>
      <c r="E27" s="59"/>
      <c r="F27" s="59"/>
      <c r="G27" s="63"/>
    </row>
    <row r="28" spans="2:7">
      <c r="B28" s="58"/>
      <c r="C28" s="59"/>
      <c r="D28" s="59"/>
      <c r="E28" s="59"/>
      <c r="F28" s="59"/>
      <c r="G28" s="63"/>
    </row>
    <row r="29" spans="2:7">
      <c r="B29" s="58"/>
      <c r="C29" s="59"/>
      <c r="D29" s="59"/>
      <c r="E29" s="59"/>
      <c r="F29" s="59"/>
      <c r="G29" s="63"/>
    </row>
    <row r="30" spans="2:7" ht="15.75" thickBot="1">
      <c r="B30" s="60"/>
      <c r="C30" s="61"/>
      <c r="D30" s="61"/>
      <c r="E30" s="61"/>
      <c r="F30" s="61"/>
      <c r="G30" s="64"/>
    </row>
  </sheetData>
  <sheetProtection selectLockedCells="1"/>
  <mergeCells count="8">
    <mergeCell ref="B26:C30"/>
    <mergeCell ref="D26:F30"/>
    <mergeCell ref="G26:G30"/>
    <mergeCell ref="B3:F3"/>
    <mergeCell ref="D4:F4"/>
    <mergeCell ref="E6:F6"/>
    <mergeCell ref="B25:C25"/>
    <mergeCell ref="D25:F25"/>
  </mergeCells>
  <conditionalFormatting sqref="D8:D24">
    <cfRule type="cellIs" dxfId="27" priority="3" operator="equal">
      <formula>3</formula>
    </cfRule>
    <cfRule type="cellIs" dxfId="26" priority="4" operator="equal">
      <formula>4</formula>
    </cfRule>
  </conditionalFormatting>
  <printOptions horizontalCentered="1"/>
  <pageMargins left="0.15748031496062992" right="7.874015748031496E-2" top="0.19685039370078741" bottom="0.15748031496062992" header="0.31496062992125984" footer="0.31496062992125984"/>
  <pageSetup paperSize="9" scale="77" fitToHeight="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113"/>
  <sheetViews>
    <sheetView zoomScale="55" zoomScaleNormal="55" zoomScalePageLayoutView="70" workbookViewId="0">
      <selection activeCell="M13" sqref="M13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65" t="s">
        <v>11</v>
      </c>
      <c r="C3" s="66"/>
      <c r="D3" s="66"/>
      <c r="E3" s="66"/>
      <c r="F3" s="67"/>
      <c r="G3" s="31" t="s">
        <v>12</v>
      </c>
    </row>
    <row r="4" spans="2:7" ht="24" thickBot="1">
      <c r="B4" s="14"/>
      <c r="C4" s="15" t="s">
        <v>16</v>
      </c>
      <c r="D4" s="68" t="str">
        <f>+'Line &amp; frequency'!C1</f>
        <v>CHAINE 4</v>
      </c>
      <c r="E4" s="69"/>
      <c r="F4" s="69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70" t="s">
        <v>0</v>
      </c>
      <c r="F6" s="71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/>
      <c r="D8" s="21"/>
      <c r="E8" s="19"/>
      <c r="F8" s="20"/>
      <c r="G8" s="33"/>
    </row>
    <row r="9" spans="2:7" s="4" customFormat="1" ht="64.5" customHeight="1">
      <c r="B9" s="6">
        <f>B8+1</f>
        <v>2</v>
      </c>
      <c r="C9" s="38"/>
      <c r="D9" s="21"/>
      <c r="E9" s="19"/>
      <c r="F9" s="20"/>
      <c r="G9" s="33"/>
    </row>
    <row r="10" spans="2:7" s="4" customFormat="1" ht="64.5" customHeight="1">
      <c r="B10" s="37">
        <f>+B9+1</f>
        <v>3</v>
      </c>
      <c r="C10" s="38"/>
      <c r="D10" s="21"/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/>
      <c r="D11" s="21"/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/>
      <c r="D12" s="21"/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/>
      <c r="D13" s="21"/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/>
      <c r="D14" s="21"/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/>
      <c r="D15" s="21"/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/>
      <c r="D16" s="21"/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/>
      <c r="D17" s="21"/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/>
      <c r="D18" s="21"/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/>
      <c r="D19" s="21"/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/>
      <c r="D20" s="21"/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/>
      <c r="D21" s="21"/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/>
      <c r="D22" s="21"/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/>
      <c r="D23" s="21"/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/>
      <c r="D24" s="21"/>
      <c r="E24" s="19"/>
      <c r="F24" s="20"/>
      <c r="G24" s="33"/>
    </row>
    <row r="25" spans="2:7" s="4" customFormat="1" ht="64.5" customHeight="1">
      <c r="B25" s="6">
        <f t="shared" ref="B25" si="14">B24+1</f>
        <v>18</v>
      </c>
      <c r="C25" s="38"/>
      <c r="D25" s="21"/>
      <c r="E25" s="19"/>
      <c r="F25" s="20"/>
      <c r="G25" s="33"/>
    </row>
    <row r="26" spans="2:7" s="4" customFormat="1" ht="64.5" customHeight="1">
      <c r="B26" s="37">
        <f t="shared" ref="B26" si="15">+B25+1</f>
        <v>19</v>
      </c>
      <c r="C26" s="38"/>
      <c r="D26" s="21"/>
      <c r="E26" s="19"/>
      <c r="F26" s="20"/>
      <c r="G26" s="33"/>
    </row>
    <row r="27" spans="2:7" s="4" customFormat="1" ht="64.5" customHeight="1">
      <c r="B27" s="6">
        <f t="shared" ref="B27" si="16">B26+1</f>
        <v>20</v>
      </c>
      <c r="C27" s="38"/>
      <c r="D27" s="21"/>
      <c r="E27" s="19"/>
      <c r="F27" s="20"/>
      <c r="G27" s="33"/>
    </row>
    <row r="28" spans="2:7" s="4" customFormat="1" ht="64.5" customHeight="1">
      <c r="B28" s="37">
        <f t="shared" ref="B28" si="17">+B27+1</f>
        <v>21</v>
      </c>
      <c r="C28" s="38"/>
      <c r="D28" s="21"/>
      <c r="E28" s="19"/>
      <c r="F28" s="20"/>
      <c r="G28" s="33"/>
    </row>
    <row r="29" spans="2:7" s="4" customFormat="1" ht="64.5" customHeight="1">
      <c r="B29" s="6">
        <f t="shared" ref="B29" si="18">B28+1</f>
        <v>22</v>
      </c>
      <c r="C29" s="38"/>
      <c r="D29" s="21"/>
      <c r="E29" s="19"/>
      <c r="F29" s="20"/>
      <c r="G29" s="33"/>
    </row>
    <row r="30" spans="2:7" s="4" customFormat="1" ht="64.5" customHeight="1">
      <c r="B30" s="37">
        <f t="shared" ref="B30" si="19">+B29+1</f>
        <v>23</v>
      </c>
      <c r="C30" s="38"/>
      <c r="D30" s="21"/>
      <c r="E30" s="19"/>
      <c r="F30" s="20"/>
      <c r="G30" s="33"/>
    </row>
    <row r="31" spans="2:7" s="4" customFormat="1" ht="64.5" customHeight="1">
      <c r="B31" s="6">
        <f t="shared" ref="B31" si="20">B30+1</f>
        <v>24</v>
      </c>
      <c r="C31" s="38"/>
      <c r="D31" s="21"/>
      <c r="E31" s="19"/>
      <c r="F31" s="20"/>
      <c r="G31" s="33"/>
    </row>
    <row r="32" spans="2:7" s="4" customFormat="1" ht="64.5" customHeight="1">
      <c r="B32" s="37">
        <f t="shared" ref="B32" si="21">+B31+1</f>
        <v>25</v>
      </c>
      <c r="C32" s="38"/>
      <c r="D32" s="21"/>
      <c r="E32" s="19"/>
      <c r="F32" s="20"/>
      <c r="G32" s="33"/>
    </row>
    <row r="33" spans="2:7" s="4" customFormat="1" ht="64.5" customHeight="1">
      <c r="B33" s="6">
        <f t="shared" ref="B33" si="22">B32+1</f>
        <v>26</v>
      </c>
      <c r="C33" s="38"/>
      <c r="D33" s="21"/>
      <c r="E33" s="19"/>
      <c r="F33" s="20"/>
      <c r="G33" s="33"/>
    </row>
    <row r="34" spans="2:7" s="4" customFormat="1" ht="64.5" customHeight="1">
      <c r="B34" s="37">
        <f t="shared" ref="B34" si="23">+B33+1</f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ref="B35" si="24">B34+1</f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ref="B36" si="25">+B35+1</f>
        <v>29</v>
      </c>
      <c r="C36" s="38"/>
      <c r="D36" s="21"/>
      <c r="E36" s="19"/>
      <c r="F36" s="20"/>
      <c r="G36" s="33"/>
    </row>
    <row r="37" spans="2:7" s="4" customFormat="1" ht="64.5" customHeight="1">
      <c r="B37" s="6">
        <f t="shared" ref="B37" si="26">B36+1</f>
        <v>30</v>
      </c>
      <c r="C37" s="38"/>
      <c r="D37" s="21"/>
      <c r="E37" s="19"/>
      <c r="F37" s="20"/>
      <c r="G37" s="33"/>
    </row>
    <row r="38" spans="2:7" s="4" customFormat="1" ht="64.5" customHeight="1">
      <c r="B38" s="37">
        <f t="shared" ref="B38" si="27">+B37+1</f>
        <v>31</v>
      </c>
      <c r="C38" s="38"/>
      <c r="D38" s="21"/>
      <c r="E38" s="19"/>
      <c r="F38" s="20"/>
      <c r="G38" s="33"/>
    </row>
    <row r="39" spans="2:7" s="4" customFormat="1" ht="64.5" customHeight="1">
      <c r="B39" s="6">
        <f t="shared" ref="B39" si="28">B38+1</f>
        <v>32</v>
      </c>
      <c r="C39" s="38"/>
      <c r="D39" s="21"/>
      <c r="E39" s="19"/>
      <c r="F39" s="20"/>
      <c r="G39" s="33"/>
    </row>
    <row r="40" spans="2:7" s="4" customFormat="1" ht="64.5" customHeight="1">
      <c r="B40" s="37">
        <f t="shared" ref="B40" si="29">+B39+1</f>
        <v>33</v>
      </c>
      <c r="C40" s="38"/>
      <c r="D40" s="21"/>
      <c r="E40" s="19"/>
      <c r="F40" s="20"/>
      <c r="G40" s="33"/>
    </row>
    <row r="41" spans="2:7" s="4" customFormat="1" ht="64.5" customHeight="1">
      <c r="B41" s="6">
        <f t="shared" ref="B41" si="30">B40+1</f>
        <v>34</v>
      </c>
      <c r="C41" s="38"/>
      <c r="D41" s="21"/>
      <c r="E41" s="19"/>
      <c r="F41" s="20"/>
      <c r="G41" s="33"/>
    </row>
    <row r="42" spans="2:7" s="4" customFormat="1" ht="64.5" customHeight="1">
      <c r="B42" s="37">
        <f t="shared" ref="B42" si="31">+B41+1</f>
        <v>35</v>
      </c>
      <c r="C42" s="38"/>
      <c r="D42" s="21"/>
      <c r="E42" s="19"/>
      <c r="F42" s="20"/>
      <c r="G42" s="33"/>
    </row>
    <row r="43" spans="2:7" s="4" customFormat="1" ht="64.5" customHeight="1">
      <c r="B43" s="6">
        <f t="shared" ref="B43" si="32">B42+1</f>
        <v>36</v>
      </c>
      <c r="C43" s="38"/>
      <c r="D43" s="21"/>
      <c r="E43" s="19"/>
      <c r="F43" s="20"/>
      <c r="G43" s="33"/>
    </row>
    <row r="44" spans="2:7" s="4" customFormat="1" ht="64.5" customHeight="1">
      <c r="B44" s="37">
        <f t="shared" ref="B44" si="33">+B43+1</f>
        <v>37</v>
      </c>
      <c r="C44" s="38"/>
      <c r="D44" s="21"/>
      <c r="E44" s="19"/>
      <c r="F44" s="20"/>
      <c r="G44" s="33"/>
    </row>
    <row r="45" spans="2:7" s="4" customFormat="1" ht="64.5" customHeight="1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25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25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25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25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25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25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25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25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25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25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25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25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25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25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25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25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25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25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25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25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25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25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25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25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25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25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25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25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25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25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25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25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25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25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25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25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25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25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25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25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25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25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25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25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25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25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>
      <c r="B107" s="6">
        <f t="shared" si="94"/>
        <v>100</v>
      </c>
      <c r="C107" s="18"/>
      <c r="D107" s="23"/>
      <c r="E107" s="10"/>
      <c r="F107" s="11"/>
      <c r="G107" s="36"/>
    </row>
    <row r="108" spans="2:7" ht="18.75" thickBot="1">
      <c r="B108" s="72" t="s">
        <v>13</v>
      </c>
      <c r="C108" s="73"/>
      <c r="D108" s="74" t="s">
        <v>7</v>
      </c>
      <c r="E108" s="75"/>
      <c r="F108" s="76"/>
      <c r="G108" s="24" t="s">
        <v>8</v>
      </c>
    </row>
    <row r="109" spans="2:7">
      <c r="B109" s="56"/>
      <c r="C109" s="57"/>
      <c r="D109" s="57"/>
      <c r="E109" s="57"/>
      <c r="F109" s="57"/>
      <c r="G109" s="62"/>
    </row>
    <row r="110" spans="2:7">
      <c r="B110" s="58"/>
      <c r="C110" s="59"/>
      <c r="D110" s="59"/>
      <c r="E110" s="59"/>
      <c r="F110" s="59"/>
      <c r="G110" s="63"/>
    </row>
    <row r="111" spans="2:7">
      <c r="B111" s="58"/>
      <c r="C111" s="59"/>
      <c r="D111" s="59"/>
      <c r="E111" s="59"/>
      <c r="F111" s="59"/>
      <c r="G111" s="63"/>
    </row>
    <row r="112" spans="2:7">
      <c r="B112" s="58"/>
      <c r="C112" s="59"/>
      <c r="D112" s="59"/>
      <c r="E112" s="59"/>
      <c r="F112" s="59"/>
      <c r="G112" s="63"/>
    </row>
    <row r="113" spans="2:7" ht="15.75" thickBot="1">
      <c r="B113" s="60"/>
      <c r="C113" s="61"/>
      <c r="D113" s="61"/>
      <c r="E113" s="61"/>
      <c r="F113" s="61"/>
      <c r="G113" s="64"/>
    </row>
  </sheetData>
  <sheetProtection selectLockedCells="1"/>
  <mergeCells count="8">
    <mergeCell ref="B109:C113"/>
    <mergeCell ref="D109:F113"/>
    <mergeCell ref="G109:G113"/>
    <mergeCell ref="B3:F3"/>
    <mergeCell ref="D4:F4"/>
    <mergeCell ref="E6:F6"/>
    <mergeCell ref="B108:C108"/>
    <mergeCell ref="D108:F108"/>
  </mergeCells>
  <conditionalFormatting sqref="D8:D88 D90:D107">
    <cfRule type="cellIs" dxfId="25" priority="3" operator="equal">
      <formula>3</formula>
    </cfRule>
    <cfRule type="cellIs" dxfId="24" priority="4" operator="equal">
      <formula>4</formula>
    </cfRule>
  </conditionalFormatting>
  <conditionalFormatting sqref="D89">
    <cfRule type="cellIs" dxfId="23" priority="1" operator="equal">
      <formula>3</formula>
    </cfRule>
    <cfRule type="cellIs" dxfId="2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113"/>
  <sheetViews>
    <sheetView topLeftCell="A6" zoomScale="55" zoomScaleNormal="55" zoomScalePageLayoutView="70" workbookViewId="0">
      <selection activeCell="I46" sqref="I46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65" t="s">
        <v>11</v>
      </c>
      <c r="C3" s="66"/>
      <c r="D3" s="66"/>
      <c r="E3" s="66"/>
      <c r="F3" s="67"/>
      <c r="G3" s="31" t="s">
        <v>12</v>
      </c>
    </row>
    <row r="4" spans="2:7" ht="24" thickBot="1">
      <c r="B4" s="14"/>
      <c r="C4" s="15" t="s">
        <v>18</v>
      </c>
      <c r="D4" s="68" t="str">
        <f>+'Line &amp; frequency'!C1</f>
        <v>CHAINE 4</v>
      </c>
      <c r="E4" s="69"/>
      <c r="F4" s="69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70" t="s">
        <v>0</v>
      </c>
      <c r="F6" s="71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>
      <c r="B26" s="37">
        <f t="shared" ref="B26" si="15">+B25+1</f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>
      <c r="B27" s="6">
        <f t="shared" ref="B27" si="16">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>
      <c r="B28" s="37">
        <f t="shared" ref="B28" si="17">+B27+1</f>
        <v>21</v>
      </c>
      <c r="C28" s="38" t="s">
        <v>20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ref="B29" si="18">B28+1</f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ref="B30" si="19">+B29+1</f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ref="B31" si="20">B30+1</f>
        <v>24</v>
      </c>
      <c r="C31" s="38" t="s">
        <v>26</v>
      </c>
      <c r="D31" s="21">
        <v>30</v>
      </c>
      <c r="E31" s="19"/>
      <c r="F31" s="20"/>
      <c r="G31" s="33"/>
    </row>
    <row r="32" spans="2:7" s="4" customFormat="1" ht="64.5" customHeight="1">
      <c r="B32" s="37">
        <f t="shared" ref="B32" si="21">+B31+1</f>
        <v>25</v>
      </c>
      <c r="C32" s="38" t="s">
        <v>24</v>
      </c>
      <c r="D32" s="21">
        <v>30</v>
      </c>
      <c r="E32" s="19"/>
      <c r="F32" s="20"/>
      <c r="G32" s="33"/>
    </row>
    <row r="33" spans="2:7" s="4" customFormat="1" ht="64.5" customHeight="1">
      <c r="B33" s="6">
        <f t="shared" ref="B33" si="22">B32+1</f>
        <v>26</v>
      </c>
      <c r="C33" s="38" t="s">
        <v>25</v>
      </c>
      <c r="D33" s="21">
        <v>25</v>
      </c>
      <c r="E33" s="19"/>
      <c r="F33" s="20"/>
      <c r="G33" s="33"/>
    </row>
    <row r="34" spans="2:7" s="4" customFormat="1" ht="64.5" customHeight="1">
      <c r="B34" s="37">
        <f t="shared" ref="B34" si="23">+B33+1</f>
        <v>27</v>
      </c>
      <c r="C34" s="38" t="s">
        <v>17</v>
      </c>
      <c r="D34" s="21">
        <v>10</v>
      </c>
      <c r="E34" s="19"/>
      <c r="F34" s="20"/>
      <c r="G34" s="33"/>
    </row>
    <row r="35" spans="2:7" s="4" customFormat="1" ht="64.5" customHeight="1">
      <c r="B35" s="6">
        <f t="shared" ref="B35" si="24">B34+1</f>
        <v>28</v>
      </c>
      <c r="C35" s="38" t="s">
        <v>19</v>
      </c>
      <c r="D35" s="21">
        <v>30</v>
      </c>
      <c r="E35" s="19"/>
      <c r="F35" s="20"/>
      <c r="G35" s="33"/>
    </row>
    <row r="36" spans="2:7" s="4" customFormat="1" ht="64.5" customHeight="1">
      <c r="B36" s="37">
        <f t="shared" ref="B36" si="25">+B35+1</f>
        <v>29</v>
      </c>
      <c r="C36" s="38" t="s">
        <v>26</v>
      </c>
      <c r="D36" s="21">
        <v>30</v>
      </c>
      <c r="E36" s="19"/>
      <c r="F36" s="20"/>
      <c r="G36" s="33"/>
    </row>
    <row r="37" spans="2:7" s="4" customFormat="1" ht="64.5" customHeight="1">
      <c r="B37" s="6">
        <f t="shared" ref="B37" si="26">B36+1</f>
        <v>30</v>
      </c>
      <c r="C37" s="38" t="s">
        <v>27</v>
      </c>
      <c r="D37" s="21">
        <v>30</v>
      </c>
      <c r="E37" s="19"/>
      <c r="F37" s="20"/>
      <c r="G37" s="33"/>
    </row>
    <row r="38" spans="2:7" s="4" customFormat="1" ht="64.5" customHeight="1">
      <c r="B38" s="37">
        <f t="shared" ref="B38" si="27">+B37+1</f>
        <v>31</v>
      </c>
      <c r="C38" s="38" t="s">
        <v>21</v>
      </c>
      <c r="D38" s="21">
        <v>30</v>
      </c>
      <c r="E38" s="19"/>
      <c r="F38" s="20"/>
      <c r="G38" s="33"/>
    </row>
    <row r="39" spans="2:7" s="4" customFormat="1" ht="64.5" customHeight="1">
      <c r="B39" s="6">
        <f t="shared" ref="B39" si="28">B38+1</f>
        <v>32</v>
      </c>
      <c r="C39" s="38" t="s">
        <v>24</v>
      </c>
      <c r="D39" s="21">
        <v>30</v>
      </c>
      <c r="E39" s="19"/>
      <c r="F39" s="20"/>
      <c r="G39" s="33"/>
    </row>
    <row r="40" spans="2:7" s="4" customFormat="1" ht="64.5" customHeight="1">
      <c r="B40" s="37">
        <f t="shared" ref="B40" si="29">+B39+1</f>
        <v>33</v>
      </c>
      <c r="C40" s="38" t="s">
        <v>25</v>
      </c>
      <c r="D40" s="21">
        <v>25</v>
      </c>
      <c r="E40" s="19"/>
      <c r="F40" s="20"/>
      <c r="G40" s="33"/>
    </row>
    <row r="41" spans="2:7" s="4" customFormat="1" ht="64.5" customHeight="1">
      <c r="B41" s="6">
        <f t="shared" ref="B41" si="30">B40+1</f>
        <v>34</v>
      </c>
      <c r="C41" s="38" t="s">
        <v>28</v>
      </c>
      <c r="D41" s="21">
        <v>120</v>
      </c>
      <c r="E41" s="19"/>
      <c r="F41" s="20"/>
      <c r="G41" s="33"/>
    </row>
    <row r="42" spans="2:7" s="4" customFormat="1" ht="64.5" customHeight="1">
      <c r="B42" s="37">
        <f t="shared" ref="B42" si="31">+B41+1</f>
        <v>35</v>
      </c>
      <c r="C42" s="38" t="s">
        <v>29</v>
      </c>
      <c r="D42" s="21">
        <v>60</v>
      </c>
      <c r="E42" s="19"/>
      <c r="F42" s="20"/>
      <c r="G42" s="33"/>
    </row>
    <row r="43" spans="2:7" s="4" customFormat="1" ht="64.5" customHeight="1">
      <c r="B43" s="6">
        <f t="shared" ref="B43" si="32">B42+1</f>
        <v>36</v>
      </c>
      <c r="C43" s="38" t="s">
        <v>17</v>
      </c>
      <c r="D43" s="21">
        <v>10</v>
      </c>
      <c r="E43" s="19"/>
      <c r="F43" s="20"/>
      <c r="G43" s="33"/>
    </row>
    <row r="44" spans="2:7" s="4" customFormat="1" ht="64.5" customHeight="1">
      <c r="B44" s="37">
        <f t="shared" ref="B44" si="33">+B43+1</f>
        <v>37</v>
      </c>
      <c r="C44" s="38" t="s">
        <v>30</v>
      </c>
      <c r="D44" s="21">
        <v>30</v>
      </c>
      <c r="E44" s="19"/>
      <c r="F44" s="20"/>
      <c r="G44" s="33"/>
    </row>
    <row r="45" spans="2:7" s="4" customFormat="1" ht="64.5" customHeight="1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25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25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25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25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25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25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25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25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25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25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25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25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25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25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25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25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25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25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25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25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25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25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25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25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25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25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25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25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25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25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25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25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25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25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25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25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25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25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25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25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25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25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25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25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25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25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>
      <c r="B107" s="6">
        <f t="shared" si="94"/>
        <v>100</v>
      </c>
      <c r="C107" s="18"/>
      <c r="D107" s="23"/>
      <c r="E107" s="10"/>
      <c r="F107" s="11"/>
      <c r="G107" s="36"/>
    </row>
    <row r="108" spans="2:7" ht="18.75" thickBot="1">
      <c r="B108" s="72" t="s">
        <v>13</v>
      </c>
      <c r="C108" s="73"/>
      <c r="D108" s="74" t="s">
        <v>7</v>
      </c>
      <c r="E108" s="75"/>
      <c r="F108" s="76"/>
      <c r="G108" s="24" t="s">
        <v>8</v>
      </c>
    </row>
    <row r="109" spans="2:7">
      <c r="B109" s="56"/>
      <c r="C109" s="57"/>
      <c r="D109" s="57"/>
      <c r="E109" s="57"/>
      <c r="F109" s="57"/>
      <c r="G109" s="62"/>
    </row>
    <row r="110" spans="2:7">
      <c r="B110" s="58"/>
      <c r="C110" s="59"/>
      <c r="D110" s="59"/>
      <c r="E110" s="59"/>
      <c r="F110" s="59"/>
      <c r="G110" s="63"/>
    </row>
    <row r="111" spans="2:7">
      <c r="B111" s="58"/>
      <c r="C111" s="59"/>
      <c r="D111" s="59"/>
      <c r="E111" s="59"/>
      <c r="F111" s="59"/>
      <c r="G111" s="63"/>
    </row>
    <row r="112" spans="2:7">
      <c r="B112" s="58"/>
      <c r="C112" s="59"/>
      <c r="D112" s="59"/>
      <c r="E112" s="59"/>
      <c r="F112" s="59"/>
      <c r="G112" s="63"/>
    </row>
    <row r="113" spans="2:7" ht="15.75" thickBot="1">
      <c r="B113" s="60"/>
      <c r="C113" s="61"/>
      <c r="D113" s="61"/>
      <c r="E113" s="61"/>
      <c r="F113" s="61"/>
      <c r="G113" s="64"/>
    </row>
  </sheetData>
  <sheetProtection selectLockedCells="1"/>
  <mergeCells count="8">
    <mergeCell ref="B109:C113"/>
    <mergeCell ref="D109:F113"/>
    <mergeCell ref="G109:G113"/>
    <mergeCell ref="B3:F3"/>
    <mergeCell ref="D4:F4"/>
    <mergeCell ref="E6:F6"/>
    <mergeCell ref="B108:C108"/>
    <mergeCell ref="D108:F108"/>
  </mergeCells>
  <conditionalFormatting sqref="D8:D88 D90:D107">
    <cfRule type="cellIs" dxfId="21" priority="3" operator="equal">
      <formula>3</formula>
    </cfRule>
    <cfRule type="cellIs" dxfId="20" priority="4" operator="equal">
      <formula>4</formula>
    </cfRule>
  </conditionalFormatting>
  <conditionalFormatting sqref="D89">
    <cfRule type="cellIs" dxfId="19" priority="1" operator="equal">
      <formula>3</formula>
    </cfRule>
    <cfRule type="cellIs" dxfId="18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113"/>
  <sheetViews>
    <sheetView zoomScale="55" zoomScaleNormal="55" zoomScalePageLayoutView="70" workbookViewId="0">
      <selection activeCell="I46" sqref="I46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65" t="s">
        <v>11</v>
      </c>
      <c r="C3" s="66"/>
      <c r="D3" s="66"/>
      <c r="E3" s="66"/>
      <c r="F3" s="67"/>
      <c r="G3" s="31" t="s">
        <v>12</v>
      </c>
    </row>
    <row r="4" spans="2:7" ht="24" thickBot="1">
      <c r="B4" s="14"/>
      <c r="C4" s="15" t="s">
        <v>31</v>
      </c>
      <c r="D4" s="68" t="str">
        <f>+'Line &amp; frequency'!C1</f>
        <v>CHAINE 4</v>
      </c>
      <c r="E4" s="69"/>
      <c r="F4" s="69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70" t="s">
        <v>0</v>
      </c>
      <c r="F6" s="71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>
      <c r="B26" s="37">
        <f t="shared" ref="B26" si="15">+B25+1</f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>
      <c r="B27" s="6">
        <f t="shared" ref="B27" si="16">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>
      <c r="B28" s="37">
        <f t="shared" ref="B28" si="17">+B27+1</f>
        <v>21</v>
      </c>
      <c r="C28" s="38" t="s">
        <v>27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ref="B29" si="18">B28+1</f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ref="B30" si="19">+B29+1</f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ref="B31" si="20">B30+1</f>
        <v>24</v>
      </c>
      <c r="C31" s="38" t="s">
        <v>25</v>
      </c>
      <c r="D31" s="21">
        <v>25</v>
      </c>
      <c r="E31" s="19"/>
      <c r="F31" s="20"/>
      <c r="G31" s="33"/>
    </row>
    <row r="32" spans="2:7" s="4" customFormat="1" ht="64.5" customHeight="1">
      <c r="B32" s="37">
        <f t="shared" ref="B32" si="21">+B31+1</f>
        <v>25</v>
      </c>
      <c r="C32" s="38" t="s">
        <v>28</v>
      </c>
      <c r="D32" s="21">
        <v>120</v>
      </c>
      <c r="E32" s="19"/>
      <c r="F32" s="20"/>
      <c r="G32" s="33"/>
    </row>
    <row r="33" spans="2:7" s="4" customFormat="1" ht="64.5" customHeight="1">
      <c r="B33" s="6">
        <f t="shared" ref="B33" si="22">B32+1</f>
        <v>26</v>
      </c>
      <c r="C33" s="38" t="s">
        <v>29</v>
      </c>
      <c r="D33" s="21">
        <v>60</v>
      </c>
      <c r="E33" s="19"/>
      <c r="F33" s="20"/>
      <c r="G33" s="33"/>
    </row>
    <row r="34" spans="2:7" s="4" customFormat="1" ht="64.5" customHeight="1">
      <c r="B34" s="37">
        <f t="shared" ref="B34" si="23">+B33+1</f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ref="B35" si="24">B34+1</f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ref="B36" si="25">+B35+1</f>
        <v>29</v>
      </c>
      <c r="C36" s="38"/>
      <c r="D36" s="21"/>
      <c r="E36" s="19"/>
      <c r="F36" s="20"/>
      <c r="G36" s="33"/>
    </row>
    <row r="37" spans="2:7" s="4" customFormat="1" ht="64.5" customHeight="1">
      <c r="B37" s="6">
        <f t="shared" ref="B37" si="26">B36+1</f>
        <v>30</v>
      </c>
      <c r="C37" s="38"/>
      <c r="D37" s="21"/>
      <c r="E37" s="19"/>
      <c r="F37" s="20"/>
      <c r="G37" s="33"/>
    </row>
    <row r="38" spans="2:7" s="4" customFormat="1" ht="64.5" customHeight="1">
      <c r="B38" s="37">
        <f t="shared" ref="B38" si="27">+B37+1</f>
        <v>31</v>
      </c>
      <c r="C38" s="38"/>
      <c r="D38" s="21"/>
      <c r="E38" s="19"/>
      <c r="F38" s="20"/>
      <c r="G38" s="33"/>
    </row>
    <row r="39" spans="2:7" s="4" customFormat="1" ht="64.5" customHeight="1">
      <c r="B39" s="6">
        <f t="shared" ref="B39" si="28">B38+1</f>
        <v>32</v>
      </c>
      <c r="C39" s="38"/>
      <c r="D39" s="21"/>
      <c r="E39" s="19"/>
      <c r="F39" s="20"/>
      <c r="G39" s="33"/>
    </row>
    <row r="40" spans="2:7" s="4" customFormat="1" ht="64.5" customHeight="1">
      <c r="B40" s="37">
        <f t="shared" ref="B40" si="29">+B39+1</f>
        <v>33</v>
      </c>
      <c r="C40" s="38"/>
      <c r="D40" s="21"/>
      <c r="E40" s="19"/>
      <c r="F40" s="20"/>
      <c r="G40" s="33"/>
    </row>
    <row r="41" spans="2:7" s="4" customFormat="1" ht="64.5" customHeight="1">
      <c r="B41" s="6">
        <f t="shared" ref="B41" si="30">B40+1</f>
        <v>34</v>
      </c>
      <c r="C41" s="38"/>
      <c r="D41" s="21"/>
      <c r="E41" s="19"/>
      <c r="F41" s="20"/>
      <c r="G41" s="33"/>
    </row>
    <row r="42" spans="2:7" s="4" customFormat="1" ht="64.5" customHeight="1">
      <c r="B42" s="37">
        <f t="shared" ref="B42" si="31">+B41+1</f>
        <v>35</v>
      </c>
      <c r="C42" s="38"/>
      <c r="D42" s="21"/>
      <c r="E42" s="19"/>
      <c r="F42" s="20"/>
      <c r="G42" s="33"/>
    </row>
    <row r="43" spans="2:7" s="4" customFormat="1" ht="64.5" customHeight="1">
      <c r="B43" s="6">
        <f t="shared" ref="B43" si="32">B42+1</f>
        <v>36</v>
      </c>
      <c r="C43" s="38"/>
      <c r="D43" s="21"/>
      <c r="E43" s="19"/>
      <c r="F43" s="20"/>
      <c r="G43" s="33"/>
    </row>
    <row r="44" spans="2:7" s="4" customFormat="1" ht="64.5" customHeight="1">
      <c r="B44" s="37">
        <f t="shared" ref="B44" si="33">+B43+1</f>
        <v>37</v>
      </c>
      <c r="C44" s="38"/>
      <c r="D44" s="21"/>
      <c r="E44" s="19"/>
      <c r="F44" s="20"/>
      <c r="G44" s="33"/>
    </row>
    <row r="45" spans="2:7" s="4" customFormat="1" ht="64.5" customHeight="1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25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25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25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25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25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25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25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25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25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25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25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25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25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25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25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25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25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25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25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25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25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25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25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25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25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25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25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25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25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25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25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25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25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25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25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25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25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25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25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25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25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25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25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25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25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25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>
      <c r="B107" s="6">
        <f t="shared" si="94"/>
        <v>100</v>
      </c>
      <c r="C107" s="18"/>
      <c r="D107" s="23"/>
      <c r="E107" s="10"/>
      <c r="F107" s="11"/>
      <c r="G107" s="36"/>
    </row>
    <row r="108" spans="2:7" ht="18.75" thickBot="1">
      <c r="B108" s="72" t="s">
        <v>13</v>
      </c>
      <c r="C108" s="73"/>
      <c r="D108" s="74" t="s">
        <v>7</v>
      </c>
      <c r="E108" s="75"/>
      <c r="F108" s="76"/>
      <c r="G108" s="24" t="s">
        <v>8</v>
      </c>
    </row>
    <row r="109" spans="2:7">
      <c r="B109" s="56"/>
      <c r="C109" s="57"/>
      <c r="D109" s="57"/>
      <c r="E109" s="57"/>
      <c r="F109" s="57"/>
      <c r="G109" s="62"/>
    </row>
    <row r="110" spans="2:7">
      <c r="B110" s="58"/>
      <c r="C110" s="59"/>
      <c r="D110" s="59"/>
      <c r="E110" s="59"/>
      <c r="F110" s="59"/>
      <c r="G110" s="63"/>
    </row>
    <row r="111" spans="2:7">
      <c r="B111" s="58"/>
      <c r="C111" s="59"/>
      <c r="D111" s="59"/>
      <c r="E111" s="59"/>
      <c r="F111" s="59"/>
      <c r="G111" s="63"/>
    </row>
    <row r="112" spans="2:7">
      <c r="B112" s="58"/>
      <c r="C112" s="59"/>
      <c r="D112" s="59"/>
      <c r="E112" s="59"/>
      <c r="F112" s="59"/>
      <c r="G112" s="63"/>
    </row>
    <row r="113" spans="2:7" ht="15.75" thickBot="1">
      <c r="B113" s="60"/>
      <c r="C113" s="61"/>
      <c r="D113" s="61"/>
      <c r="E113" s="61"/>
      <c r="F113" s="61"/>
      <c r="G113" s="64"/>
    </row>
  </sheetData>
  <sheetProtection selectLockedCells="1"/>
  <mergeCells count="8">
    <mergeCell ref="G109:G113"/>
    <mergeCell ref="B3:F3"/>
    <mergeCell ref="D4:F4"/>
    <mergeCell ref="E6:F6"/>
    <mergeCell ref="B108:C108"/>
    <mergeCell ref="D108:F108"/>
    <mergeCell ref="B109:C113"/>
    <mergeCell ref="D109:F113"/>
  </mergeCells>
  <conditionalFormatting sqref="D8:D88 D90:D107">
    <cfRule type="cellIs" dxfId="17" priority="3" operator="equal">
      <formula>3</formula>
    </cfRule>
    <cfRule type="cellIs" dxfId="16" priority="4" operator="equal">
      <formula>4</formula>
    </cfRule>
  </conditionalFormatting>
  <conditionalFormatting sqref="D89">
    <cfRule type="cellIs" dxfId="15" priority="1" operator="equal">
      <formula>3</formula>
    </cfRule>
    <cfRule type="cellIs" dxfId="14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38"/>
  <sheetViews>
    <sheetView zoomScale="55" zoomScaleNormal="55" zoomScalePageLayoutView="70" workbookViewId="0">
      <selection activeCell="I46" sqref="I46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65" t="s">
        <v>11</v>
      </c>
      <c r="C3" s="66"/>
      <c r="D3" s="66"/>
      <c r="E3" s="66"/>
      <c r="F3" s="67"/>
      <c r="G3" s="31" t="s">
        <v>12</v>
      </c>
    </row>
    <row r="4" spans="2:7" ht="24" thickBot="1">
      <c r="B4" s="14"/>
      <c r="C4" s="15" t="s">
        <v>33</v>
      </c>
      <c r="D4" s="68" t="str">
        <f>+'Line &amp; frequency'!C1</f>
        <v>CHAINE 4</v>
      </c>
      <c r="E4" s="69"/>
      <c r="F4" s="69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70" t="s">
        <v>0</v>
      </c>
      <c r="F6" s="71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" si="14">B24+1</f>
        <v>18</v>
      </c>
      <c r="C25" s="38"/>
      <c r="D25" s="21"/>
      <c r="E25" s="19"/>
      <c r="F25" s="20"/>
      <c r="G25" s="33"/>
    </row>
    <row r="26" spans="2:7" s="4" customFormat="1" ht="64.5" customHeight="1">
      <c r="B26" s="37">
        <f t="shared" ref="B26" si="15">+B25+1</f>
        <v>19</v>
      </c>
      <c r="C26" s="38"/>
      <c r="D26" s="21"/>
      <c r="E26" s="19"/>
      <c r="F26" s="20"/>
      <c r="G26" s="33"/>
    </row>
    <row r="27" spans="2:7" s="4" customFormat="1" ht="64.5" customHeight="1">
      <c r="B27" s="6">
        <f t="shared" ref="B27" si="16">B26+1</f>
        <v>20</v>
      </c>
      <c r="C27" s="38"/>
      <c r="D27" s="21"/>
      <c r="E27" s="19"/>
      <c r="F27" s="20"/>
      <c r="G27" s="33"/>
    </row>
    <row r="28" spans="2:7" s="4" customFormat="1" ht="64.5" customHeight="1">
      <c r="B28" s="37">
        <f t="shared" ref="B28" si="17">+B27+1</f>
        <v>21</v>
      </c>
      <c r="C28" s="38"/>
      <c r="D28" s="21"/>
      <c r="E28" s="19"/>
      <c r="F28" s="20"/>
      <c r="G28" s="33"/>
    </row>
    <row r="29" spans="2:7" s="4" customFormat="1" ht="64.5" customHeight="1">
      <c r="B29" s="6">
        <f t="shared" ref="B29" si="18">B28+1</f>
        <v>22</v>
      </c>
      <c r="C29" s="38"/>
      <c r="D29" s="21"/>
      <c r="E29" s="19"/>
      <c r="F29" s="20"/>
      <c r="G29" s="33"/>
    </row>
    <row r="30" spans="2:7" s="4" customFormat="1" ht="64.5" customHeight="1">
      <c r="B30" s="37">
        <f t="shared" ref="B30" si="19">+B29+1</f>
        <v>23</v>
      </c>
      <c r="C30" s="38"/>
      <c r="D30" s="21"/>
      <c r="E30" s="19"/>
      <c r="F30" s="20"/>
      <c r="G30" s="33"/>
    </row>
    <row r="31" spans="2:7" s="4" customFormat="1" ht="64.5" customHeight="1">
      <c r="B31" s="6">
        <f t="shared" ref="B31" si="20">B30+1</f>
        <v>24</v>
      </c>
      <c r="C31" s="38"/>
      <c r="D31" s="21"/>
      <c r="E31" s="19"/>
      <c r="F31" s="20"/>
      <c r="G31" s="33"/>
    </row>
    <row r="32" spans="2:7" s="4" customFormat="1" ht="64.5" customHeight="1" thickBot="1">
      <c r="B32" s="37">
        <f t="shared" ref="B32" si="21">+B31+1</f>
        <v>25</v>
      </c>
      <c r="C32" s="38"/>
      <c r="D32" s="21"/>
      <c r="E32" s="19"/>
      <c r="F32" s="20"/>
      <c r="G32" s="33"/>
    </row>
    <row r="33" spans="2:7" ht="18.75" thickBot="1">
      <c r="B33" s="72" t="s">
        <v>13</v>
      </c>
      <c r="C33" s="73"/>
      <c r="D33" s="74" t="s">
        <v>7</v>
      </c>
      <c r="E33" s="75"/>
      <c r="F33" s="76"/>
      <c r="G33" s="24" t="s">
        <v>8</v>
      </c>
    </row>
    <row r="34" spans="2:7">
      <c r="B34" s="56"/>
      <c r="C34" s="57"/>
      <c r="D34" s="57"/>
      <c r="E34" s="57"/>
      <c r="F34" s="57"/>
      <c r="G34" s="62"/>
    </row>
    <row r="35" spans="2:7">
      <c r="B35" s="58"/>
      <c r="C35" s="59"/>
      <c r="D35" s="59"/>
      <c r="E35" s="59"/>
      <c r="F35" s="59"/>
      <c r="G35" s="63"/>
    </row>
    <row r="36" spans="2:7">
      <c r="B36" s="58"/>
      <c r="C36" s="59"/>
      <c r="D36" s="59"/>
      <c r="E36" s="59"/>
      <c r="F36" s="59"/>
      <c r="G36" s="63"/>
    </row>
    <row r="37" spans="2:7">
      <c r="B37" s="58"/>
      <c r="C37" s="59"/>
      <c r="D37" s="59"/>
      <c r="E37" s="59"/>
      <c r="F37" s="59"/>
      <c r="G37" s="63"/>
    </row>
    <row r="38" spans="2:7" ht="15.75" thickBot="1">
      <c r="B38" s="60"/>
      <c r="C38" s="61"/>
      <c r="D38" s="61"/>
      <c r="E38" s="61"/>
      <c r="F38" s="61"/>
      <c r="G38" s="64"/>
    </row>
  </sheetData>
  <sheetProtection selectLockedCells="1"/>
  <mergeCells count="8">
    <mergeCell ref="G34:G38"/>
    <mergeCell ref="B3:F3"/>
    <mergeCell ref="D4:F4"/>
    <mergeCell ref="E6:F6"/>
    <mergeCell ref="B33:C33"/>
    <mergeCell ref="D33:F33"/>
    <mergeCell ref="B34:C38"/>
    <mergeCell ref="D34:F38"/>
  </mergeCells>
  <conditionalFormatting sqref="D8:D32">
    <cfRule type="cellIs" dxfId="13" priority="3" operator="equal">
      <formula>3</formula>
    </cfRule>
    <cfRule type="cellIs" dxfId="12" priority="4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zoomScale="55" zoomScaleNormal="55" zoomScalePageLayoutView="70" workbookViewId="0">
      <selection activeCell="I46" sqref="I46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65" t="s">
        <v>11</v>
      </c>
      <c r="C3" s="66"/>
      <c r="D3" s="66"/>
      <c r="E3" s="66"/>
      <c r="F3" s="67"/>
      <c r="G3" s="31" t="s">
        <v>12</v>
      </c>
    </row>
    <row r="4" spans="2:7" ht="24" thickBot="1">
      <c r="B4" s="14"/>
      <c r="C4" s="15" t="s">
        <v>32</v>
      </c>
      <c r="D4" s="68" t="str">
        <f>+'Line &amp; frequency'!C1</f>
        <v>CHAINE 4</v>
      </c>
      <c r="E4" s="69"/>
      <c r="F4" s="69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70" t="s">
        <v>0</v>
      </c>
      <c r="F6" s="71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>
      <c r="B26" s="6">
        <f t="shared" si="14"/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>
      <c r="B28" s="6">
        <f t="shared" si="14"/>
        <v>21</v>
      </c>
      <c r="C28" s="38" t="s">
        <v>20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si="14"/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si="15"/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si="14"/>
        <v>24</v>
      </c>
      <c r="C31" s="38" t="s">
        <v>26</v>
      </c>
      <c r="D31" s="21">
        <v>30</v>
      </c>
      <c r="E31" s="19"/>
      <c r="F31" s="20"/>
      <c r="G31" s="33"/>
    </row>
    <row r="32" spans="2:7" s="4" customFormat="1" ht="64.5" customHeight="1">
      <c r="B32" s="6">
        <f t="shared" si="14"/>
        <v>25</v>
      </c>
      <c r="C32" s="38" t="s">
        <v>24</v>
      </c>
      <c r="D32" s="21">
        <v>30</v>
      </c>
      <c r="E32" s="19"/>
      <c r="F32" s="20"/>
      <c r="G32" s="33"/>
    </row>
    <row r="33" spans="2:7" s="4" customFormat="1" ht="64.5" customHeight="1">
      <c r="B33" s="37">
        <f t="shared" si="15"/>
        <v>26</v>
      </c>
      <c r="C33" s="38" t="s">
        <v>25</v>
      </c>
      <c r="D33" s="21">
        <v>25</v>
      </c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>
      <c r="B38" s="72" t="s">
        <v>13</v>
      </c>
      <c r="C38" s="73"/>
      <c r="D38" s="74" t="s">
        <v>7</v>
      </c>
      <c r="E38" s="75"/>
      <c r="F38" s="76"/>
      <c r="G38" s="24" t="s">
        <v>8</v>
      </c>
    </row>
    <row r="39" spans="2:7">
      <c r="B39" s="56"/>
      <c r="C39" s="57"/>
      <c r="D39" s="57"/>
      <c r="E39" s="57"/>
      <c r="F39" s="57"/>
      <c r="G39" s="62"/>
    </row>
    <row r="40" spans="2:7">
      <c r="B40" s="58"/>
      <c r="C40" s="59"/>
      <c r="D40" s="59"/>
      <c r="E40" s="59"/>
      <c r="F40" s="59"/>
      <c r="G40" s="63"/>
    </row>
    <row r="41" spans="2:7">
      <c r="B41" s="58"/>
      <c r="C41" s="59"/>
      <c r="D41" s="59"/>
      <c r="E41" s="59"/>
      <c r="F41" s="59"/>
      <c r="G41" s="63"/>
    </row>
    <row r="42" spans="2:7">
      <c r="B42" s="58"/>
      <c r="C42" s="59"/>
      <c r="D42" s="59"/>
      <c r="E42" s="59"/>
      <c r="F42" s="59"/>
      <c r="G42" s="63"/>
    </row>
    <row r="43" spans="2:7" ht="15.75" thickBot="1">
      <c r="B43" s="60"/>
      <c r="C43" s="61"/>
      <c r="D43" s="61"/>
      <c r="E43" s="61"/>
      <c r="F43" s="61"/>
      <c r="G43" s="64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11" priority="1" operator="equal">
      <formula>3</formula>
    </cfRule>
    <cfRule type="cellIs" dxfId="1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topLeftCell="A19" zoomScale="55" zoomScaleNormal="55" zoomScalePageLayoutView="70" workbookViewId="0">
      <selection activeCell="I46" sqref="I46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65" t="s">
        <v>11</v>
      </c>
      <c r="C3" s="66"/>
      <c r="D3" s="66"/>
      <c r="E3" s="66"/>
      <c r="F3" s="67"/>
      <c r="G3" s="31" t="s">
        <v>12</v>
      </c>
    </row>
    <row r="4" spans="2:7" ht="24" thickBot="1">
      <c r="B4" s="14"/>
      <c r="C4" s="15" t="s">
        <v>34</v>
      </c>
      <c r="D4" s="68" t="str">
        <f>+'Line &amp; frequency'!C1</f>
        <v>CHAINE 4</v>
      </c>
      <c r="E4" s="69"/>
      <c r="F4" s="69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70" t="s">
        <v>0</v>
      </c>
      <c r="F6" s="71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/>
      <c r="D25" s="21"/>
      <c r="E25" s="19"/>
      <c r="F25" s="20"/>
      <c r="G25" s="33"/>
    </row>
    <row r="26" spans="2:7" s="4" customFormat="1" ht="64.5" customHeight="1">
      <c r="B26" s="6">
        <f t="shared" si="14"/>
        <v>19</v>
      </c>
      <c r="C26" s="38"/>
      <c r="D26" s="21"/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/>
      <c r="D27" s="21"/>
      <c r="E27" s="19"/>
      <c r="F27" s="20"/>
      <c r="G27" s="33"/>
    </row>
    <row r="28" spans="2:7" s="4" customFormat="1" ht="64.5" customHeight="1">
      <c r="B28" s="6">
        <f t="shared" si="14"/>
        <v>21</v>
      </c>
      <c r="C28" s="38"/>
      <c r="D28" s="21"/>
      <c r="E28" s="19"/>
      <c r="F28" s="20"/>
      <c r="G28" s="33"/>
    </row>
    <row r="29" spans="2:7" s="4" customFormat="1" ht="64.5" customHeight="1">
      <c r="B29" s="6">
        <f t="shared" si="14"/>
        <v>22</v>
      </c>
      <c r="C29" s="38"/>
      <c r="D29" s="21"/>
      <c r="E29" s="19"/>
      <c r="F29" s="20"/>
      <c r="G29" s="33"/>
    </row>
    <row r="30" spans="2:7" s="4" customFormat="1" ht="64.5" customHeight="1">
      <c r="B30" s="37">
        <f t="shared" si="15"/>
        <v>23</v>
      </c>
      <c r="C30" s="38"/>
      <c r="D30" s="21"/>
      <c r="E30" s="19"/>
      <c r="F30" s="20"/>
      <c r="G30" s="33"/>
    </row>
    <row r="31" spans="2:7" s="4" customFormat="1" ht="64.5" customHeight="1">
      <c r="B31" s="6">
        <f t="shared" si="14"/>
        <v>24</v>
      </c>
      <c r="C31" s="38"/>
      <c r="D31" s="21"/>
      <c r="E31" s="19"/>
      <c r="F31" s="20"/>
      <c r="G31" s="33"/>
    </row>
    <row r="32" spans="2:7" s="4" customFormat="1" ht="64.5" customHeight="1">
      <c r="B32" s="6">
        <f t="shared" si="14"/>
        <v>25</v>
      </c>
      <c r="C32" s="38"/>
      <c r="D32" s="21"/>
      <c r="E32" s="19"/>
      <c r="F32" s="20"/>
      <c r="G32" s="33"/>
    </row>
    <row r="33" spans="2:7" s="4" customFormat="1" ht="64.5" customHeight="1">
      <c r="B33" s="37">
        <f t="shared" si="15"/>
        <v>26</v>
      </c>
      <c r="C33" s="38"/>
      <c r="D33" s="21"/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>
      <c r="B38" s="72" t="s">
        <v>13</v>
      </c>
      <c r="C38" s="73"/>
      <c r="D38" s="74" t="s">
        <v>7</v>
      </c>
      <c r="E38" s="75"/>
      <c r="F38" s="76"/>
      <c r="G38" s="24" t="s">
        <v>8</v>
      </c>
    </row>
    <row r="39" spans="2:7">
      <c r="B39" s="56"/>
      <c r="C39" s="57"/>
      <c r="D39" s="57"/>
      <c r="E39" s="57"/>
      <c r="F39" s="57"/>
      <c r="G39" s="62"/>
    </row>
    <row r="40" spans="2:7">
      <c r="B40" s="58"/>
      <c r="C40" s="59"/>
      <c r="D40" s="59"/>
      <c r="E40" s="59"/>
      <c r="F40" s="59"/>
      <c r="G40" s="63"/>
    </row>
    <row r="41" spans="2:7">
      <c r="B41" s="58"/>
      <c r="C41" s="59"/>
      <c r="D41" s="59"/>
      <c r="E41" s="59"/>
      <c r="F41" s="59"/>
      <c r="G41" s="63"/>
    </row>
    <row r="42" spans="2:7">
      <c r="B42" s="58"/>
      <c r="C42" s="59"/>
      <c r="D42" s="59"/>
      <c r="E42" s="59"/>
      <c r="F42" s="59"/>
      <c r="G42" s="63"/>
    </row>
    <row r="43" spans="2:7" ht="15.75" thickBot="1">
      <c r="B43" s="60"/>
      <c r="C43" s="61"/>
      <c r="D43" s="61"/>
      <c r="E43" s="61"/>
      <c r="F43" s="61"/>
      <c r="G43" s="64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9" priority="1" operator="equal">
      <formula>3</formula>
    </cfRule>
    <cfRule type="cellIs" dxfId="8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topLeftCell="A28" zoomScale="55" zoomScaleNormal="55" zoomScalePageLayoutView="70" workbookViewId="0">
      <selection activeCell="I46" sqref="I46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65" t="s">
        <v>11</v>
      </c>
      <c r="C3" s="66"/>
      <c r="D3" s="66"/>
      <c r="E3" s="66"/>
      <c r="F3" s="67"/>
      <c r="G3" s="31" t="s">
        <v>12</v>
      </c>
    </row>
    <row r="4" spans="2:7" ht="24" thickBot="1">
      <c r="B4" s="14"/>
      <c r="C4" s="15" t="s">
        <v>35</v>
      </c>
      <c r="D4" s="68" t="str">
        <f>+'Line &amp; frequency'!C1</f>
        <v>CHAINE 4</v>
      </c>
      <c r="E4" s="69"/>
      <c r="F4" s="69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70" t="s">
        <v>0</v>
      </c>
      <c r="F6" s="71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>
      <c r="B26" s="6">
        <f t="shared" si="14"/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>
      <c r="B28" s="6">
        <f t="shared" si="14"/>
        <v>21</v>
      </c>
      <c r="C28" s="38" t="s">
        <v>27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si="14"/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si="15"/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si="14"/>
        <v>24</v>
      </c>
      <c r="C31" s="38" t="s">
        <v>25</v>
      </c>
      <c r="D31" s="21">
        <v>25</v>
      </c>
      <c r="E31" s="19"/>
      <c r="F31" s="20"/>
      <c r="G31" s="33"/>
    </row>
    <row r="32" spans="2:7" s="4" customFormat="1" ht="64.5" customHeight="1">
      <c r="B32" s="6">
        <f t="shared" si="14"/>
        <v>25</v>
      </c>
      <c r="C32" s="38" t="s">
        <v>28</v>
      </c>
      <c r="D32" s="21">
        <v>120</v>
      </c>
      <c r="E32" s="19"/>
      <c r="F32" s="20"/>
      <c r="G32" s="33"/>
    </row>
    <row r="33" spans="2:7" s="4" customFormat="1" ht="64.5" customHeight="1">
      <c r="B33" s="37">
        <f t="shared" si="15"/>
        <v>26</v>
      </c>
      <c r="C33" s="38" t="s">
        <v>29</v>
      </c>
      <c r="D33" s="21">
        <v>60</v>
      </c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>
      <c r="B38" s="72" t="s">
        <v>13</v>
      </c>
      <c r="C38" s="73"/>
      <c r="D38" s="74" t="s">
        <v>7</v>
      </c>
      <c r="E38" s="75"/>
      <c r="F38" s="76"/>
      <c r="G38" s="24" t="s">
        <v>8</v>
      </c>
    </row>
    <row r="39" spans="2:7">
      <c r="B39" s="56"/>
      <c r="C39" s="57"/>
      <c r="D39" s="57"/>
      <c r="E39" s="57"/>
      <c r="F39" s="57"/>
      <c r="G39" s="62"/>
    </row>
    <row r="40" spans="2:7">
      <c r="B40" s="58"/>
      <c r="C40" s="59"/>
      <c r="D40" s="59"/>
      <c r="E40" s="59"/>
      <c r="F40" s="59"/>
      <c r="G40" s="63"/>
    </row>
    <row r="41" spans="2:7">
      <c r="B41" s="58"/>
      <c r="C41" s="59"/>
      <c r="D41" s="59"/>
      <c r="E41" s="59"/>
      <c r="F41" s="59"/>
      <c r="G41" s="63"/>
    </row>
    <row r="42" spans="2:7">
      <c r="B42" s="58"/>
      <c r="C42" s="59"/>
      <c r="D42" s="59"/>
      <c r="E42" s="59"/>
      <c r="F42" s="59"/>
      <c r="G42" s="63"/>
    </row>
    <row r="43" spans="2:7" ht="15.75" thickBot="1">
      <c r="B43" s="60"/>
      <c r="C43" s="61"/>
      <c r="D43" s="61"/>
      <c r="E43" s="61"/>
      <c r="F43" s="61"/>
      <c r="G43" s="64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7" priority="1" operator="equal">
      <formula>3</formula>
    </cfRule>
    <cfRule type="cellIs" dxfId="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topLeftCell="A25" zoomScale="55" zoomScaleNormal="55" zoomScalePageLayoutView="70" workbookViewId="0">
      <selection activeCell="I46" sqref="I46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65" t="s">
        <v>11</v>
      </c>
      <c r="C3" s="66"/>
      <c r="D3" s="66"/>
      <c r="E3" s="66"/>
      <c r="F3" s="67"/>
      <c r="G3" s="31" t="s">
        <v>12</v>
      </c>
    </row>
    <row r="4" spans="2:7" ht="24" thickBot="1">
      <c r="B4" s="14"/>
      <c r="C4" s="15" t="s">
        <v>36</v>
      </c>
      <c r="D4" s="68" t="str">
        <f>+'Line &amp; frequency'!C1</f>
        <v>CHAINE 4</v>
      </c>
      <c r="E4" s="69"/>
      <c r="F4" s="69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70" t="s">
        <v>0</v>
      </c>
      <c r="F6" s="71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>
      <c r="B26" s="6">
        <f t="shared" si="14"/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>
      <c r="B28" s="6">
        <f t="shared" si="14"/>
        <v>21</v>
      </c>
      <c r="C28" s="38" t="s">
        <v>27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si="14"/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si="15"/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si="14"/>
        <v>24</v>
      </c>
      <c r="C31" s="38" t="s">
        <v>25</v>
      </c>
      <c r="D31" s="21">
        <v>25</v>
      </c>
      <c r="E31" s="19"/>
      <c r="F31" s="20"/>
      <c r="G31" s="33"/>
    </row>
    <row r="32" spans="2:7" s="4" customFormat="1" ht="64.5" customHeight="1">
      <c r="B32" s="6">
        <f t="shared" si="14"/>
        <v>25</v>
      </c>
      <c r="C32" s="38" t="s">
        <v>28</v>
      </c>
      <c r="D32" s="21">
        <v>120</v>
      </c>
      <c r="E32" s="19"/>
      <c r="F32" s="20"/>
      <c r="G32" s="33"/>
    </row>
    <row r="33" spans="2:7" s="4" customFormat="1" ht="64.5" customHeight="1">
      <c r="B33" s="37">
        <f t="shared" si="15"/>
        <v>26</v>
      </c>
      <c r="C33" s="38" t="s">
        <v>29</v>
      </c>
      <c r="D33" s="21">
        <v>60</v>
      </c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>
      <c r="B38" s="72" t="s">
        <v>13</v>
      </c>
      <c r="C38" s="73"/>
      <c r="D38" s="74" t="s">
        <v>7</v>
      </c>
      <c r="E38" s="75"/>
      <c r="F38" s="76"/>
      <c r="G38" s="24" t="s">
        <v>8</v>
      </c>
    </row>
    <row r="39" spans="2:7">
      <c r="B39" s="56"/>
      <c r="C39" s="57"/>
      <c r="D39" s="57"/>
      <c r="E39" s="57"/>
      <c r="F39" s="57"/>
      <c r="G39" s="62"/>
    </row>
    <row r="40" spans="2:7">
      <c r="B40" s="58"/>
      <c r="C40" s="59"/>
      <c r="D40" s="59"/>
      <c r="E40" s="59"/>
      <c r="F40" s="59"/>
      <c r="G40" s="63"/>
    </row>
    <row r="41" spans="2:7">
      <c r="B41" s="58"/>
      <c r="C41" s="59"/>
      <c r="D41" s="59"/>
      <c r="E41" s="59"/>
      <c r="F41" s="59"/>
      <c r="G41" s="63"/>
    </row>
    <row r="42" spans="2:7">
      <c r="B42" s="58"/>
      <c r="C42" s="59"/>
      <c r="D42" s="59"/>
      <c r="E42" s="59"/>
      <c r="F42" s="59"/>
      <c r="G42" s="63"/>
    </row>
    <row r="43" spans="2:7" ht="15.75" thickBot="1">
      <c r="B43" s="60"/>
      <c r="C43" s="61"/>
      <c r="D43" s="61"/>
      <c r="E43" s="61"/>
      <c r="F43" s="61"/>
      <c r="G43" s="64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5" priority="1" operator="equal">
      <formula>3</formula>
    </cfRule>
    <cfRule type="cellIs" dxfId="4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topLeftCell="A31" zoomScale="55" zoomScaleNormal="55" zoomScalePageLayoutView="70" workbookViewId="0">
      <selection activeCell="I46" sqref="I46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65" t="s">
        <v>11</v>
      </c>
      <c r="C3" s="66"/>
      <c r="D3" s="66"/>
      <c r="E3" s="66"/>
      <c r="F3" s="67"/>
      <c r="G3" s="31" t="s">
        <v>12</v>
      </c>
    </row>
    <row r="4" spans="2:7" ht="24" thickBot="1">
      <c r="B4" s="14"/>
      <c r="C4" s="15" t="s">
        <v>37</v>
      </c>
      <c r="D4" s="68" t="str">
        <f>+'Line &amp; frequency'!C1</f>
        <v>CHAINE 4</v>
      </c>
      <c r="E4" s="69"/>
      <c r="F4" s="69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70" t="s">
        <v>0</v>
      </c>
      <c r="F6" s="71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19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26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27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21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24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25</v>
      </c>
      <c r="D22" s="21">
        <v>25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28</v>
      </c>
      <c r="D23" s="21">
        <v>120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29</v>
      </c>
      <c r="D24" s="21">
        <v>60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/>
      <c r="D25" s="21"/>
      <c r="E25" s="19"/>
      <c r="F25" s="20"/>
      <c r="G25" s="33"/>
    </row>
    <row r="26" spans="2:7" s="4" customFormat="1" ht="64.5" customHeight="1">
      <c r="B26" s="6">
        <f t="shared" si="14"/>
        <v>19</v>
      </c>
      <c r="C26" s="38"/>
      <c r="D26" s="21"/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/>
      <c r="D27" s="21"/>
      <c r="E27" s="19"/>
      <c r="F27" s="20"/>
      <c r="G27" s="33"/>
    </row>
    <row r="28" spans="2:7" s="4" customFormat="1" ht="64.5" customHeight="1">
      <c r="B28" s="6">
        <f t="shared" si="14"/>
        <v>21</v>
      </c>
      <c r="C28" s="38"/>
      <c r="D28" s="21"/>
      <c r="E28" s="19"/>
      <c r="F28" s="20"/>
      <c r="G28" s="33"/>
    </row>
    <row r="29" spans="2:7" s="4" customFormat="1" ht="64.5" customHeight="1">
      <c r="B29" s="6">
        <f t="shared" si="14"/>
        <v>22</v>
      </c>
      <c r="C29" s="38"/>
      <c r="D29" s="21"/>
      <c r="E29" s="19"/>
      <c r="F29" s="20"/>
      <c r="G29" s="33"/>
    </row>
    <row r="30" spans="2:7" s="4" customFormat="1" ht="64.5" customHeight="1">
      <c r="B30" s="37">
        <f t="shared" si="15"/>
        <v>23</v>
      </c>
      <c r="C30" s="38"/>
      <c r="D30" s="21"/>
      <c r="E30" s="19"/>
      <c r="F30" s="20"/>
      <c r="G30" s="33"/>
    </row>
    <row r="31" spans="2:7" s="4" customFormat="1" ht="64.5" customHeight="1">
      <c r="B31" s="6">
        <f t="shared" si="14"/>
        <v>24</v>
      </c>
      <c r="C31" s="38"/>
      <c r="D31" s="21"/>
      <c r="E31" s="19"/>
      <c r="F31" s="20"/>
      <c r="G31" s="33"/>
    </row>
    <row r="32" spans="2:7" s="4" customFormat="1" ht="64.5" customHeight="1">
      <c r="B32" s="6">
        <f t="shared" si="14"/>
        <v>25</v>
      </c>
      <c r="C32" s="38"/>
      <c r="D32" s="21"/>
      <c r="E32" s="19"/>
      <c r="F32" s="20"/>
      <c r="G32" s="33"/>
    </row>
    <row r="33" spans="2:7" s="4" customFormat="1" ht="64.5" customHeight="1">
      <c r="B33" s="37">
        <f t="shared" si="15"/>
        <v>26</v>
      </c>
      <c r="C33" s="38"/>
      <c r="D33" s="21"/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>
      <c r="B38" s="72" t="s">
        <v>13</v>
      </c>
      <c r="C38" s="73"/>
      <c r="D38" s="74" t="s">
        <v>7</v>
      </c>
      <c r="E38" s="75"/>
      <c r="F38" s="76"/>
      <c r="G38" s="24" t="s">
        <v>8</v>
      </c>
    </row>
    <row r="39" spans="2:7">
      <c r="B39" s="56"/>
      <c r="C39" s="57"/>
      <c r="D39" s="57"/>
      <c r="E39" s="57"/>
      <c r="F39" s="57"/>
      <c r="G39" s="62"/>
    </row>
    <row r="40" spans="2:7">
      <c r="B40" s="58"/>
      <c r="C40" s="59"/>
      <c r="D40" s="59"/>
      <c r="E40" s="59"/>
      <c r="F40" s="59"/>
      <c r="G40" s="63"/>
    </row>
    <row r="41" spans="2:7">
      <c r="B41" s="58"/>
      <c r="C41" s="59"/>
      <c r="D41" s="59"/>
      <c r="E41" s="59"/>
      <c r="F41" s="59"/>
      <c r="G41" s="63"/>
    </row>
    <row r="42" spans="2:7">
      <c r="B42" s="58"/>
      <c r="C42" s="59"/>
      <c r="D42" s="59"/>
      <c r="E42" s="59"/>
      <c r="F42" s="59"/>
      <c r="G42" s="63"/>
    </row>
    <row r="43" spans="2:7" ht="15.75" thickBot="1">
      <c r="B43" s="60"/>
      <c r="C43" s="61"/>
      <c r="D43" s="61"/>
      <c r="E43" s="61"/>
      <c r="F43" s="61"/>
      <c r="G43" s="64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3" priority="1" operator="equal">
      <formula>3</formula>
    </cfRule>
    <cfRule type="cellIs" dxfId="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"/>
  <sheetViews>
    <sheetView workbookViewId="0">
      <selection activeCell="F10" sqref="F10"/>
    </sheetView>
  </sheetViews>
  <sheetFormatPr baseColWidth="10" defaultRowHeight="15"/>
  <cols>
    <col min="3" max="3" width="15.42578125" bestFit="1" customWidth="1"/>
    <col min="7" max="7" width="46.28515625" bestFit="1" customWidth="1"/>
  </cols>
  <sheetData>
    <row r="1" spans="2:7">
      <c r="B1" t="s">
        <v>9</v>
      </c>
      <c r="C1" s="13" t="s">
        <v>14</v>
      </c>
    </row>
    <row r="2" spans="2:7">
      <c r="B2" t="s">
        <v>10</v>
      </c>
      <c r="C2" s="13" t="s">
        <v>15</v>
      </c>
    </row>
    <row r="3" spans="2:7" ht="26.25">
      <c r="B3" s="46" t="s">
        <v>12</v>
      </c>
      <c r="C3" s="47">
        <v>44273</v>
      </c>
      <c r="G3" s="45">
        <f>+'Line &amp; frequency'!C3</f>
        <v>44273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33"/>
  <sheetViews>
    <sheetView view="pageBreakPreview" zoomScaleNormal="55" zoomScaleSheetLayoutView="100" zoomScalePageLayoutView="70" workbookViewId="0">
      <selection activeCell="C25" sqref="C25"/>
    </sheetView>
  </sheetViews>
  <sheetFormatPr baseColWidth="10"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65" t="s">
        <v>40</v>
      </c>
      <c r="C3" s="66"/>
      <c r="D3" s="66"/>
      <c r="E3" s="66"/>
      <c r="F3" s="67"/>
      <c r="G3" s="44"/>
    </row>
    <row r="4" spans="2:7" ht="21" thickBot="1">
      <c r="B4" s="14"/>
      <c r="C4" s="52" t="s">
        <v>50</v>
      </c>
      <c r="D4" s="68" t="s">
        <v>38</v>
      </c>
      <c r="E4" s="69"/>
      <c r="F4" s="69"/>
      <c r="G4" s="32" t="s">
        <v>41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70" t="s">
        <v>0</v>
      </c>
      <c r="F6" s="71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18.75">
      <c r="B8" s="5">
        <v>1</v>
      </c>
      <c r="C8" s="48" t="s">
        <v>51</v>
      </c>
      <c r="D8" s="21"/>
      <c r="E8" s="19"/>
      <c r="F8" s="20"/>
      <c r="G8" s="33"/>
    </row>
    <row r="9" spans="2:7" s="4" customFormat="1" ht="28.5">
      <c r="B9" s="6">
        <f>B8+1</f>
        <v>2</v>
      </c>
      <c r="C9" s="51" t="s">
        <v>52</v>
      </c>
      <c r="D9" s="21"/>
      <c r="E9" s="19"/>
      <c r="F9" s="20"/>
      <c r="G9" s="33"/>
    </row>
    <row r="10" spans="2:7" s="4" customFormat="1" ht="18.75">
      <c r="B10" s="6">
        <f t="shared" ref="B10:B13" si="0">B9+1</f>
        <v>3</v>
      </c>
      <c r="C10" s="51" t="s">
        <v>53</v>
      </c>
      <c r="D10" s="21"/>
      <c r="E10" s="19"/>
      <c r="F10" s="20"/>
      <c r="G10" s="33"/>
    </row>
    <row r="11" spans="2:7" s="4" customFormat="1" ht="18.75">
      <c r="B11" s="6">
        <f t="shared" si="0"/>
        <v>4</v>
      </c>
      <c r="C11" s="48" t="s">
        <v>54</v>
      </c>
      <c r="D11" s="21"/>
      <c r="E11" s="19"/>
      <c r="F11" s="20"/>
      <c r="G11" s="33"/>
    </row>
    <row r="12" spans="2:7" s="4" customFormat="1" ht="18.75">
      <c r="B12" s="6">
        <f t="shared" si="0"/>
        <v>5</v>
      </c>
      <c r="C12" s="48" t="s">
        <v>55</v>
      </c>
      <c r="D12" s="21"/>
      <c r="E12" s="19"/>
      <c r="F12" s="20"/>
      <c r="G12" s="33"/>
    </row>
    <row r="13" spans="2:7" s="4" customFormat="1" ht="18.75">
      <c r="B13" s="6">
        <f t="shared" si="0"/>
        <v>6</v>
      </c>
      <c r="C13" s="48" t="s">
        <v>56</v>
      </c>
      <c r="D13" s="21"/>
      <c r="E13" s="19"/>
      <c r="F13" s="20"/>
      <c r="G13" s="33"/>
    </row>
    <row r="14" spans="2:7" s="4" customFormat="1" ht="18.75">
      <c r="B14" s="6"/>
      <c r="C14" s="49" t="s">
        <v>57</v>
      </c>
      <c r="D14" s="21"/>
      <c r="E14" s="19"/>
      <c r="F14" s="20"/>
      <c r="G14" s="33"/>
    </row>
    <row r="15" spans="2:7" s="4" customFormat="1" ht="18.75">
      <c r="B15" s="6"/>
      <c r="C15" s="49" t="s">
        <v>58</v>
      </c>
      <c r="D15" s="21"/>
      <c r="E15" s="19"/>
      <c r="F15" s="20"/>
      <c r="G15" s="33"/>
    </row>
    <row r="16" spans="2:7" s="4" customFormat="1" ht="28.5">
      <c r="B16" s="6"/>
      <c r="C16" s="49" t="s">
        <v>59</v>
      </c>
      <c r="D16" s="21"/>
      <c r="E16" s="19"/>
      <c r="F16" s="20"/>
      <c r="G16" s="33"/>
    </row>
    <row r="17" spans="2:7" s="4" customFormat="1" ht="18.75">
      <c r="B17" s="6"/>
      <c r="C17" s="49" t="s">
        <v>60</v>
      </c>
      <c r="D17" s="21"/>
      <c r="E17" s="19"/>
      <c r="F17" s="20"/>
      <c r="G17" s="33"/>
    </row>
    <row r="18" spans="2:7" s="4" customFormat="1" ht="18.75">
      <c r="B18" s="6"/>
      <c r="C18" s="49" t="s">
        <v>61</v>
      </c>
      <c r="D18" s="21"/>
      <c r="E18" s="19"/>
      <c r="F18" s="20"/>
      <c r="G18" s="33"/>
    </row>
    <row r="19" spans="2:7" s="4" customFormat="1" ht="18.75">
      <c r="B19" s="6"/>
      <c r="C19" s="49" t="s">
        <v>62</v>
      </c>
      <c r="D19" s="21"/>
      <c r="E19" s="19"/>
      <c r="F19" s="20"/>
      <c r="G19" s="33"/>
    </row>
    <row r="20" spans="2:7" s="4" customFormat="1" ht="28.5">
      <c r="B20" s="6"/>
      <c r="C20" s="49" t="s">
        <v>63</v>
      </c>
      <c r="D20" s="21"/>
      <c r="E20" s="19"/>
      <c r="F20" s="20"/>
      <c r="G20" s="33"/>
    </row>
    <row r="21" spans="2:7" s="4" customFormat="1" ht="18.75">
      <c r="B21" s="6"/>
      <c r="C21" s="49" t="s">
        <v>64</v>
      </c>
      <c r="D21" s="21"/>
      <c r="E21" s="19"/>
      <c r="F21" s="20"/>
      <c r="G21" s="33"/>
    </row>
    <row r="22" spans="2:7" s="4" customFormat="1" ht="18.75">
      <c r="B22" s="6"/>
      <c r="C22" s="49" t="s">
        <v>65</v>
      </c>
      <c r="D22" s="21"/>
      <c r="E22" s="19"/>
      <c r="F22" s="20"/>
      <c r="G22" s="33"/>
    </row>
    <row r="23" spans="2:7" s="4" customFormat="1" ht="18.75">
      <c r="B23" s="6"/>
      <c r="C23" s="49" t="s">
        <v>66</v>
      </c>
      <c r="D23" s="21"/>
      <c r="E23" s="19"/>
      <c r="F23" s="20"/>
      <c r="G23" s="33"/>
    </row>
    <row r="24" spans="2:7" s="4" customFormat="1" ht="18.75">
      <c r="B24" s="6"/>
      <c r="C24" s="49" t="s">
        <v>67</v>
      </c>
      <c r="D24" s="21"/>
      <c r="E24" s="19"/>
      <c r="F24" s="20"/>
      <c r="G24" s="33"/>
    </row>
    <row r="25" spans="2:7" s="4" customFormat="1" ht="18.75">
      <c r="B25" s="6"/>
      <c r="C25" s="49"/>
      <c r="D25" s="21"/>
      <c r="E25" s="19"/>
      <c r="F25" s="20"/>
      <c r="G25" s="33"/>
    </row>
    <row r="26" spans="2:7" s="4" customFormat="1" ht="18.75">
      <c r="B26" s="6"/>
      <c r="C26" s="49"/>
      <c r="D26" s="21"/>
      <c r="E26" s="19"/>
      <c r="F26" s="20"/>
      <c r="G26" s="33"/>
    </row>
    <row r="27" spans="2:7" s="4" customFormat="1" ht="21" thickBot="1">
      <c r="B27" s="6">
        <f>B13+1</f>
        <v>7</v>
      </c>
      <c r="C27" s="38"/>
      <c r="D27" s="21"/>
      <c r="E27" s="19"/>
      <c r="F27" s="20"/>
      <c r="G27" s="33"/>
    </row>
    <row r="28" spans="2:7" ht="18.75" thickBot="1">
      <c r="B28" s="72" t="s">
        <v>13</v>
      </c>
      <c r="C28" s="73"/>
      <c r="D28" s="74" t="s">
        <v>7</v>
      </c>
      <c r="E28" s="75"/>
      <c r="F28" s="76"/>
      <c r="G28" s="24" t="s">
        <v>8</v>
      </c>
    </row>
    <row r="29" spans="2:7">
      <c r="B29" s="56"/>
      <c r="C29" s="57"/>
      <c r="D29" s="57"/>
      <c r="E29" s="57"/>
      <c r="F29" s="57"/>
      <c r="G29" s="62"/>
    </row>
    <row r="30" spans="2:7">
      <c r="B30" s="58"/>
      <c r="C30" s="59"/>
      <c r="D30" s="59"/>
      <c r="E30" s="59"/>
      <c r="F30" s="59"/>
      <c r="G30" s="63"/>
    </row>
    <row r="31" spans="2:7">
      <c r="B31" s="58"/>
      <c r="C31" s="59"/>
      <c r="D31" s="59"/>
      <c r="E31" s="59"/>
      <c r="F31" s="59"/>
      <c r="G31" s="63"/>
    </row>
    <row r="32" spans="2:7">
      <c r="B32" s="58"/>
      <c r="C32" s="59"/>
      <c r="D32" s="59"/>
      <c r="E32" s="59"/>
      <c r="F32" s="59"/>
      <c r="G32" s="63"/>
    </row>
    <row r="33" spans="2:7" ht="15.75" thickBot="1">
      <c r="B33" s="60"/>
      <c r="C33" s="61"/>
      <c r="D33" s="61"/>
      <c r="E33" s="61"/>
      <c r="F33" s="61"/>
      <c r="G33" s="64"/>
    </row>
  </sheetData>
  <sheetProtection selectLockedCells="1"/>
  <mergeCells count="8">
    <mergeCell ref="G29:G33"/>
    <mergeCell ref="B3:F3"/>
    <mergeCell ref="D4:F4"/>
    <mergeCell ref="E6:F6"/>
    <mergeCell ref="B28:C28"/>
    <mergeCell ref="D28:F28"/>
    <mergeCell ref="B29:C33"/>
    <mergeCell ref="D29:F33"/>
  </mergeCells>
  <conditionalFormatting sqref="D8:D27">
    <cfRule type="cellIs" dxfId="1" priority="1" operator="equal">
      <formula>3</formula>
    </cfRule>
    <cfRule type="cellIs" dxfId="0" priority="2" operator="equal">
      <formula>4</formula>
    </cfRule>
  </conditionalFormatting>
  <printOptions horizontalCentered="1"/>
  <pageMargins left="0.15748031496062992" right="7.874015748031496E-2" top="0.19685039370078741" bottom="0.15748031496062992" header="0.31496062992125984" footer="0.31496062992125984"/>
  <pageSetup paperSize="9" scale="57" fitToHeight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11</vt:i4>
      </vt:variant>
    </vt:vector>
  </HeadingPairs>
  <TitlesOfParts>
    <vt:vector size="23" baseType="lpstr">
      <vt:lpstr>Daily Elec</vt:lpstr>
      <vt:lpstr>Cvyr Btles</vt:lpstr>
      <vt:lpstr>CC C1</vt:lpstr>
      <vt:lpstr>CC C2</vt:lpstr>
      <vt:lpstr>CC C3</vt:lpstr>
      <vt:lpstr>CC C4</vt:lpstr>
      <vt:lpstr>CC C5</vt:lpstr>
      <vt:lpstr>CC C6</vt:lpstr>
      <vt:lpstr>CC C7</vt:lpstr>
      <vt:lpstr>CC C8</vt:lpstr>
      <vt:lpstr>Line &amp; frequency</vt:lpstr>
      <vt:lpstr>Daily Méca Alain</vt:lpstr>
      <vt:lpstr>'CC C1'!Zone_d_impression</vt:lpstr>
      <vt:lpstr>'CC C2'!Zone_d_impression</vt:lpstr>
      <vt:lpstr>'CC C3'!Zone_d_impression</vt:lpstr>
      <vt:lpstr>'CC C4'!Zone_d_impression</vt:lpstr>
      <vt:lpstr>'CC C5'!Zone_d_impression</vt:lpstr>
      <vt:lpstr>'CC C6'!Zone_d_impression</vt:lpstr>
      <vt:lpstr>'CC C7'!Zone_d_impression</vt:lpstr>
      <vt:lpstr>'CC C8'!Zone_d_impression</vt:lpstr>
      <vt:lpstr>'Cvyr Btles'!Zone_d_impression</vt:lpstr>
      <vt:lpstr>'Daily Elec'!Zone_d_impression</vt:lpstr>
      <vt:lpstr>'Daily Méca Alain'!Zone_d_impression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UCB DOUALA</dc:creator>
  <cp:lastModifiedBy>USER</cp:lastModifiedBy>
  <cp:lastPrinted>2025-03-03T11:17:33Z</cp:lastPrinted>
  <dcterms:created xsi:type="dcterms:W3CDTF">2021-01-06T16:50:41Z</dcterms:created>
  <dcterms:modified xsi:type="dcterms:W3CDTF">2025-03-03T11:20:31Z</dcterms:modified>
</cp:coreProperties>
</file>