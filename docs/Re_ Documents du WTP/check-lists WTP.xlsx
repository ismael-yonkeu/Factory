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oufa\documents\PM\"/>
    </mc:Choice>
  </mc:AlternateContent>
  <xr:revisionPtr revIDLastSave="0" documentId="13_ncr:1_{081711A6-E720-4DD7-A9C7-DE2C4CD4C7CE}" xr6:coauthVersionLast="47" xr6:coauthVersionMax="47" xr10:uidLastSave="{00000000-0000-0000-0000-000000000000}"/>
  <bookViews>
    <workbookView xWindow="-108" yWindow="-108" windowWidth="23256" windowHeight="12456" tabRatio="949" activeTab="1" xr2:uid="{00000000-000D-0000-FFFF-FFFF00000000}"/>
  </bookViews>
  <sheets>
    <sheet name="Checklist madiba" sheetId="42" r:id="rId1"/>
    <sheet name="Checklist prise de Service" sheetId="44" r:id="rId2"/>
    <sheet name="Checklist CIP UF" sheetId="43" r:id="rId3"/>
    <sheet name="UF_HEB" sheetId="32" r:id="rId4"/>
    <sheet name="RO_HEB" sheetId="1" r:id="rId5"/>
    <sheet name="Eliwa_HEB" sheetId="31" r:id="rId6"/>
    <sheet name="WTP_HEB" sheetId="6" r:id="rId7"/>
    <sheet name="UF_MENS" sheetId="29" r:id="rId8"/>
    <sheet name="RO_MENS" sheetId="30" r:id="rId9"/>
    <sheet name="ELIWA_MENS" sheetId="8" r:id="rId10"/>
    <sheet name="WP_MENS" sheetId="9" r:id="rId11"/>
    <sheet name="UF_TRIM" sheetId="10" r:id="rId12"/>
    <sheet name="RO_TRIM" sheetId="11" r:id="rId13"/>
    <sheet name="ELIWA_TRIM" sheetId="34" r:id="rId14"/>
    <sheet name="WP_TRIM" sheetId="35" r:id="rId15"/>
    <sheet name="UF_AN" sheetId="36" r:id="rId16"/>
    <sheet name="Cvyr Btles" sheetId="12" state="hidden" r:id="rId17"/>
    <sheet name="CC C1" sheetId="13" state="hidden" r:id="rId18"/>
    <sheet name="CC C2" sheetId="15" state="hidden" r:id="rId19"/>
    <sheet name="CC C3" sheetId="16" state="hidden" r:id="rId20"/>
    <sheet name="CC C4" sheetId="17" state="hidden" r:id="rId21"/>
    <sheet name="CC C5" sheetId="18" state="hidden" r:id="rId22"/>
    <sheet name="CC C6" sheetId="19" state="hidden" r:id="rId23"/>
    <sheet name="CC C7" sheetId="20" state="hidden" r:id="rId24"/>
    <sheet name="CC C8" sheetId="21" state="hidden" r:id="rId25"/>
    <sheet name="Line &amp; frequency" sheetId="2" state="hidden" r:id="rId26"/>
    <sheet name="RO_AN" sheetId="33" r:id="rId27"/>
    <sheet name="ELIWA_AN" sheetId="37" r:id="rId28"/>
    <sheet name="WP_AN" sheetId="38" r:id="rId29"/>
    <sheet name="FORAGES" sheetId="39" r:id="rId30"/>
    <sheet name="RESERVOIR INCENDIE" sheetId="40" r:id="rId31"/>
  </sheets>
  <definedNames>
    <definedName name="_xlnm.Print_Area" localSheetId="17">'CC C1'!$B$3:$G$63</definedName>
    <definedName name="_xlnm.Print_Area" localSheetId="18">'CC C2'!$B$3:$G$63</definedName>
    <definedName name="_xlnm.Print_Area" localSheetId="19">'CC C3'!$B$3:$G$32</definedName>
    <definedName name="_xlnm.Print_Area" localSheetId="20">'CC C4'!$B$3:$G$37</definedName>
    <definedName name="_xlnm.Print_Area" localSheetId="21">'CC C5'!$B$3:$G$37</definedName>
    <definedName name="_xlnm.Print_Area" localSheetId="22">'CC C6'!$B$3:$G$37</definedName>
    <definedName name="_xlnm.Print_Area" localSheetId="23">'CC C7'!$B$3:$G$37</definedName>
    <definedName name="_xlnm.Print_Area" localSheetId="24">'CC C8'!$B$3:$G$37</definedName>
    <definedName name="_xlnm.Print_Area" localSheetId="2">'Checklist CIP UF'!$B$3:$G$40</definedName>
    <definedName name="_xlnm.Print_Area" localSheetId="0">'Checklist madiba'!$B$3:$G$33</definedName>
    <definedName name="_xlnm.Print_Area" localSheetId="1">'Checklist prise de Service'!$B$3:$G$27</definedName>
    <definedName name="_xlnm.Print_Area" localSheetId="16">'Cvyr Btles'!$B$3:$G$63</definedName>
    <definedName name="_xlnm.Print_Area" localSheetId="9">ELIWA_MENS!$B$3:$G$20</definedName>
    <definedName name="_xlnm.Print_Area" localSheetId="4">RO_HEB!$B$3:$G$23</definedName>
    <definedName name="_xlnm.Print_Area" localSheetId="12">RO_TRIM!$B$1:$G$16</definedName>
    <definedName name="_xlnm.Print_Area" localSheetId="3">UF_HEB!$B$3:$G$19</definedName>
    <definedName name="_xlnm.Print_Area" localSheetId="11">UF_TRIM!$B$1:$G$17</definedName>
    <definedName name="_xlnm.Print_Area" localSheetId="10">WP_MENS!$B$3:$G$32</definedName>
    <definedName name="_xlnm.Print_Area" localSheetId="6">WTP_HEB!$B$3:$G$25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44" l="1"/>
  <c r="B20" i="44"/>
  <c r="B21" i="44" s="1"/>
  <c r="B9" i="44"/>
  <c r="B10" i="44" s="1"/>
  <c r="B11" i="44" s="1"/>
  <c r="B12" i="44" s="1"/>
  <c r="B13" i="44" s="1"/>
  <c r="B14" i="44" s="1"/>
  <c r="B15" i="44" s="1"/>
  <c r="B16" i="44" s="1"/>
  <c r="B17" i="44" s="1"/>
  <c r="B18" i="44" s="1"/>
  <c r="B9" i="42" l="1"/>
  <c r="B10" i="42" s="1"/>
  <c r="B11" i="42" s="1"/>
  <c r="B12" i="42" s="1"/>
  <c r="B13" i="42" s="1"/>
  <c r="B14" i="42" s="1"/>
  <c r="B15" i="42" s="1"/>
  <c r="B16" i="42" s="1"/>
  <c r="B17" i="42" s="1"/>
  <c r="B18" i="42" s="1"/>
  <c r="B19" i="42" s="1"/>
  <c r="B20" i="42" s="1"/>
  <c r="B21" i="42" s="1"/>
  <c r="B22" i="42" s="1"/>
  <c r="B23" i="42" s="1"/>
  <c r="B24" i="42" s="1"/>
  <c r="B25" i="42" s="1"/>
  <c r="B26" i="42" s="1"/>
  <c r="B27" i="42" s="1"/>
  <c r="B8" i="40" l="1"/>
  <c r="B12" i="39"/>
  <c r="B13" i="39" s="1"/>
  <c r="B8" i="39"/>
  <c r="B9" i="39" s="1"/>
  <c r="B12" i="38"/>
  <c r="B13" i="38" s="1"/>
  <c r="B8" i="38"/>
  <c r="B9" i="38" s="1"/>
  <c r="B17" i="35"/>
  <c r="B8" i="35"/>
  <c r="B9" i="35" s="1"/>
  <c r="B8" i="34"/>
  <c r="B9" i="34" s="1"/>
  <c r="B8" i="33" l="1"/>
  <c r="B9" i="33" s="1"/>
  <c r="B9" i="1" l="1"/>
  <c r="G4" i="32" l="1"/>
  <c r="B9" i="30" l="1"/>
  <c r="B10" i="30" s="1"/>
  <c r="B11" i="30" s="1"/>
  <c r="B12" i="30" s="1"/>
  <c r="B13" i="30" s="1"/>
  <c r="B14" i="30" s="1"/>
  <c r="B8" i="29" l="1"/>
  <c r="B9" i="29" s="1"/>
  <c r="B10" i="29" s="1"/>
  <c r="B11" i="29" s="1"/>
  <c r="B12" i="29" s="1"/>
  <c r="B9" i="31" l="1"/>
  <c r="B10" i="31" s="1"/>
  <c r="B11" i="31" s="1"/>
  <c r="B12" i="31" s="1"/>
  <c r="B13" i="31" s="1"/>
  <c r="B14" i="31" s="1"/>
  <c r="G4" i="31"/>
  <c r="G4" i="1" l="1"/>
  <c r="G3" i="2" l="1"/>
  <c r="B9" i="2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G4" i="21"/>
  <c r="D4" i="21"/>
  <c r="B9" i="20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G4" i="20"/>
  <c r="D4" i="20"/>
  <c r="B9" i="19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G4" i="19"/>
  <c r="D4" i="19"/>
  <c r="B9" i="18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G4" i="18"/>
  <c r="D4" i="18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G4" i="17"/>
  <c r="D4" i="17"/>
  <c r="B9" i="16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G4" i="16"/>
  <c r="D4" i="16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G4" i="15"/>
  <c r="D4" i="15"/>
  <c r="B9" i="13" l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9" i="10"/>
  <c r="B10" i="10" s="1"/>
  <c r="B11" i="10" s="1"/>
  <c r="B9" i="9"/>
  <c r="B10" i="9" s="1"/>
  <c r="B11" i="9" s="1"/>
  <c r="B12" i="9" s="1"/>
  <c r="B13" i="9" s="1"/>
  <c r="B14" i="9" s="1"/>
  <c r="B16" i="9" s="1"/>
  <c r="B18" i="9" s="1"/>
  <c r="B19" i="9" s="1"/>
  <c r="B25" i="9" s="1"/>
  <c r="B16" i="6"/>
  <c r="B17" i="6" s="1"/>
  <c r="B18" i="6" s="1"/>
  <c r="B19" i="6" s="1"/>
  <c r="B10" i="1"/>
  <c r="B11" i="1" s="1"/>
  <c r="B12" i="1" s="1"/>
  <c r="B13" i="1" s="1"/>
  <c r="B14" i="1" s="1"/>
  <c r="B15" i="1" s="1"/>
  <c r="B16" i="1" s="1"/>
  <c r="B17" i="1" s="1"/>
  <c r="G4" i="13" l="1"/>
  <c r="D4" i="13"/>
  <c r="G4" i="12"/>
  <c r="D4" i="12"/>
  <c r="G4" i="6"/>
</calcChain>
</file>

<file path=xl/sharedStrings.xml><?xml version="1.0" encoding="utf-8"?>
<sst xmlns="http://schemas.openxmlformats.org/spreadsheetml/2006/main" count="801" uniqueCount="208">
  <si>
    <t>FAIT?</t>
  </si>
  <si>
    <t>N°</t>
  </si>
  <si>
    <t>DESCRIPTION DES TACHES</t>
  </si>
  <si>
    <t>Durée</t>
  </si>
  <si>
    <t>OUI</t>
  </si>
  <si>
    <t>NON</t>
  </si>
  <si>
    <t>REMARQUES (MATERIEL + PIECES)</t>
  </si>
  <si>
    <t>Nom et Visa Intervenants</t>
  </si>
  <si>
    <t>Nom et Visa Responsables</t>
  </si>
  <si>
    <t xml:space="preserve">Line </t>
  </si>
  <si>
    <t>Frequency</t>
  </si>
  <si>
    <t>CHECKLIST  MECANIQUE</t>
  </si>
  <si>
    <t>Date</t>
  </si>
  <si>
    <t xml:space="preserve">Commentaire </t>
  </si>
  <si>
    <t>CHAINE 4</t>
  </si>
  <si>
    <t>HEBDOMADAIRE</t>
  </si>
  <si>
    <t>PALETTISEUR</t>
  </si>
  <si>
    <t>controler l'arret d'huile et le remplacé au besoin. Aucune fuite d'huile n'est acceptable.</t>
  </si>
  <si>
    <t>CONVOYEURS CASIERS C1</t>
  </si>
  <si>
    <t>controler la fixation du réducteur sur le convoyeur et corriger si necessaire.</t>
  </si>
  <si>
    <t>controler l'usure du pignon et le remplacé au besoin. Aucun glissement n'est acceptable.</t>
  </si>
  <si>
    <t>controler l'alignement et la fixation du pignon de  l'axe moteur et remedier au besoin.</t>
  </si>
  <si>
    <t>controler l'usure de la roue libre et la remplacée au besoin. Aucun glissement n'est acceptable.</t>
  </si>
  <si>
    <t>controler l'alignement et la fixation de la roue libre et remedier au problème.</t>
  </si>
  <si>
    <t>controler l'usure de la clavette et la rainure et reparer au besoin</t>
  </si>
  <si>
    <t>controler l'état des glissières et remplacer les au besoin</t>
  </si>
  <si>
    <t xml:space="preserve">controler l'usure des roulements et paliers de l'axe moteur et remplacer si necessaire. </t>
  </si>
  <si>
    <t>controler l'usure des pignons et les remplacés au besoin. Aucun glissement n'est acceptable.</t>
  </si>
  <si>
    <t>controler l'usure du tapis et remplacer les portions usées ou maillons cassés</t>
  </si>
  <si>
    <t>controler la tenson des tapis et ajuster au besoin</t>
  </si>
  <si>
    <t>vérifier la fixation des couvres chaines et bien les rangés au besoin</t>
  </si>
  <si>
    <t>CONVOYEURS CASIERS C2</t>
  </si>
  <si>
    <t>CONVOYEURS CASIERS C4</t>
  </si>
  <si>
    <t>CONVOYEURS CASIERS C3</t>
  </si>
  <si>
    <t>CONVOYEURS CASIERS C5</t>
  </si>
  <si>
    <t>CONVOYEURS CASIERS C6</t>
  </si>
  <si>
    <t>CONVOYEURS CASIERS C7</t>
  </si>
  <si>
    <t>CONVOYEURS CASIERS C8</t>
  </si>
  <si>
    <t xml:space="preserve">Date: </t>
  </si>
  <si>
    <t>Water Treatment Plant</t>
  </si>
  <si>
    <t>ULTRA FILTRATION</t>
  </si>
  <si>
    <t>OSMOSE INVERSE</t>
  </si>
  <si>
    <t>Vérifier le fonctionnement de l'agitateur du ROcleaning tank</t>
  </si>
  <si>
    <t xml:space="preserve">Inspecter les bruits anormales </t>
  </si>
  <si>
    <t>Vérifier les éventuelles bruits</t>
  </si>
  <si>
    <t>Vérifier le fonctionnement des pompes</t>
  </si>
  <si>
    <t>Nettoyer et étalonner l'ectrode de pH</t>
  </si>
  <si>
    <t>Vérifier le fonctionnement de l'agitateur du Lime milk tank</t>
  </si>
  <si>
    <t>ELIWA</t>
  </si>
  <si>
    <t>Nettoyages des armoires de protection pompes doseuses</t>
  </si>
  <si>
    <t xml:space="preserve">Contrôle du fonctionnement des pompes doseuses </t>
  </si>
  <si>
    <t>vérification des fuites sur les flexibles des produits chimiques</t>
  </si>
  <si>
    <t>Vérification des fuites sur les flexibles d'air</t>
  </si>
  <si>
    <t>Vérification des débimètres (salle de transfert)</t>
  </si>
  <si>
    <t>Vérification du fonctionnement des pompes (salle de transfert)</t>
  </si>
  <si>
    <t>Vérification du fonctionnement des Unité d'UV</t>
  </si>
  <si>
    <t>WTP</t>
  </si>
  <si>
    <t>MENSUELLE</t>
  </si>
  <si>
    <t>Contrôler le fonctionnement des manomètres</t>
  </si>
  <si>
    <t>Vérifier le fonctionnement  des transmetteurs de pression</t>
  </si>
  <si>
    <t>nettoyer le lime milk tank</t>
  </si>
  <si>
    <t>Vérifier et nettoyer le transmetteur de niveau lime milk tank</t>
  </si>
  <si>
    <t>Vérifier le fonctionnement de la vanne de régulation d'eau</t>
  </si>
  <si>
    <t>Vérifier le fonctionnement des vannes pneumatiques (BackWash)</t>
  </si>
  <si>
    <t>Vérifier les raccords d'injections (BackWash)</t>
  </si>
  <si>
    <t>Vérifier les clapet-antiretour  (BackWash)</t>
  </si>
  <si>
    <t>Contrôler le fonctionnement de l'élecltrovanne (BackWash)</t>
  </si>
  <si>
    <t>Vérifier le fonctionnement des vannes manuelles (BackWash)</t>
  </si>
  <si>
    <t>TRIMESTRIELLE</t>
  </si>
  <si>
    <t>Vérifier le fonctionnement des débimètres</t>
  </si>
  <si>
    <t>Nettoyer et étalonner l'électrode de conductivité</t>
  </si>
  <si>
    <t>Nettoyer et calibrer l'élelctrode de turbidité</t>
  </si>
  <si>
    <t>tester les convertiseurs de fréquences</t>
  </si>
  <si>
    <t>Vérifier le fonctionnement du débimètre (Back Wash)</t>
  </si>
  <si>
    <t>ANNUELLE</t>
  </si>
  <si>
    <t>Test d'intégrité des membranes</t>
  </si>
  <si>
    <t>Vérifier le fonctionnement du thermomètre</t>
  </si>
  <si>
    <t>FORAGES</t>
  </si>
  <si>
    <t>RESERVOIR INCENDIE</t>
  </si>
  <si>
    <t>CHECKLIST  MECANIQUE/ ELECTRIQUE</t>
  </si>
  <si>
    <t>CHECKLIST  MECANIQUE / ELECTRIQUE</t>
  </si>
  <si>
    <t>Vérifier  la vanne d'aération d'air</t>
  </si>
  <si>
    <t>Contrôler les fuites sur les flexibles d'air</t>
  </si>
  <si>
    <t>Contrôler des fuites sur les flexibles d'air</t>
  </si>
  <si>
    <t>Nettoyager chimique par recircultion</t>
  </si>
  <si>
    <t xml:space="preserve">Nettoyager chimique </t>
  </si>
  <si>
    <t xml:space="preserve">Serrer les couvercles des modules  de membranes </t>
  </si>
  <si>
    <t>Contrôler les raccords d'injection des produits</t>
  </si>
  <si>
    <t xml:space="preserve">Contrôler les distributeurs  d'airs </t>
  </si>
  <si>
    <t>Vérifier les vannes pneumatiques</t>
  </si>
  <si>
    <t>Vérifier les vannes manuelles</t>
  </si>
  <si>
    <t>Vérifier le bon fonctionnement des transmetteurs de pression</t>
  </si>
  <si>
    <t>Contrôler les distributeurs d'air</t>
  </si>
  <si>
    <t xml:space="preserve">Serrer les couvercles des modules à membranes </t>
  </si>
  <si>
    <t>Vérifier les vannes de régulations</t>
  </si>
  <si>
    <t>contrôler les vannes pneumatiques</t>
  </si>
  <si>
    <t>Contrôler les vannes manuelles</t>
  </si>
  <si>
    <t>vérifier les transmetteurs de pression</t>
  </si>
  <si>
    <t>Contrôler les manomètre (salle transfert)</t>
  </si>
  <si>
    <t>contrôler le  fonctionnement des pompes (Salles transfert)</t>
  </si>
  <si>
    <t>Graisser les pompes</t>
  </si>
  <si>
    <t>Contrôler les transmetteurs de pression (salle de transfert)</t>
  </si>
  <si>
    <t xml:space="preserve">Contrôler les vannes vannes manuelles(salle de transfert) </t>
  </si>
  <si>
    <t>Contrôler les vannes pneumatiques (salle de transfert)</t>
  </si>
  <si>
    <t xml:space="preserve">Vérifier les vannes de régulation CO2 </t>
  </si>
  <si>
    <t>Contrôler les distributeurs d'air (salle de transfert)</t>
  </si>
  <si>
    <t>Vérifier le fonctionnement de l'ozoneur</t>
  </si>
  <si>
    <t>Etalonner des électrode de mesures d'ozone</t>
  </si>
  <si>
    <t>vérifier le fonctionnement du générateur du ClO2</t>
  </si>
  <si>
    <t>Vérifier le fonctionnement des commutateurs de niveau</t>
  </si>
  <si>
    <t>Vérifier le fonctionnement du HMI</t>
  </si>
  <si>
    <t>Inspecter les fuites d'eau dans l'usine</t>
  </si>
  <si>
    <t>Nettoyer et calibrer  l'électrode de turbidité</t>
  </si>
  <si>
    <t>Nettoyer le fine filter</t>
  </si>
  <si>
    <t>Nettoyer le melangeur statique</t>
  </si>
  <si>
    <t>Vérifier le fonctionnement du débimètre</t>
  </si>
  <si>
    <t xml:space="preserve">Nettoyer et calibrer les électrodes de conductivité </t>
  </si>
  <si>
    <t>Nettoyer  le melengeur statique</t>
  </si>
  <si>
    <t>Nettoyer et calibrer les  éléctrodes de conductivité BW et DW</t>
  </si>
  <si>
    <t>Vérifier leses transmetteurs de niveau des tanks de conservation</t>
  </si>
  <si>
    <t>Nettoyer les melengeurs statiques</t>
  </si>
  <si>
    <t>vérifier les clapets anti-retour(salle de transfert)</t>
  </si>
  <si>
    <t>Nettoyer le filtre Raw water</t>
  </si>
  <si>
    <t>Inspecter et nettoyer le buffert tank</t>
  </si>
  <si>
    <t>Contrôler les débimètres mécaniques</t>
  </si>
  <si>
    <t>Vérifier le  fonctionnement de l'echangeur thermique</t>
  </si>
  <si>
    <t>Inspecter et nettoyer du lime tank</t>
  </si>
  <si>
    <t>Inspecter et nettoyer du Service tank</t>
  </si>
  <si>
    <t>Inspecter et nettoyer du permeat tank</t>
  </si>
  <si>
    <t>inspecter le tank d'ozone</t>
  </si>
  <si>
    <t>Etalonner les débimètres Mag</t>
  </si>
  <si>
    <t>soufler le forage DSD</t>
  </si>
  <si>
    <t>soufler le forage SIDEL</t>
  </si>
  <si>
    <t>soufler le forage INF</t>
  </si>
  <si>
    <t>soufler le forage PARKING</t>
  </si>
  <si>
    <t>Insepcter et nettoyer le  reservoir d'eau sous sol RIA</t>
  </si>
  <si>
    <t xml:space="preserve">Vidager et remplacer l'huile des pompes doseuses </t>
  </si>
  <si>
    <t>Inspecter les pièces critiques</t>
  </si>
  <si>
    <t>Vérifier le fonctionnement du générateur d'OZONE</t>
  </si>
  <si>
    <t>CHECKLIST  PREPARATION PRODUCTION MADIBA</t>
  </si>
  <si>
    <t>Vérifier le taux du Mn à UFout  et dans le Permeate tank</t>
  </si>
  <si>
    <t>Vérifier le fonctionnement de la pompe NaOH et Purger le circuit</t>
  </si>
  <si>
    <t>Vérifier l'arriver du CO2 et purger le circuit</t>
  </si>
  <si>
    <t>Vérifier le fonctionnement de la pompe lime water et purger le circuit</t>
  </si>
  <si>
    <t>Nettoyer la lamper UV</t>
  </si>
  <si>
    <t>Contrôler la les paramètres du lime water dans le tank</t>
  </si>
  <si>
    <t>Etalonner les pH-mètres ( EUWA et Labo) avec les mêmes solutions tampons</t>
  </si>
  <si>
    <t>Vérifier le stock et l'état des réactifs pour contrôles physicochimiques</t>
  </si>
  <si>
    <t>Purger la ligne de transfert d'eau madiba</t>
  </si>
  <si>
    <t>Vérifier les ecarts entre les 03 pH-mètres</t>
  </si>
  <si>
    <t>Consigner la valeur du pH à considèrer en ligne</t>
  </si>
  <si>
    <t>Vérifier le taux du ClO2 avant et après UV</t>
  </si>
  <si>
    <t>Contrôler le taux de O3  dans l'eau</t>
  </si>
  <si>
    <t>Vérifier le débit de transfert</t>
  </si>
  <si>
    <t>Vérifier le débit de CO2</t>
  </si>
  <si>
    <t>Vérifier le débit du lime water</t>
  </si>
  <si>
    <t>Contrôler les paramètres physicochimiques (pH,CE,TH,TAC)</t>
  </si>
  <si>
    <t>Communiquer les résultats obtenus dans le forum Whatsapp pour Madiba</t>
  </si>
  <si>
    <t>Heure début:</t>
  </si>
  <si>
    <t>Heure fin :</t>
  </si>
  <si>
    <t>Deposer un échantillon au labo et communiquer l'heure du dépôt dans le forum Whatsapp</t>
  </si>
  <si>
    <t>REMARQUES</t>
  </si>
  <si>
    <t>Nettoyer et étalonner les électrodes de pH et ClO2</t>
  </si>
  <si>
    <t>CHECKLIST  RECIRCULATION COMPLETE UF</t>
  </si>
  <si>
    <t>Arrêter l'unité UF et RO (MODE OFF°)</t>
  </si>
  <si>
    <t>Lancer le CC auto à la Soude (10min x 02)</t>
  </si>
  <si>
    <t>Ouvrir la vanne manuelle de purge UF</t>
  </si>
  <si>
    <t xml:space="preserve">Mettre le RO_Cleaning Tank à niveau (70 à 85%) et Lancer l'agitateur </t>
  </si>
  <si>
    <t>Préparer une solution d'acide (25Kg d'acide citrique + 50 L de H2SO4)</t>
  </si>
  <si>
    <t>Fermer toutes les vannes manuelles avant et après les boosters pumps</t>
  </si>
  <si>
    <t xml:space="preserve">Mettre les vannes pneumatiques UF et RO en mode Manuel </t>
  </si>
  <si>
    <t xml:space="preserve">Ouvrir les les vannes pneumatiques RO01Y05  et HE01Y03 </t>
  </si>
  <si>
    <t xml:space="preserve">Ouvrir la vanne manuelle de recirculation UF ( au dessus de RO) et fermer la vanne manuelle ROint </t>
  </si>
  <si>
    <t xml:space="preserve">Fermer la vanne de purge UF01H01 </t>
  </si>
  <si>
    <t>Ouvrir la vanne pneumatique UF01Y01 et la vanne manuelle basse pour recirculation UF</t>
  </si>
  <si>
    <t xml:space="preserve">Prendre l'index du débimetre UFint </t>
  </si>
  <si>
    <t>Ouvrir la vanne pneumatique  UF01YC09 en mode manuel (100%)</t>
  </si>
  <si>
    <t>Vérifier le pH de la solution acide [1,0-1,5]</t>
  </si>
  <si>
    <t>Fermer les vannes UF01Y01 et la vanne manuelle basse de la recirculation UF</t>
  </si>
  <si>
    <t>Ouvrir la vanne pneumatique UF01Y02 et la vanne manuelle haute de recirculation UF</t>
  </si>
  <si>
    <t xml:space="preserve">Lancer la pompe RO en mode manuel avec un régime de 35% au démarrage, puis ajuster le régime jusqu'à avoir débit constant [100 - 105 m3] à UFint  après [15-20min] arrêter la pompe en raméner son régime à 35% </t>
  </si>
  <si>
    <t>Arrêter l'agitateur du RO Cleaning Tank et ouvrir la vanne de purge du tank</t>
  </si>
  <si>
    <t>Ouvrir les vannes avant et après boosters pumps et laisser l'eau circuler dans chaque sens au moins pendant 05 min</t>
  </si>
  <si>
    <t xml:space="preserve">Remettre toutes les vannes de UF en position normale de filtration et lancer 02 bacckashs manuel de UF </t>
  </si>
  <si>
    <t xml:space="preserve">Préparer une solution désinfectante (100l d'hypochlorite de sodium 12%) </t>
  </si>
  <si>
    <t xml:space="preserve">Mettre à nouveau le RO Cleaning Tank à nivea [70-85%)  et lancer l'agitateur </t>
  </si>
  <si>
    <t>Femer les vannes avant et après les booster pumps</t>
  </si>
  <si>
    <t xml:space="preserve">Vérifier le pH et la CE de la solution désinfectante </t>
  </si>
  <si>
    <t>Repprendre les étapes 12 à 20 ( mais faites une recirculation de 05min x 2 et un soaking de 05min)</t>
  </si>
  <si>
    <t xml:space="preserve">Remettre toutes les vannes en postion de filtration normale, prendre l'index du compteur UF int revenir au mode automatiques à UF et RO et lancer la filtration </t>
  </si>
  <si>
    <t>Vérifier la mise en service de UF</t>
  </si>
  <si>
    <t>Vérifier la mise en service de RO</t>
  </si>
  <si>
    <t>Vérifier la mise en service d'ELIWA</t>
  </si>
  <si>
    <t>Vérifier les paramètres de remplissage des tanks (Serv, Permeate, Lime water, Rocleaning, Lime milk)</t>
  </si>
  <si>
    <t>Vérifier la disponibilité des Matières Premières ( Ca(OH)2, Acide citrique, KMnO4)</t>
  </si>
  <si>
    <t>Vérifier le fonctionnement des pompes doseuses</t>
  </si>
  <si>
    <t>Vérifier les  niveaux des tanks ( KMnO4,Epi Guard,  H2SO4, HCl, NaOH, NaOCl, ClO2)</t>
  </si>
  <si>
    <t>Vérifier la disponibilité des fiches de suivis productions WTP</t>
  </si>
  <si>
    <t>Vérifier la disponibilité des réactifs et kits pour contrôles physicochimiques</t>
  </si>
  <si>
    <t>Effectuer la lectures des rapports précedents</t>
  </si>
  <si>
    <t>Vérifier l'envoi éffective des rapport via mail</t>
  </si>
  <si>
    <t>Vérifier la mise à jour du tableau 5S</t>
  </si>
  <si>
    <t>06h-14h</t>
  </si>
  <si>
    <t>14h-22h</t>
  </si>
  <si>
    <t>22h-06</t>
  </si>
  <si>
    <t>Vérifier le remplissage des fiches de suivis  production du quart précedent</t>
  </si>
  <si>
    <t>Vérifier l'état des forages ( cages de protection, proprété, accès...)</t>
  </si>
  <si>
    <t>Checklist prise de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</si>
</sst>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.0%"/>
    <numFmt numFmtId="166" formatCode="_(* #,##0.00_);_(* \(#,##0.00\);_(* &quot;-&quot;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0"/>
      <color indexed="8"/>
      <name val="Arial"/>
      <family val="2"/>
    </font>
    <font>
      <sz val="20"/>
      <color theme="1"/>
      <name val="Calibri"/>
      <family val="2"/>
      <scheme val="minor"/>
    </font>
    <font>
      <b/>
      <i/>
      <sz val="18"/>
      <color theme="1"/>
      <name val="Arial"/>
      <family val="2"/>
    </font>
    <font>
      <sz val="12"/>
      <color theme="1"/>
      <name val="Times New Roman"/>
      <family val="1"/>
    </font>
    <font>
      <sz val="12"/>
      <color theme="1"/>
      <name val="Arial Unicode MS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color rgb="FF000000"/>
      <name val="ArialUnicodeMS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theme="1"/>
      <name val="Rockwel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8"/>
      <color theme="0"/>
      <name val="Arial"/>
      <family val="2"/>
    </font>
    <font>
      <sz val="12"/>
      <name val="Times New Roman"/>
      <family val="1"/>
    </font>
    <font>
      <sz val="14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6">
    <xf numFmtId="0" fontId="0" fillId="0" borderId="0"/>
    <xf numFmtId="0" fontId="16" fillId="0" borderId="0"/>
    <xf numFmtId="0" fontId="21" fillId="0" borderId="0"/>
    <xf numFmtId="0" fontId="24" fillId="0" borderId="0" applyNumberFormat="0" applyFill="0" applyBorder="0" applyAlignment="0" applyProtection="0"/>
    <xf numFmtId="0" fontId="1" fillId="0" borderId="0"/>
    <xf numFmtId="0" fontId="21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9" fontId="26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" fillId="2" borderId="0" xfId="0" applyFont="1" applyFill="1" applyProtection="1">
      <protection locked="0"/>
    </xf>
    <xf numFmtId="0" fontId="5" fillId="2" borderId="0" xfId="0" applyFont="1" applyFill="1" applyBorder="1" applyAlignment="1" applyProtection="1">
      <alignment horizontal="left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Protection="1"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6" fillId="2" borderId="17" xfId="0" applyFont="1" applyFill="1" applyBorder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0" fontId="7" fillId="2" borderId="17" xfId="0" applyFont="1" applyFill="1" applyBorder="1" applyProtection="1">
      <protection locked="0"/>
    </xf>
    <xf numFmtId="0" fontId="6" fillId="2" borderId="25" xfId="0" applyFont="1" applyFill="1" applyBorder="1" applyProtection="1">
      <protection locked="0"/>
    </xf>
    <xf numFmtId="0" fontId="6" fillId="2" borderId="23" xfId="0" applyFont="1" applyFill="1" applyBorder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4" borderId="0" xfId="0" applyFill="1"/>
    <xf numFmtId="0" fontId="9" fillId="2" borderId="6" xfId="0" applyFont="1" applyFill="1" applyBorder="1" applyAlignment="1" applyProtection="1">
      <alignment vertical="center"/>
      <protection locked="0"/>
    </xf>
    <xf numFmtId="0" fontId="10" fillId="2" borderId="7" xfId="0" applyFont="1" applyFill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1" fillId="2" borderId="31" xfId="0" applyFont="1" applyFill="1" applyBorder="1" applyAlignment="1">
      <alignment horizontal="left" vertical="center" wrapText="1"/>
    </xf>
    <xf numFmtId="0" fontId="6" fillId="2" borderId="32" xfId="0" applyFont="1" applyFill="1" applyBorder="1" applyProtection="1">
      <protection locked="0"/>
    </xf>
    <xf numFmtId="0" fontId="6" fillId="2" borderId="30" xfId="0" applyFont="1" applyFill="1" applyBorder="1" applyAlignment="1" applyProtection="1">
      <alignment vertical="center"/>
      <protection locked="0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19" xfId="0" applyFont="1" applyFill="1" applyBorder="1" applyAlignment="1" applyProtection="1">
      <alignment horizontal="center" vertical="center"/>
      <protection hidden="1"/>
    </xf>
    <xf numFmtId="0" fontId="7" fillId="2" borderId="21" xfId="0" applyFont="1" applyFill="1" applyBorder="1" applyAlignment="1" applyProtection="1">
      <alignment horizontal="center" vertical="center"/>
      <protection hidden="1"/>
    </xf>
    <xf numFmtId="0" fontId="12" fillId="3" borderId="12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 applyProtection="1">
      <alignment horizontal="center" vertical="center"/>
      <protection locked="0"/>
    </xf>
    <xf numFmtId="0" fontId="13" fillId="3" borderId="10" xfId="0" applyFont="1" applyFill="1" applyBorder="1" applyAlignment="1" applyProtection="1">
      <alignment horizontal="center" vertical="center"/>
      <protection locked="0"/>
    </xf>
    <xf numFmtId="0" fontId="13" fillId="3" borderId="6" xfId="0" applyFont="1" applyFill="1" applyBorder="1" applyAlignment="1" applyProtection="1">
      <alignment horizontal="center" vertical="center"/>
      <protection locked="0"/>
    </xf>
    <xf numFmtId="0" fontId="13" fillId="3" borderId="7" xfId="0" applyFont="1" applyFill="1" applyBorder="1" applyAlignment="1" applyProtection="1">
      <alignment horizontal="center" vertical="center" wrapText="1"/>
      <protection locked="0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0" fillId="2" borderId="5" xfId="0" applyFont="1" applyFill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7" fillId="2" borderId="33" xfId="0" applyFont="1" applyFill="1" applyBorder="1" applyAlignment="1" applyProtection="1">
      <alignment horizontal="left" vertical="center"/>
      <protection locked="0"/>
    </xf>
    <xf numFmtId="0" fontId="7" fillId="2" borderId="16" xfId="0" applyFont="1" applyFill="1" applyBorder="1" applyAlignment="1" applyProtection="1">
      <alignment horizontal="left" vertical="center"/>
      <protection locked="0"/>
    </xf>
    <xf numFmtId="0" fontId="8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24" xfId="0" applyFont="1" applyFill="1" applyBorder="1" applyAlignment="1" applyProtection="1">
      <alignment horizontal="left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1" fillId="2" borderId="14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left" vertical="center" wrapText="1"/>
    </xf>
    <xf numFmtId="0" fontId="7" fillId="2" borderId="37" xfId="0" applyFont="1" applyFill="1" applyBorder="1" applyAlignment="1" applyProtection="1">
      <alignment horizontal="center" vertical="center"/>
      <protection hidden="1"/>
    </xf>
    <xf numFmtId="0" fontId="6" fillId="2" borderId="38" xfId="0" applyFont="1" applyFill="1" applyBorder="1" applyProtection="1">
      <protection locked="0"/>
    </xf>
    <xf numFmtId="0" fontId="6" fillId="2" borderId="39" xfId="0" applyFont="1" applyFill="1" applyBorder="1" applyAlignment="1" applyProtection="1">
      <alignment vertical="center"/>
      <protection locked="0"/>
    </xf>
    <xf numFmtId="0" fontId="7" fillId="2" borderId="40" xfId="0" applyFont="1" applyFill="1" applyBorder="1" applyAlignment="1" applyProtection="1">
      <alignment horizontal="left" vertical="center"/>
      <protection locked="0"/>
    </xf>
    <xf numFmtId="164" fontId="17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7" fillId="2" borderId="32" xfId="0" applyFont="1" applyFill="1" applyBorder="1" applyAlignment="1" applyProtection="1">
      <alignment horizontal="center" vertical="center"/>
      <protection hidden="1"/>
    </xf>
    <xf numFmtId="164" fontId="22" fillId="0" borderId="41" xfId="2" applyNumberFormat="1" applyFont="1" applyBorder="1" applyAlignment="1" applyProtection="1">
      <alignment vertical="center" wrapText="1"/>
      <protection locked="0"/>
    </xf>
    <xf numFmtId="164" fontId="22" fillId="0" borderId="38" xfId="2" applyNumberFormat="1" applyFont="1" applyBorder="1" applyAlignment="1" applyProtection="1">
      <alignment vertical="center" wrapText="1"/>
      <protection locked="0"/>
    </xf>
    <xf numFmtId="0" fontId="23" fillId="0" borderId="20" xfId="0" applyFont="1" applyBorder="1" applyAlignment="1">
      <alignment vertical="center" wrapText="1"/>
    </xf>
    <xf numFmtId="164" fontId="22" fillId="0" borderId="20" xfId="2" applyNumberFormat="1" applyFont="1" applyBorder="1" applyAlignment="1" applyProtection="1">
      <alignment horizontal="center" vertical="center" wrapText="1"/>
      <protection locked="0"/>
    </xf>
    <xf numFmtId="0" fontId="9" fillId="2" borderId="20" xfId="0" applyFont="1" applyFill="1" applyBorder="1" applyAlignment="1" applyProtection="1">
      <alignment vertical="center"/>
      <protection locked="0"/>
    </xf>
    <xf numFmtId="0" fontId="10" fillId="2" borderId="20" xfId="0" applyFont="1" applyFill="1" applyBorder="1" applyAlignment="1" applyProtection="1">
      <alignment horizontal="center" vertical="center"/>
      <protection locked="0"/>
    </xf>
    <xf numFmtId="0" fontId="15" fillId="2" borderId="20" xfId="0" applyFont="1" applyFill="1" applyBorder="1" applyAlignment="1" applyProtection="1">
      <alignment horizontal="center" vertical="center"/>
      <protection locked="0"/>
    </xf>
    <xf numFmtId="0" fontId="5" fillId="2" borderId="20" xfId="0" applyFont="1" applyFill="1" applyBorder="1" applyAlignment="1" applyProtection="1">
      <alignment horizontal="left"/>
      <protection locked="0"/>
    </xf>
    <xf numFmtId="0" fontId="2" fillId="2" borderId="20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Protection="1">
      <protection locked="0"/>
    </xf>
    <xf numFmtId="0" fontId="13" fillId="3" borderId="20" xfId="0" applyFont="1" applyFill="1" applyBorder="1" applyAlignment="1" applyProtection="1">
      <alignment horizontal="center" vertical="center"/>
      <protection locked="0"/>
    </xf>
    <xf numFmtId="0" fontId="14" fillId="3" borderId="20" xfId="0" applyFont="1" applyFill="1" applyBorder="1" applyAlignment="1" applyProtection="1">
      <alignment horizontal="center" vertical="center"/>
      <protection locked="0"/>
    </xf>
    <xf numFmtId="0" fontId="13" fillId="3" borderId="20" xfId="0" applyFont="1" applyFill="1" applyBorder="1" applyAlignment="1" applyProtection="1">
      <alignment horizontal="center" vertical="center" wrapText="1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hidden="1"/>
    </xf>
    <xf numFmtId="0" fontId="6" fillId="2" borderId="20" xfId="0" applyFont="1" applyFill="1" applyBorder="1" applyProtection="1">
      <protection locked="0"/>
    </xf>
    <xf numFmtId="0" fontId="6" fillId="2" borderId="20" xfId="0" applyFont="1" applyFill="1" applyBorder="1" applyAlignment="1" applyProtection="1">
      <alignment vertical="center"/>
      <protection locked="0"/>
    </xf>
    <xf numFmtId="0" fontId="7" fillId="2" borderId="20" xfId="0" applyFont="1" applyFill="1" applyBorder="1" applyAlignment="1" applyProtection="1">
      <alignment horizontal="left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hidden="1"/>
    </xf>
    <xf numFmtId="0" fontId="20" fillId="2" borderId="20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 applyProtection="1">
      <alignment horizontal="center" vertical="center"/>
      <protection locked="0"/>
    </xf>
    <xf numFmtId="0" fontId="19" fillId="0" borderId="20" xfId="0" applyFont="1" applyBorder="1" applyAlignment="1">
      <alignment vertical="center" wrapText="1"/>
    </xf>
    <xf numFmtId="164" fontId="22" fillId="0" borderId="36" xfId="2" applyNumberFormat="1" applyFont="1" applyBorder="1" applyAlignment="1" applyProtection="1">
      <alignment horizontal="left" vertical="center" wrapText="1"/>
      <protection locked="0"/>
    </xf>
    <xf numFmtId="0" fontId="13" fillId="3" borderId="42" xfId="0" applyFont="1" applyFill="1" applyBorder="1" applyAlignment="1" applyProtection="1">
      <alignment horizontal="center" vertical="center"/>
      <protection locked="0"/>
    </xf>
    <xf numFmtId="0" fontId="13" fillId="3" borderId="43" xfId="0" applyFont="1" applyFill="1" applyBorder="1" applyAlignment="1" applyProtection="1">
      <alignment horizontal="center" vertical="center"/>
      <protection locked="0"/>
    </xf>
    <xf numFmtId="0" fontId="13" fillId="3" borderId="44" xfId="0" applyFont="1" applyFill="1" applyBorder="1" applyAlignment="1" applyProtection="1">
      <alignment horizontal="center" vertical="center"/>
      <protection locked="0"/>
    </xf>
    <xf numFmtId="0" fontId="14" fillId="3" borderId="26" xfId="0" applyFont="1" applyFill="1" applyBorder="1" applyAlignment="1" applyProtection="1">
      <alignment horizontal="center" vertical="center"/>
      <protection locked="0"/>
    </xf>
    <xf numFmtId="0" fontId="14" fillId="3" borderId="45" xfId="0" applyFont="1" applyFill="1" applyBorder="1" applyAlignment="1" applyProtection="1">
      <alignment horizontal="center" vertical="center"/>
      <protection locked="0"/>
    </xf>
    <xf numFmtId="0" fontId="13" fillId="3" borderId="46" xfId="0" applyFont="1" applyFill="1" applyBorder="1" applyAlignment="1" applyProtection="1">
      <alignment horizontal="center" vertical="center" wrapText="1"/>
      <protection locked="0"/>
    </xf>
    <xf numFmtId="164" fontId="22" fillId="0" borderId="20" xfId="2" applyNumberFormat="1" applyFont="1" applyBorder="1" applyAlignment="1" applyProtection="1">
      <alignment horizontal="left" vertical="center" wrapText="1"/>
      <protection locked="0"/>
    </xf>
    <xf numFmtId="0" fontId="15" fillId="2" borderId="20" xfId="0" applyFont="1" applyFill="1" applyBorder="1" applyAlignment="1" applyProtection="1">
      <alignment horizontal="center" vertical="center"/>
      <protection locked="0"/>
    </xf>
    <xf numFmtId="0" fontId="12" fillId="3" borderId="20" xfId="0" applyFont="1" applyFill="1" applyBorder="1" applyAlignment="1" applyProtection="1">
      <alignment horizontal="center" vertical="center"/>
      <protection locked="0"/>
    </xf>
    <xf numFmtId="0" fontId="12" fillId="3" borderId="20" xfId="0" applyFont="1" applyFill="1" applyBorder="1" applyAlignment="1" applyProtection="1">
      <alignment horizontal="center" vertical="center"/>
      <protection locked="0"/>
    </xf>
    <xf numFmtId="0" fontId="27" fillId="0" borderId="6" xfId="1" applyFont="1" applyBorder="1" applyAlignment="1">
      <alignment horizontal="left" vertical="center" wrapText="1"/>
    </xf>
    <xf numFmtId="0" fontId="28" fillId="0" borderId="20" xfId="0" applyFont="1" applyBorder="1"/>
    <xf numFmtId="0" fontId="27" fillId="0" borderId="8" xfId="1" applyFont="1" applyBorder="1" applyAlignment="1">
      <alignment horizontal="left" vertical="center" wrapText="1"/>
    </xf>
    <xf numFmtId="0" fontId="27" fillId="0" borderId="47" xfId="1" applyFont="1" applyFill="1" applyBorder="1" applyAlignment="1">
      <alignment horizontal="left" vertical="center" wrapText="1"/>
    </xf>
    <xf numFmtId="0" fontId="6" fillId="2" borderId="49" xfId="0" applyFont="1" applyFill="1" applyBorder="1" applyAlignment="1" applyProtection="1">
      <alignment vertical="center"/>
      <protection locked="0"/>
    </xf>
    <xf numFmtId="0" fontId="7" fillId="2" borderId="48" xfId="0" applyFont="1" applyFill="1" applyBorder="1" applyAlignment="1" applyProtection="1">
      <alignment horizontal="left" vertical="center"/>
      <protection locked="0"/>
    </xf>
    <xf numFmtId="0" fontId="27" fillId="0" borderId="47" xfId="1" applyFont="1" applyBorder="1" applyAlignment="1">
      <alignment horizontal="left" vertical="center" wrapText="1"/>
    </xf>
    <xf numFmtId="0" fontId="12" fillId="3" borderId="45" xfId="0" applyFont="1" applyFill="1" applyBorder="1" applyAlignment="1" applyProtection="1">
      <alignment horizontal="center" vertical="center"/>
      <protection locked="0"/>
    </xf>
    <xf numFmtId="0" fontId="27" fillId="0" borderId="20" xfId="1" applyFont="1" applyFill="1" applyBorder="1" applyAlignment="1">
      <alignment horizontal="left" vertical="center" wrapText="1"/>
    </xf>
    <xf numFmtId="0" fontId="0" fillId="0" borderId="20" xfId="0" applyBorder="1"/>
    <xf numFmtId="0" fontId="27" fillId="0" borderId="20" xfId="1" applyFont="1" applyBorder="1" applyAlignment="1">
      <alignment horizontal="left" vertical="center" wrapText="1"/>
    </xf>
    <xf numFmtId="0" fontId="15" fillId="2" borderId="1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 applyBorder="1" applyAlignment="1" applyProtection="1">
      <alignment horizontal="left" vertical="top"/>
      <protection locked="0"/>
    </xf>
    <xf numFmtId="0" fontId="27" fillId="0" borderId="47" xfId="25" applyFont="1" applyFill="1" applyBorder="1" applyAlignment="1">
      <alignment horizontal="left" vertical="center" wrapText="1"/>
    </xf>
    <xf numFmtId="0" fontId="30" fillId="0" borderId="47" xfId="1" applyFont="1" applyFill="1" applyBorder="1" applyAlignment="1">
      <alignment horizontal="left" vertical="center" wrapText="1"/>
    </xf>
    <xf numFmtId="0" fontId="30" fillId="0" borderId="20" xfId="1" applyFont="1" applyFill="1" applyBorder="1" applyAlignment="1">
      <alignment horizontal="left" vertical="center" wrapText="1"/>
    </xf>
    <xf numFmtId="0" fontId="7" fillId="2" borderId="18" xfId="0" applyFont="1" applyFill="1" applyBorder="1" applyAlignment="1" applyProtection="1">
      <alignment horizontal="left" vertical="center"/>
      <protection locked="0"/>
    </xf>
    <xf numFmtId="0" fontId="1" fillId="2" borderId="2" xfId="0" applyFont="1" applyFill="1" applyBorder="1" applyProtection="1">
      <protection locked="0"/>
    </xf>
    <xf numFmtId="0" fontId="9" fillId="2" borderId="44" xfId="0" applyFont="1" applyFill="1" applyBorder="1" applyAlignment="1" applyProtection="1">
      <alignment vertical="center"/>
      <protection locked="0"/>
    </xf>
    <xf numFmtId="0" fontId="10" fillId="2" borderId="46" xfId="0" applyFont="1" applyFill="1" applyBorder="1" applyAlignment="1" applyProtection="1">
      <alignment horizontal="left" vertical="center"/>
      <protection locked="0"/>
    </xf>
    <xf numFmtId="0" fontId="15" fillId="2" borderId="29" xfId="0" applyFont="1" applyFill="1" applyBorder="1" applyAlignment="1" applyProtection="1">
      <alignment horizontal="center" vertical="top"/>
      <protection locked="0"/>
    </xf>
    <xf numFmtId="0" fontId="31" fillId="0" borderId="47" xfId="1" applyFont="1" applyFill="1" applyBorder="1" applyAlignment="1">
      <alignment horizontal="left" vertical="center" wrapText="1"/>
    </xf>
    <xf numFmtId="0" fontId="1" fillId="2" borderId="30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locked="0"/>
    </xf>
    <xf numFmtId="0" fontId="29" fillId="5" borderId="2" xfId="0" applyFont="1" applyFill="1" applyBorder="1" applyAlignment="1" applyProtection="1">
      <alignment horizontal="center" vertical="center"/>
      <protection locked="0"/>
    </xf>
    <xf numFmtId="0" fontId="29" fillId="5" borderId="3" xfId="0" applyFont="1" applyFill="1" applyBorder="1" applyAlignment="1" applyProtection="1">
      <alignment horizontal="center" vertical="center"/>
      <protection locked="0"/>
    </xf>
    <xf numFmtId="0" fontId="29" fillId="5" borderId="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2" fillId="2" borderId="6" xfId="0" applyFont="1" applyFill="1" applyBorder="1" applyAlignment="1" applyProtection="1">
      <alignment horizontal="center" vertical="center"/>
      <protection locked="0"/>
    </xf>
    <xf numFmtId="0" fontId="12" fillId="2" borderId="7" xfId="0" applyFont="1" applyFill="1" applyBorder="1" applyAlignment="1" applyProtection="1">
      <alignment horizontal="center" vertic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2" fillId="3" borderId="27" xfId="0" applyFont="1" applyFill="1" applyBorder="1" applyAlignment="1" applyProtection="1">
      <alignment horizontal="center" vertical="center"/>
      <protection locked="0"/>
    </xf>
    <xf numFmtId="0" fontId="12" fillId="3" borderId="54" xfId="0" applyFont="1" applyFill="1" applyBorder="1" applyAlignment="1" applyProtection="1">
      <alignment horizontal="center" vertical="center" wrapText="1"/>
      <protection locked="0"/>
    </xf>
    <xf numFmtId="0" fontId="12" fillId="3" borderId="55" xfId="0" applyFont="1" applyFill="1" applyBorder="1" applyAlignment="1" applyProtection="1">
      <alignment horizontal="center" vertical="center" wrapText="1"/>
      <protection locked="0"/>
    </xf>
    <xf numFmtId="0" fontId="12" fillId="3" borderId="53" xfId="0" applyFont="1" applyFill="1" applyBorder="1" applyAlignment="1" applyProtection="1">
      <alignment horizontal="center" vertical="center" wrapText="1"/>
      <protection locked="0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2" borderId="29" xfId="0" applyFont="1" applyFill="1" applyBorder="1" applyAlignment="1" applyProtection="1">
      <alignment horizontal="center"/>
      <protection locked="0"/>
    </xf>
    <xf numFmtId="0" fontId="1" fillId="2" borderId="19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center"/>
      <protection locked="0"/>
    </xf>
    <xf numFmtId="0" fontId="1" fillId="2" borderId="21" xfId="0" applyFont="1" applyFill="1" applyBorder="1" applyAlignment="1" applyProtection="1">
      <alignment horizontal="center"/>
      <protection locked="0"/>
    </xf>
    <xf numFmtId="0" fontId="1" fillId="2" borderId="22" xfId="0" applyFont="1" applyFill="1" applyBorder="1" applyAlignment="1" applyProtection="1">
      <alignment horizontal="center"/>
      <protection locked="0"/>
    </xf>
    <xf numFmtId="0" fontId="12" fillId="3" borderId="44" xfId="0" applyFont="1" applyFill="1" applyBorder="1" applyAlignment="1" applyProtection="1">
      <alignment horizontal="center" vertical="center" wrapText="1"/>
      <protection locked="0"/>
    </xf>
    <xf numFmtId="0" fontId="15" fillId="2" borderId="29" xfId="0" applyFont="1" applyFill="1" applyBorder="1" applyAlignment="1" applyProtection="1">
      <alignment horizontal="center" vertical="top"/>
      <protection locked="0"/>
    </xf>
    <xf numFmtId="0" fontId="29" fillId="5" borderId="20" xfId="0" applyFont="1" applyFill="1" applyBorder="1" applyAlignment="1" applyProtection="1">
      <alignment horizontal="center" vertical="center"/>
      <protection locked="0"/>
    </xf>
    <xf numFmtId="0" fontId="13" fillId="2" borderId="29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2" fillId="3" borderId="54" xfId="0" applyFont="1" applyFill="1" applyBorder="1" applyAlignment="1" applyProtection="1">
      <alignment horizontal="center" vertical="center"/>
      <protection locked="0"/>
    </xf>
    <xf numFmtId="0" fontId="1" fillId="2" borderId="49" xfId="0" applyFont="1" applyFill="1" applyBorder="1" applyAlignment="1" applyProtection="1">
      <alignment horizontal="center"/>
      <protection locked="0"/>
    </xf>
    <xf numFmtId="0" fontId="1" fillId="2" borderId="47" xfId="0" applyFont="1" applyFill="1" applyBorder="1" applyAlignment="1" applyProtection="1">
      <alignment horizontal="center"/>
      <protection locked="0"/>
    </xf>
    <xf numFmtId="0" fontId="1" fillId="2" borderId="56" xfId="0" applyFont="1" applyFill="1" applyBorder="1" applyAlignment="1" applyProtection="1">
      <alignment horizontal="center"/>
      <protection locked="0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3" borderId="20" xfId="0" applyFont="1" applyFill="1" applyBorder="1" applyAlignment="1" applyProtection="1">
      <alignment horizontal="center" vertical="center"/>
      <protection locked="0"/>
    </xf>
    <xf numFmtId="0" fontId="12" fillId="3" borderId="20" xfId="0" applyFont="1" applyFill="1" applyBorder="1" applyAlignment="1" applyProtection="1">
      <alignment horizontal="center" vertical="center" wrapText="1"/>
      <protection locked="0"/>
    </xf>
    <xf numFmtId="0" fontId="3" fillId="5" borderId="20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 wrapText="1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35" xfId="0" applyFont="1" applyFill="1" applyBorder="1" applyAlignment="1" applyProtection="1">
      <alignment horizontal="center" vertical="center" wrapText="1"/>
      <protection locked="0"/>
    </xf>
    <xf numFmtId="0" fontId="12" fillId="3" borderId="31" xfId="0" applyFont="1" applyFill="1" applyBorder="1" applyAlignment="1" applyProtection="1">
      <alignment horizontal="center" vertical="center"/>
      <protection locked="0"/>
    </xf>
    <xf numFmtId="0" fontId="12" fillId="3" borderId="25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50" xfId="0" applyFont="1" applyFill="1" applyBorder="1" applyAlignment="1" applyProtection="1">
      <alignment horizontal="center"/>
      <protection locked="0"/>
    </xf>
    <xf numFmtId="0" fontId="1" fillId="2" borderId="51" xfId="0" applyFont="1" applyFill="1" applyBorder="1" applyAlignment="1" applyProtection="1">
      <alignment horizontal="center"/>
      <protection locked="0"/>
    </xf>
    <xf numFmtId="0" fontId="1" fillId="2" borderId="52" xfId="0" applyFont="1" applyFill="1" applyBorder="1" applyAlignment="1" applyProtection="1">
      <alignment horizontal="center"/>
      <protection locked="0"/>
    </xf>
    <xf numFmtId="0" fontId="1" fillId="2" borderId="44" xfId="0" applyFont="1" applyFill="1" applyBorder="1" applyAlignment="1" applyProtection="1">
      <alignment horizontal="center"/>
      <protection locked="0"/>
    </xf>
    <xf numFmtId="0" fontId="1" fillId="2" borderId="53" xfId="0" applyFont="1" applyFill="1" applyBorder="1" applyAlignment="1" applyProtection="1">
      <alignment horizontal="center"/>
      <protection locked="0"/>
    </xf>
    <xf numFmtId="0" fontId="3" fillId="5" borderId="47" xfId="0" applyFont="1" applyFill="1" applyBorder="1" applyAlignment="1" applyProtection="1">
      <alignment horizontal="center" vertical="center"/>
      <protection locked="0"/>
    </xf>
    <xf numFmtId="0" fontId="15" fillId="2" borderId="6" xfId="0" applyFont="1" applyFill="1" applyBorder="1" applyAlignment="1" applyProtection="1">
      <alignment horizontal="center" vertical="center"/>
      <protection locked="0"/>
    </xf>
    <xf numFmtId="0" fontId="15" fillId="2" borderId="8" xfId="0" applyFont="1" applyFill="1" applyBorder="1" applyAlignment="1" applyProtection="1">
      <alignment horizontal="center" vertical="center"/>
      <protection locked="0"/>
    </xf>
  </cellXfs>
  <cellStyles count="26">
    <cellStyle name="Comma 2" xfId="16" xr:uid="{00000000-0005-0000-0000-000000000000}"/>
    <cellStyle name="Hyperlink 3" xfId="6" xr:uid="{00000000-0005-0000-0000-000001000000}"/>
    <cellStyle name="Hyperlink 5" xfId="3" xr:uid="{00000000-0005-0000-0000-000002000000}"/>
    <cellStyle name="Milliers 3" xfId="17" xr:uid="{00000000-0005-0000-0000-000003000000}"/>
    <cellStyle name="Milliers 3 2" xfId="18" xr:uid="{00000000-0005-0000-0000-000004000000}"/>
    <cellStyle name="Normal" xfId="0" builtinId="0"/>
    <cellStyle name="Normal 2" xfId="5" xr:uid="{00000000-0005-0000-0000-000006000000}"/>
    <cellStyle name="Normal 2 2" xfId="2" xr:uid="{00000000-0005-0000-0000-000007000000}"/>
    <cellStyle name="Normal 21" xfId="7" xr:uid="{00000000-0005-0000-0000-000008000000}"/>
    <cellStyle name="Normal 22 12" xfId="8" xr:uid="{00000000-0005-0000-0000-000009000000}"/>
    <cellStyle name="Normal 23" xfId="9" xr:uid="{00000000-0005-0000-0000-00000A000000}"/>
    <cellStyle name="Normal 24 12" xfId="10" xr:uid="{00000000-0005-0000-0000-00000B000000}"/>
    <cellStyle name="Normal 29" xfId="11" xr:uid="{00000000-0005-0000-0000-00000C000000}"/>
    <cellStyle name="Normal 3" xfId="1" xr:uid="{00000000-0005-0000-0000-00000D000000}"/>
    <cellStyle name="Normal 3 2" xfId="14" xr:uid="{00000000-0005-0000-0000-00000E000000}"/>
    <cellStyle name="Normal 3 3" xfId="25" xr:uid="{00000000-0005-0000-0000-00000F000000}"/>
    <cellStyle name="Normal 31" xfId="4" xr:uid="{00000000-0005-0000-0000-000010000000}"/>
    <cellStyle name="Normal 32" xfId="12" xr:uid="{00000000-0005-0000-0000-000011000000}"/>
    <cellStyle name="Normal 33" xfId="13" xr:uid="{00000000-0005-0000-0000-000012000000}"/>
    <cellStyle name="Normal 4" xfId="19" xr:uid="{00000000-0005-0000-0000-000013000000}"/>
    <cellStyle name="Normal 5" xfId="20" xr:uid="{00000000-0005-0000-0000-000014000000}"/>
    <cellStyle name="Normal 6" xfId="21" xr:uid="{00000000-0005-0000-0000-000015000000}"/>
    <cellStyle name="Normal 7" xfId="22" xr:uid="{00000000-0005-0000-0000-000016000000}"/>
    <cellStyle name="Pourcentage 2" xfId="15" xr:uid="{00000000-0005-0000-0000-000017000000}"/>
    <cellStyle name="Pourcentage 3" xfId="23" xr:uid="{00000000-0005-0000-0000-000018000000}"/>
    <cellStyle name="Pourcentage 4" xfId="24" xr:uid="{00000000-0005-0000-0000-000019000000}"/>
  </cellStyles>
  <dxfs count="66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2D2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4</xdr:row>
      <xdr:rowOff>91645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401204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44129" cy="7807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401204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557"/>
          <a:ext cx="936625" cy="7839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0</xdr:colOff>
      <xdr:row>3</xdr:row>
      <xdr:rowOff>31750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1390"/>
          <a:ext cx="402167" cy="35061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19806</xdr:rowOff>
    </xdr:from>
    <xdr:to>
      <xdr:col>2</xdr:col>
      <xdr:colOff>11906</xdr:colOff>
      <xdr:row>3</xdr:row>
      <xdr:rowOff>35718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2712"/>
          <a:ext cx="416719" cy="3492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443"/>
          <a:ext cx="938068" cy="78683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19808</xdr:rowOff>
    </xdr:from>
    <xdr:to>
      <xdr:col>2</xdr:col>
      <xdr:colOff>142874</xdr:colOff>
      <xdr:row>2</xdr:row>
      <xdr:rowOff>561976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008"/>
          <a:ext cx="542924" cy="54216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142874</xdr:colOff>
      <xdr:row>4</xdr:row>
      <xdr:rowOff>219075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007"/>
          <a:ext cx="542924" cy="55169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19808</xdr:rowOff>
    </xdr:from>
    <xdr:to>
      <xdr:col>2</xdr:col>
      <xdr:colOff>142874</xdr:colOff>
      <xdr:row>2</xdr:row>
      <xdr:rowOff>542926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008"/>
          <a:ext cx="542924" cy="52311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142874</xdr:colOff>
      <xdr:row>2</xdr:row>
      <xdr:rowOff>571500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151"/>
          <a:ext cx="547687" cy="55169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142874</xdr:colOff>
      <xdr:row>2</xdr:row>
      <xdr:rowOff>561975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007"/>
          <a:ext cx="542924" cy="54216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142874</xdr:colOff>
      <xdr:row>2</xdr:row>
      <xdr:rowOff>514350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007"/>
          <a:ext cx="542924" cy="49454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142874</xdr:colOff>
      <xdr:row>2</xdr:row>
      <xdr:rowOff>523875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007"/>
          <a:ext cx="542924" cy="504068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142874</xdr:colOff>
      <xdr:row>2</xdr:row>
      <xdr:rowOff>561975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007"/>
          <a:ext cx="542924" cy="542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  <pageSetUpPr fitToPage="1"/>
  </sheetPr>
  <dimension ref="B1:G33"/>
  <sheetViews>
    <sheetView view="pageBreakPreview" zoomScale="70" zoomScaleNormal="55" zoomScaleSheetLayoutView="70" zoomScalePageLayoutView="70" workbookViewId="0">
      <selection activeCell="H20" sqref="H20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 thickBot="1"/>
    <row r="3" spans="2:7" ht="62.25" customHeight="1" thickBot="1">
      <c r="B3" s="107" t="s">
        <v>139</v>
      </c>
      <c r="C3" s="108"/>
      <c r="D3" s="108"/>
      <c r="E3" s="108"/>
      <c r="F3" s="109"/>
      <c r="G3" s="71" t="s">
        <v>38</v>
      </c>
    </row>
    <row r="4" spans="2:7" ht="23.4" thickBot="1">
      <c r="B4" s="14"/>
      <c r="C4" s="15" t="s">
        <v>56</v>
      </c>
      <c r="D4" s="110" t="s">
        <v>39</v>
      </c>
      <c r="E4" s="110"/>
      <c r="F4" s="110"/>
      <c r="G4" s="93" t="s">
        <v>158</v>
      </c>
    </row>
    <row r="5" spans="2:7" ht="8.25" customHeight="1" thickBot="1">
      <c r="B5" s="2"/>
      <c r="C5" s="2"/>
      <c r="D5" s="3"/>
      <c r="E5" s="3"/>
      <c r="F5" s="3"/>
      <c r="G5" s="94"/>
    </row>
    <row r="6" spans="2:7" ht="20.25" customHeight="1" thickBot="1">
      <c r="E6" s="111" t="s">
        <v>0</v>
      </c>
      <c r="F6" s="112"/>
      <c r="G6" s="93" t="s">
        <v>159</v>
      </c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161</v>
      </c>
    </row>
    <row r="8" spans="2:7" s="4" customFormat="1" ht="18">
      <c r="B8" s="6">
        <v>1</v>
      </c>
      <c r="C8" s="85" t="s">
        <v>140</v>
      </c>
      <c r="D8" s="21"/>
      <c r="E8" s="19"/>
      <c r="F8" s="20"/>
      <c r="G8" s="33"/>
    </row>
    <row r="9" spans="2:7" s="4" customFormat="1" ht="18">
      <c r="B9" s="37">
        <f>+B8+1</f>
        <v>2</v>
      </c>
      <c r="C9" s="85" t="s">
        <v>141</v>
      </c>
      <c r="D9" s="21"/>
      <c r="E9" s="19"/>
      <c r="F9" s="20"/>
      <c r="G9" s="33"/>
    </row>
    <row r="10" spans="2:7" s="4" customFormat="1" ht="18">
      <c r="B10" s="6">
        <f t="shared" ref="B10:B27" si="0">B9+1</f>
        <v>3</v>
      </c>
      <c r="C10" s="85" t="s">
        <v>142</v>
      </c>
      <c r="D10" s="21"/>
      <c r="E10" s="19"/>
      <c r="F10" s="20"/>
      <c r="G10" s="33"/>
    </row>
    <row r="11" spans="2:7" s="4" customFormat="1" ht="18">
      <c r="B11" s="6">
        <f t="shared" si="0"/>
        <v>4</v>
      </c>
      <c r="C11" s="85" t="s">
        <v>143</v>
      </c>
      <c r="D11" s="21"/>
      <c r="E11" s="19"/>
      <c r="F11" s="20"/>
      <c r="G11" s="33"/>
    </row>
    <row r="12" spans="2:7" s="4" customFormat="1" ht="18">
      <c r="B12" s="6">
        <f t="shared" si="0"/>
        <v>5</v>
      </c>
      <c r="C12" s="85" t="s">
        <v>144</v>
      </c>
      <c r="D12" s="21"/>
      <c r="E12" s="19"/>
      <c r="F12" s="20"/>
      <c r="G12" s="33"/>
    </row>
    <row r="13" spans="2:7" s="4" customFormat="1" ht="18">
      <c r="B13" s="6">
        <f t="shared" si="0"/>
        <v>6</v>
      </c>
      <c r="C13" s="85" t="s">
        <v>145</v>
      </c>
      <c r="D13" s="21"/>
      <c r="E13" s="19"/>
      <c r="F13" s="20"/>
      <c r="G13" s="33"/>
    </row>
    <row r="14" spans="2:7" s="4" customFormat="1" ht="18">
      <c r="B14" s="6">
        <f t="shared" si="0"/>
        <v>7</v>
      </c>
      <c r="C14" s="85" t="s">
        <v>147</v>
      </c>
      <c r="D14" s="21"/>
      <c r="E14" s="19"/>
      <c r="F14" s="20"/>
      <c r="G14" s="33"/>
    </row>
    <row r="15" spans="2:7" s="4" customFormat="1" ht="18">
      <c r="B15" s="6">
        <f t="shared" si="0"/>
        <v>8</v>
      </c>
      <c r="C15" s="85" t="s">
        <v>148</v>
      </c>
      <c r="D15" s="21"/>
      <c r="E15" s="19"/>
      <c r="F15" s="20"/>
      <c r="G15" s="33"/>
    </row>
    <row r="16" spans="2:7" s="4" customFormat="1" ht="18">
      <c r="B16" s="6">
        <f t="shared" si="0"/>
        <v>9</v>
      </c>
      <c r="C16" s="85" t="s">
        <v>146</v>
      </c>
      <c r="D16" s="21"/>
      <c r="E16" s="19"/>
      <c r="F16" s="20"/>
      <c r="G16" s="33"/>
    </row>
    <row r="17" spans="2:7" s="4" customFormat="1" ht="18">
      <c r="B17" s="6">
        <f t="shared" si="0"/>
        <v>10</v>
      </c>
      <c r="C17" s="85" t="s">
        <v>149</v>
      </c>
      <c r="D17" s="21"/>
      <c r="E17" s="19"/>
      <c r="F17" s="20"/>
      <c r="G17" s="33"/>
    </row>
    <row r="18" spans="2:7" s="4" customFormat="1" ht="18">
      <c r="B18" s="6">
        <f t="shared" si="0"/>
        <v>11</v>
      </c>
      <c r="C18" s="90" t="s">
        <v>150</v>
      </c>
      <c r="D18" s="62"/>
      <c r="E18" s="63"/>
      <c r="F18" s="64"/>
      <c r="G18" s="65"/>
    </row>
    <row r="19" spans="2:7" s="4" customFormat="1" ht="18">
      <c r="B19" s="6">
        <f t="shared" si="0"/>
        <v>12</v>
      </c>
      <c r="C19" s="90" t="s">
        <v>151</v>
      </c>
      <c r="D19" s="62"/>
      <c r="E19" s="63"/>
      <c r="F19" s="64"/>
      <c r="G19" s="65"/>
    </row>
    <row r="20" spans="2:7" s="4" customFormat="1" ht="18">
      <c r="B20" s="6">
        <f t="shared" si="0"/>
        <v>13</v>
      </c>
      <c r="C20" s="90" t="s">
        <v>152</v>
      </c>
      <c r="D20" s="62"/>
      <c r="E20" s="63"/>
      <c r="F20" s="64"/>
      <c r="G20" s="65"/>
    </row>
    <row r="21" spans="2:7" s="4" customFormat="1" ht="18">
      <c r="B21" s="6">
        <f t="shared" si="0"/>
        <v>14</v>
      </c>
      <c r="C21" s="85" t="s">
        <v>153</v>
      </c>
      <c r="D21" s="62"/>
      <c r="E21" s="63"/>
      <c r="F21" s="64"/>
      <c r="G21" s="65"/>
    </row>
    <row r="22" spans="2:7" s="4" customFormat="1" ht="18">
      <c r="B22" s="6">
        <f t="shared" si="0"/>
        <v>15</v>
      </c>
      <c r="C22" s="85" t="s">
        <v>154</v>
      </c>
      <c r="D22" s="62"/>
      <c r="E22" s="63"/>
      <c r="F22" s="64"/>
      <c r="G22" s="65"/>
    </row>
    <row r="23" spans="2:7" s="4" customFormat="1" ht="18">
      <c r="B23" s="6">
        <f t="shared" si="0"/>
        <v>16</v>
      </c>
      <c r="C23" s="85" t="s">
        <v>155</v>
      </c>
      <c r="D23" s="62"/>
      <c r="E23" s="63"/>
      <c r="F23" s="64"/>
      <c r="G23" s="65"/>
    </row>
    <row r="24" spans="2:7" s="4" customFormat="1" ht="18">
      <c r="B24" s="6">
        <f t="shared" si="0"/>
        <v>17</v>
      </c>
      <c r="C24" s="90" t="s">
        <v>156</v>
      </c>
      <c r="D24" s="62"/>
      <c r="E24" s="63"/>
      <c r="F24" s="64"/>
      <c r="G24" s="65"/>
    </row>
    <row r="25" spans="2:7" s="4" customFormat="1" ht="18">
      <c r="B25" s="6">
        <f t="shared" si="0"/>
        <v>18</v>
      </c>
      <c r="C25" s="90" t="s">
        <v>157</v>
      </c>
      <c r="D25" s="62"/>
      <c r="E25" s="63"/>
      <c r="F25" s="64"/>
      <c r="G25" s="65"/>
    </row>
    <row r="26" spans="2:7" s="4" customFormat="1" ht="18">
      <c r="B26" s="6">
        <f t="shared" si="0"/>
        <v>19</v>
      </c>
      <c r="C26" s="90" t="s">
        <v>160</v>
      </c>
      <c r="D26" s="62"/>
      <c r="E26" s="63"/>
      <c r="F26" s="64"/>
      <c r="G26" s="65"/>
    </row>
    <row r="27" spans="2:7" s="4" customFormat="1" ht="18">
      <c r="B27" s="6">
        <f t="shared" si="0"/>
        <v>20</v>
      </c>
      <c r="C27" s="90"/>
      <c r="D27" s="62"/>
      <c r="E27" s="63"/>
      <c r="F27" s="64"/>
      <c r="G27" s="65"/>
    </row>
    <row r="28" spans="2:7" ht="18" thickBot="1">
      <c r="B28" s="113" t="s">
        <v>13</v>
      </c>
      <c r="C28" s="114"/>
      <c r="D28" s="115" t="s">
        <v>7</v>
      </c>
      <c r="E28" s="116"/>
      <c r="F28" s="117"/>
      <c r="G28" s="89" t="s">
        <v>8</v>
      </c>
    </row>
    <row r="29" spans="2:7">
      <c r="B29" s="118"/>
      <c r="C29" s="119"/>
      <c r="D29" s="119"/>
      <c r="E29" s="119"/>
      <c r="F29" s="119"/>
      <c r="G29" s="104"/>
    </row>
    <row r="30" spans="2:7">
      <c r="B30" s="120"/>
      <c r="C30" s="121"/>
      <c r="D30" s="121"/>
      <c r="E30" s="121"/>
      <c r="F30" s="121"/>
      <c r="G30" s="105"/>
    </row>
    <row r="31" spans="2:7">
      <c r="B31" s="120"/>
      <c r="C31" s="121"/>
      <c r="D31" s="121"/>
      <c r="E31" s="121"/>
      <c r="F31" s="121"/>
      <c r="G31" s="105"/>
    </row>
    <row r="32" spans="2:7">
      <c r="B32" s="120"/>
      <c r="C32" s="121"/>
      <c r="D32" s="121"/>
      <c r="E32" s="121"/>
      <c r="F32" s="121"/>
      <c r="G32" s="105"/>
    </row>
    <row r="33" spans="2:7" ht="15" thickBot="1">
      <c r="B33" s="122"/>
      <c r="C33" s="123"/>
      <c r="D33" s="123"/>
      <c r="E33" s="123"/>
      <c r="F33" s="123"/>
      <c r="G33" s="106"/>
    </row>
  </sheetData>
  <sheetProtection selectLockedCells="1"/>
  <mergeCells count="8">
    <mergeCell ref="G29:G33"/>
    <mergeCell ref="B3:F3"/>
    <mergeCell ref="D4:F4"/>
    <mergeCell ref="E6:F6"/>
    <mergeCell ref="B28:C28"/>
    <mergeCell ref="D28:F28"/>
    <mergeCell ref="B29:C33"/>
    <mergeCell ref="D29:F33"/>
  </mergeCells>
  <conditionalFormatting sqref="D8:D27">
    <cfRule type="cellIs" dxfId="65" priority="1" operator="equal">
      <formula>3</formula>
    </cfRule>
    <cfRule type="cellIs" dxfId="64" priority="2" operator="equal">
      <formula>4</formula>
    </cfRule>
  </conditionalFormatting>
  <printOptions horizontalCentered="1"/>
  <pageMargins left="0.25" right="0.25" top="0.75" bottom="0.75" header="0.3" footer="0.3"/>
  <pageSetup paperSize="9" scale="80" fitToHeight="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  <pageSetUpPr fitToPage="1"/>
  </sheetPr>
  <dimension ref="B1:O27"/>
  <sheetViews>
    <sheetView tabSelected="1" view="pageBreakPreview" topLeftCell="A21" zoomScale="70" zoomScaleNormal="55" zoomScaleSheetLayoutView="70" zoomScalePageLayoutView="70" workbookViewId="0">
      <selection activeCell="B3" sqref="B3:O27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37.109375" style="1" bestFit="1" customWidth="1"/>
    <col min="8" max="8" width="9.6640625" style="1" bestFit="1" customWidth="1"/>
    <col min="9" max="9" width="8.44140625" style="1" customWidth="1"/>
    <col min="10" max="10" width="10.5546875" style="1" customWidth="1"/>
    <col min="11" max="11" width="37.109375" style="1" bestFit="1" customWidth="1"/>
    <col min="12" max="13" width="11.44140625" style="1" customWidth="1"/>
    <col min="14" max="14" width="8.88671875" style="1" customWidth="1"/>
    <col min="15" max="15" width="37.109375" style="1" bestFit="1" customWidth="1"/>
    <col min="16" max="17" width="11.44140625" style="1" customWidth="1"/>
    <col min="18" max="18" width="2.109375" style="1" customWidth="1"/>
    <col min="19" max="16384" width="11.44140625" style="1"/>
  </cols>
  <sheetData>
    <row r="1" spans="2:15" ht="1.5" customHeight="1"/>
    <row r="2" spans="2:15" ht="1.5" customHeight="1"/>
    <row r="3" spans="2:15" ht="62.25" customHeight="1">
      <c r="B3" s="126" t="s">
        <v>207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</row>
    <row r="4" spans="2:15" ht="23.4" thickBot="1">
      <c r="B4" s="100"/>
      <c r="C4" s="101" t="s">
        <v>38</v>
      </c>
      <c r="D4" s="127" t="s">
        <v>39</v>
      </c>
      <c r="E4" s="127"/>
      <c r="F4" s="128"/>
      <c r="G4" s="102" t="s">
        <v>202</v>
      </c>
      <c r="H4" s="125" t="s">
        <v>203</v>
      </c>
      <c r="I4" s="125"/>
      <c r="J4" s="125"/>
      <c r="K4" s="125"/>
      <c r="L4" s="125" t="s">
        <v>204</v>
      </c>
      <c r="M4" s="125"/>
      <c r="N4" s="125"/>
      <c r="O4" s="125"/>
    </row>
    <row r="5" spans="2:15" ht="8.25" customHeight="1" thickBot="1">
      <c r="B5" s="2"/>
      <c r="C5" s="2"/>
      <c r="D5" s="3"/>
      <c r="E5" s="3"/>
      <c r="F5" s="3"/>
      <c r="G5" s="94"/>
      <c r="H5" s="3"/>
      <c r="I5" s="3"/>
      <c r="J5" s="3"/>
      <c r="K5" s="94"/>
      <c r="L5" s="3"/>
      <c r="M5" s="3"/>
      <c r="N5" s="3"/>
      <c r="O5" s="94"/>
    </row>
    <row r="6" spans="2:15" ht="20.25" customHeight="1" thickBot="1">
      <c r="E6" s="111" t="s">
        <v>0</v>
      </c>
      <c r="F6" s="112"/>
      <c r="G6" s="93" t="s">
        <v>159</v>
      </c>
      <c r="H6" s="99"/>
      <c r="I6" s="111" t="s">
        <v>0</v>
      </c>
      <c r="J6" s="112"/>
      <c r="K6" s="93" t="s">
        <v>159</v>
      </c>
      <c r="L6" s="99"/>
      <c r="M6" s="111" t="s">
        <v>0</v>
      </c>
      <c r="N6" s="112"/>
      <c r="O6" s="93" t="s">
        <v>159</v>
      </c>
    </row>
    <row r="7" spans="2:15" s="4" customFormat="1" ht="39.9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161</v>
      </c>
      <c r="H7" s="27" t="s">
        <v>3</v>
      </c>
      <c r="I7" s="29" t="s">
        <v>4</v>
      </c>
      <c r="J7" s="30" t="s">
        <v>5</v>
      </c>
      <c r="K7" s="28" t="s">
        <v>161</v>
      </c>
      <c r="L7" s="27" t="s">
        <v>3</v>
      </c>
      <c r="M7" s="29" t="s">
        <v>4</v>
      </c>
      <c r="N7" s="30" t="s">
        <v>5</v>
      </c>
      <c r="O7" s="28" t="s">
        <v>161</v>
      </c>
    </row>
    <row r="8" spans="2:15" s="4" customFormat="1" ht="39.9" customHeight="1">
      <c r="B8" s="6">
        <v>1</v>
      </c>
      <c r="C8" s="103" t="s">
        <v>190</v>
      </c>
      <c r="D8" s="21"/>
      <c r="E8" s="19"/>
      <c r="F8" s="20"/>
      <c r="G8" s="33"/>
      <c r="H8" s="21"/>
      <c r="I8" s="19"/>
      <c r="J8" s="20"/>
      <c r="K8" s="33"/>
      <c r="L8" s="21"/>
      <c r="M8" s="19"/>
      <c r="N8" s="20"/>
      <c r="O8" s="33"/>
    </row>
    <row r="9" spans="2:15" s="4" customFormat="1" ht="39.9" customHeight="1">
      <c r="B9" s="37">
        <f>+B8+1</f>
        <v>2</v>
      </c>
      <c r="C9" s="103" t="s">
        <v>191</v>
      </c>
      <c r="D9" s="21"/>
      <c r="E9" s="19"/>
      <c r="F9" s="20"/>
      <c r="G9" s="33"/>
      <c r="H9" s="21"/>
      <c r="I9" s="19"/>
      <c r="J9" s="20"/>
      <c r="K9" s="33"/>
      <c r="L9" s="21"/>
      <c r="M9" s="19"/>
      <c r="N9" s="20"/>
      <c r="O9" s="33"/>
    </row>
    <row r="10" spans="2:15" s="4" customFormat="1" ht="39.9" customHeight="1">
      <c r="B10" s="6">
        <f t="shared" ref="B10:B21" si="0">B9+1</f>
        <v>3</v>
      </c>
      <c r="C10" s="103" t="s">
        <v>192</v>
      </c>
      <c r="D10" s="21"/>
      <c r="E10" s="19"/>
      <c r="F10" s="20"/>
      <c r="G10" s="33"/>
      <c r="H10" s="21"/>
      <c r="I10" s="19"/>
      <c r="J10" s="20"/>
      <c r="K10" s="33"/>
      <c r="L10" s="21"/>
      <c r="M10" s="19"/>
      <c r="N10" s="20"/>
      <c r="O10" s="33"/>
    </row>
    <row r="11" spans="2:15" s="4" customFormat="1" ht="39.9" customHeight="1">
      <c r="B11" s="6">
        <f t="shared" si="0"/>
        <v>4</v>
      </c>
      <c r="C11" s="103" t="s">
        <v>193</v>
      </c>
      <c r="D11" s="21"/>
      <c r="E11" s="19"/>
      <c r="F11" s="20"/>
      <c r="G11" s="33"/>
      <c r="H11" s="21"/>
      <c r="I11" s="19"/>
      <c r="J11" s="20"/>
      <c r="K11" s="33"/>
      <c r="L11" s="21"/>
      <c r="M11" s="19"/>
      <c r="N11" s="20"/>
      <c r="O11" s="33"/>
    </row>
    <row r="12" spans="2:15" s="4" customFormat="1" ht="39.9" customHeight="1">
      <c r="B12" s="6">
        <f t="shared" si="0"/>
        <v>5</v>
      </c>
      <c r="C12" s="103" t="s">
        <v>196</v>
      </c>
      <c r="D12" s="21"/>
      <c r="E12" s="19"/>
      <c r="F12" s="20"/>
      <c r="G12" s="33"/>
      <c r="H12" s="21"/>
      <c r="I12" s="19"/>
      <c r="J12" s="20"/>
      <c r="K12" s="33"/>
      <c r="L12" s="21"/>
      <c r="M12" s="19"/>
      <c r="N12" s="20"/>
      <c r="O12" s="33"/>
    </row>
    <row r="13" spans="2:15" s="4" customFormat="1" ht="39.9" customHeight="1">
      <c r="B13" s="6">
        <f t="shared" si="0"/>
        <v>6</v>
      </c>
      <c r="C13" s="103" t="s">
        <v>194</v>
      </c>
      <c r="D13" s="21"/>
      <c r="E13" s="19"/>
      <c r="F13" s="20"/>
      <c r="G13" s="33"/>
      <c r="H13" s="21"/>
      <c r="I13" s="19"/>
      <c r="J13" s="20"/>
      <c r="K13" s="33"/>
      <c r="L13" s="21"/>
      <c r="M13" s="19"/>
      <c r="N13" s="20"/>
      <c r="O13" s="33"/>
    </row>
    <row r="14" spans="2:15" s="4" customFormat="1" ht="39.9" customHeight="1">
      <c r="B14" s="6">
        <f t="shared" si="0"/>
        <v>7</v>
      </c>
      <c r="C14" s="103" t="s">
        <v>195</v>
      </c>
      <c r="D14" s="21"/>
      <c r="E14" s="19"/>
      <c r="F14" s="20"/>
      <c r="G14" s="33"/>
      <c r="H14" s="21"/>
      <c r="I14" s="19"/>
      <c r="J14" s="20"/>
      <c r="K14" s="33"/>
      <c r="L14" s="21"/>
      <c r="M14" s="19"/>
      <c r="N14" s="20"/>
      <c r="O14" s="33"/>
    </row>
    <row r="15" spans="2:15" s="4" customFormat="1" ht="39.9" customHeight="1">
      <c r="B15" s="6">
        <f t="shared" si="0"/>
        <v>8</v>
      </c>
      <c r="C15" s="103" t="s">
        <v>197</v>
      </c>
      <c r="D15" s="21"/>
      <c r="E15" s="19"/>
      <c r="F15" s="20"/>
      <c r="G15" s="33"/>
      <c r="H15" s="21"/>
      <c r="I15" s="19"/>
      <c r="J15" s="20"/>
      <c r="K15" s="33"/>
      <c r="L15" s="21"/>
      <c r="M15" s="19"/>
      <c r="N15" s="20"/>
      <c r="O15" s="33"/>
    </row>
    <row r="16" spans="2:15" s="4" customFormat="1" ht="39.9" customHeight="1">
      <c r="B16" s="6">
        <f t="shared" si="0"/>
        <v>9</v>
      </c>
      <c r="C16" s="103" t="s">
        <v>198</v>
      </c>
      <c r="D16" s="21"/>
      <c r="E16" s="19"/>
      <c r="F16" s="20"/>
      <c r="G16" s="33"/>
      <c r="H16" s="21"/>
      <c r="I16" s="19"/>
      <c r="J16" s="20"/>
      <c r="K16" s="33"/>
      <c r="L16" s="21"/>
      <c r="M16" s="19"/>
      <c r="N16" s="20"/>
      <c r="O16" s="33"/>
    </row>
    <row r="17" spans="2:15" s="4" customFormat="1" ht="39.9" customHeight="1">
      <c r="B17" s="6">
        <f t="shared" si="0"/>
        <v>10</v>
      </c>
      <c r="C17" s="103" t="s">
        <v>199</v>
      </c>
      <c r="D17" s="21"/>
      <c r="E17" s="19"/>
      <c r="F17" s="20"/>
      <c r="G17" s="33"/>
      <c r="H17" s="21"/>
      <c r="I17" s="19"/>
      <c r="J17" s="20"/>
      <c r="K17" s="33"/>
      <c r="L17" s="21"/>
      <c r="M17" s="19"/>
      <c r="N17" s="20"/>
      <c r="O17" s="33"/>
    </row>
    <row r="18" spans="2:15" s="4" customFormat="1" ht="39.9" customHeight="1">
      <c r="B18" s="6">
        <f t="shared" si="0"/>
        <v>11</v>
      </c>
      <c r="C18" s="103" t="s">
        <v>205</v>
      </c>
      <c r="D18" s="22"/>
      <c r="E18" s="63"/>
      <c r="F18" s="64"/>
      <c r="G18" s="98"/>
      <c r="H18" s="22"/>
      <c r="I18" s="63"/>
      <c r="J18" s="64"/>
      <c r="K18" s="98"/>
      <c r="L18" s="22"/>
      <c r="M18" s="63"/>
      <c r="N18" s="64"/>
      <c r="O18" s="98"/>
    </row>
    <row r="19" spans="2:15" s="4" customFormat="1" ht="39.9" customHeight="1">
      <c r="B19" s="6">
        <f t="shared" si="0"/>
        <v>12</v>
      </c>
      <c r="C19" s="103" t="s">
        <v>200</v>
      </c>
      <c r="D19" s="22"/>
      <c r="E19" s="63"/>
      <c r="F19" s="64"/>
      <c r="G19" s="98"/>
      <c r="H19" s="22"/>
      <c r="I19" s="63"/>
      <c r="J19" s="64"/>
      <c r="K19" s="98"/>
      <c r="L19" s="22"/>
      <c r="M19" s="63"/>
      <c r="N19" s="64"/>
      <c r="O19" s="98"/>
    </row>
    <row r="20" spans="2:15" s="4" customFormat="1" ht="39.9" customHeight="1">
      <c r="B20" s="6">
        <f t="shared" si="0"/>
        <v>13</v>
      </c>
      <c r="C20" s="103" t="s">
        <v>201</v>
      </c>
      <c r="D20" s="22"/>
      <c r="E20" s="63"/>
      <c r="F20" s="64"/>
      <c r="G20" s="98"/>
      <c r="H20" s="22"/>
      <c r="I20" s="63"/>
      <c r="J20" s="64"/>
      <c r="K20" s="98"/>
      <c r="L20" s="22"/>
      <c r="M20" s="63"/>
      <c r="N20" s="64"/>
      <c r="O20" s="98"/>
    </row>
    <row r="21" spans="2:15" s="4" customFormat="1" ht="39.9" customHeight="1">
      <c r="B21" s="6">
        <f t="shared" si="0"/>
        <v>14</v>
      </c>
      <c r="C21" s="103" t="s">
        <v>206</v>
      </c>
      <c r="D21" s="22"/>
      <c r="E21" s="63"/>
      <c r="F21" s="64"/>
      <c r="G21" s="98"/>
      <c r="H21" s="22"/>
      <c r="I21" s="63"/>
      <c r="J21" s="64"/>
      <c r="K21" s="98"/>
      <c r="L21" s="22"/>
      <c r="M21" s="63"/>
      <c r="N21" s="64"/>
      <c r="O21" s="98"/>
    </row>
    <row r="22" spans="2:15" ht="35.1" customHeight="1" thickBot="1">
      <c r="B22" s="113" t="s">
        <v>13</v>
      </c>
      <c r="C22" s="129"/>
      <c r="D22" s="124" t="s">
        <v>7</v>
      </c>
      <c r="E22" s="116"/>
      <c r="F22" s="117"/>
      <c r="G22" s="89" t="s">
        <v>8</v>
      </c>
      <c r="H22" s="124" t="s">
        <v>7</v>
      </c>
      <c r="I22" s="116"/>
      <c r="J22" s="117"/>
      <c r="K22" s="89" t="s">
        <v>8</v>
      </c>
      <c r="L22" s="124" t="s">
        <v>7</v>
      </c>
      <c r="M22" s="116"/>
      <c r="N22" s="117"/>
      <c r="O22" s="89" t="s">
        <v>8</v>
      </c>
    </row>
    <row r="23" spans="2:15">
      <c r="B23" s="118"/>
      <c r="C23" s="130"/>
      <c r="D23" s="118"/>
      <c r="E23" s="119"/>
      <c r="F23" s="119"/>
      <c r="G23" s="104"/>
      <c r="H23" s="118"/>
      <c r="I23" s="119"/>
      <c r="J23" s="119"/>
      <c r="K23" s="104"/>
      <c r="L23" s="118"/>
      <c r="M23" s="119"/>
      <c r="N23" s="119"/>
      <c r="O23" s="104"/>
    </row>
    <row r="24" spans="2:15">
      <c r="B24" s="120"/>
      <c r="C24" s="131"/>
      <c r="D24" s="120"/>
      <c r="E24" s="121"/>
      <c r="F24" s="121"/>
      <c r="G24" s="105"/>
      <c r="H24" s="120"/>
      <c r="I24" s="121"/>
      <c r="J24" s="121"/>
      <c r="K24" s="105"/>
      <c r="L24" s="120"/>
      <c r="M24" s="121"/>
      <c r="N24" s="121"/>
      <c r="O24" s="105"/>
    </row>
    <row r="25" spans="2:15">
      <c r="B25" s="120"/>
      <c r="C25" s="131"/>
      <c r="D25" s="120"/>
      <c r="E25" s="121"/>
      <c r="F25" s="121"/>
      <c r="G25" s="105"/>
      <c r="H25" s="120"/>
      <c r="I25" s="121"/>
      <c r="J25" s="121"/>
      <c r="K25" s="105"/>
      <c r="L25" s="120"/>
      <c r="M25" s="121"/>
      <c r="N25" s="121"/>
      <c r="O25" s="105"/>
    </row>
    <row r="26" spans="2:15">
      <c r="B26" s="120"/>
      <c r="C26" s="131"/>
      <c r="D26" s="120"/>
      <c r="E26" s="121"/>
      <c r="F26" s="121"/>
      <c r="G26" s="105"/>
      <c r="H26" s="120"/>
      <c r="I26" s="121"/>
      <c r="J26" s="121"/>
      <c r="K26" s="105"/>
      <c r="L26" s="120"/>
      <c r="M26" s="121"/>
      <c r="N26" s="121"/>
      <c r="O26" s="105"/>
    </row>
    <row r="27" spans="2:15" ht="15" thickBot="1">
      <c r="B27" s="122"/>
      <c r="C27" s="132"/>
      <c r="D27" s="122"/>
      <c r="E27" s="123"/>
      <c r="F27" s="123"/>
      <c r="G27" s="106"/>
      <c r="H27" s="122"/>
      <c r="I27" s="123"/>
      <c r="J27" s="123"/>
      <c r="K27" s="106"/>
      <c r="L27" s="122"/>
      <c r="M27" s="123"/>
      <c r="N27" s="123"/>
      <c r="O27" s="106"/>
    </row>
  </sheetData>
  <sheetProtection selectLockedCells="1"/>
  <mergeCells count="18">
    <mergeCell ref="B3:O3"/>
    <mergeCell ref="G23:G27"/>
    <mergeCell ref="I6:J6"/>
    <mergeCell ref="H22:J22"/>
    <mergeCell ref="H23:J27"/>
    <mergeCell ref="K23:K27"/>
    <mergeCell ref="D4:F4"/>
    <mergeCell ref="E6:F6"/>
    <mergeCell ref="B22:C22"/>
    <mergeCell ref="D22:F22"/>
    <mergeCell ref="B23:C27"/>
    <mergeCell ref="D23:F27"/>
    <mergeCell ref="M6:N6"/>
    <mergeCell ref="L22:N22"/>
    <mergeCell ref="L23:N27"/>
    <mergeCell ref="O23:O27"/>
    <mergeCell ref="L4:O4"/>
    <mergeCell ref="H4:K4"/>
  </mergeCells>
  <conditionalFormatting sqref="D8:D21 H8:H21 L8:L21">
    <cfRule type="cellIs" dxfId="63" priority="1" operator="equal">
      <formula>3</formula>
    </cfRule>
    <cfRule type="cellIs" dxfId="62" priority="2" operator="equal">
      <formula>4</formula>
    </cfRule>
  </conditionalFormatting>
  <printOptions horizontalCentered="1"/>
  <pageMargins left="0.25" right="0.25" top="0.75" bottom="0.75" header="0.3" footer="0.3"/>
  <pageSetup paperSize="9" scale="48" orientation="landscape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  <pageSetUpPr fitToPage="1"/>
  </sheetPr>
  <dimension ref="B1:G40"/>
  <sheetViews>
    <sheetView view="pageBreakPreview" zoomScale="70" zoomScaleNormal="55" zoomScaleSheetLayoutView="70" zoomScalePageLayoutView="70" workbookViewId="0">
      <selection activeCell="K40" sqref="K40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 thickBot="1"/>
    <row r="3" spans="2:7" ht="27.9" customHeight="1" thickBot="1">
      <c r="B3" s="107" t="s">
        <v>163</v>
      </c>
      <c r="C3" s="108"/>
      <c r="D3" s="108"/>
      <c r="E3" s="108"/>
      <c r="F3" s="109"/>
      <c r="G3" s="71" t="s">
        <v>38</v>
      </c>
    </row>
    <row r="4" spans="2:7" ht="27.9" customHeight="1" thickBot="1">
      <c r="B4" s="14"/>
      <c r="C4" s="15" t="s">
        <v>56</v>
      </c>
      <c r="D4" s="110" t="s">
        <v>39</v>
      </c>
      <c r="E4" s="110"/>
      <c r="F4" s="110"/>
      <c r="G4" s="93" t="s">
        <v>158</v>
      </c>
    </row>
    <row r="5" spans="2:7" ht="27.9" customHeight="1" thickBot="1">
      <c r="B5" s="2"/>
      <c r="C5" s="2"/>
      <c r="D5" s="3"/>
      <c r="E5" s="3"/>
      <c r="F5" s="3"/>
      <c r="G5" s="94"/>
    </row>
    <row r="6" spans="2:7" ht="27.9" customHeight="1" thickBot="1">
      <c r="E6" s="111" t="s">
        <v>0</v>
      </c>
      <c r="F6" s="112"/>
      <c r="G6" s="93" t="s">
        <v>159</v>
      </c>
    </row>
    <row r="7" spans="2:7" s="4" customFormat="1" ht="27.9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161</v>
      </c>
    </row>
    <row r="8" spans="2:7" s="4" customFormat="1" ht="27.9" customHeight="1">
      <c r="B8" s="6">
        <v>1</v>
      </c>
      <c r="C8" s="96" t="s">
        <v>164</v>
      </c>
      <c r="D8" s="21"/>
      <c r="E8" s="19"/>
      <c r="F8" s="20"/>
      <c r="G8" s="33"/>
    </row>
    <row r="9" spans="2:7" s="4" customFormat="1" ht="27.9" customHeight="1">
      <c r="B9" s="6">
        <v>2</v>
      </c>
      <c r="C9" s="96" t="s">
        <v>165</v>
      </c>
      <c r="D9" s="21"/>
      <c r="E9" s="19"/>
      <c r="F9" s="20"/>
      <c r="G9" s="33"/>
    </row>
    <row r="10" spans="2:7" s="4" customFormat="1" ht="27.9" customHeight="1">
      <c r="B10" s="6">
        <v>3</v>
      </c>
      <c r="C10" s="96" t="s">
        <v>167</v>
      </c>
      <c r="D10" s="21"/>
      <c r="E10" s="19"/>
      <c r="F10" s="20"/>
      <c r="G10" s="33"/>
    </row>
    <row r="11" spans="2:7" s="4" customFormat="1" ht="27.9" customHeight="1">
      <c r="B11" s="6">
        <v>4</v>
      </c>
      <c r="C11" s="96" t="s">
        <v>166</v>
      </c>
      <c r="D11" s="21"/>
      <c r="E11" s="19"/>
      <c r="F11" s="20"/>
      <c r="G11" s="33"/>
    </row>
    <row r="12" spans="2:7" s="4" customFormat="1" ht="27.9" customHeight="1">
      <c r="B12" s="6">
        <v>5</v>
      </c>
      <c r="C12" s="96" t="s">
        <v>168</v>
      </c>
      <c r="D12" s="21"/>
      <c r="E12" s="19"/>
      <c r="F12" s="20"/>
      <c r="G12" s="33"/>
    </row>
    <row r="13" spans="2:7" s="4" customFormat="1" ht="27.9" customHeight="1">
      <c r="B13" s="6">
        <v>6</v>
      </c>
      <c r="C13" s="96" t="s">
        <v>169</v>
      </c>
      <c r="D13" s="21"/>
      <c r="E13" s="19"/>
      <c r="F13" s="20"/>
      <c r="G13" s="33"/>
    </row>
    <row r="14" spans="2:7" s="4" customFormat="1" ht="27.9" customHeight="1">
      <c r="B14" s="6">
        <v>7</v>
      </c>
      <c r="C14" s="96" t="s">
        <v>170</v>
      </c>
      <c r="D14" s="21"/>
      <c r="E14" s="19"/>
      <c r="F14" s="20"/>
      <c r="G14" s="33"/>
    </row>
    <row r="15" spans="2:7" s="4" customFormat="1" ht="27.9" customHeight="1">
      <c r="B15" s="6">
        <v>8</v>
      </c>
      <c r="C15" s="96" t="s">
        <v>171</v>
      </c>
      <c r="D15" s="21"/>
      <c r="E15" s="19"/>
      <c r="F15" s="20"/>
      <c r="G15" s="33"/>
    </row>
    <row r="16" spans="2:7" s="4" customFormat="1" ht="27.9" customHeight="1">
      <c r="B16" s="6">
        <v>9</v>
      </c>
      <c r="C16" s="96" t="s">
        <v>172</v>
      </c>
      <c r="D16" s="21"/>
      <c r="E16" s="19"/>
      <c r="F16" s="20"/>
      <c r="G16" s="33"/>
    </row>
    <row r="17" spans="2:7" s="4" customFormat="1" ht="27.9" customHeight="1">
      <c r="B17" s="6">
        <v>10</v>
      </c>
      <c r="C17" s="96" t="s">
        <v>173</v>
      </c>
      <c r="D17" s="21"/>
      <c r="E17" s="19"/>
      <c r="F17" s="20"/>
      <c r="G17" s="33"/>
    </row>
    <row r="18" spans="2:7" s="4" customFormat="1" ht="27.9" customHeight="1">
      <c r="B18" s="6">
        <v>11</v>
      </c>
      <c r="C18" s="96" t="s">
        <v>177</v>
      </c>
      <c r="D18" s="47"/>
      <c r="E18" s="19"/>
      <c r="F18" s="86"/>
      <c r="G18" s="87"/>
    </row>
    <row r="19" spans="2:7" s="4" customFormat="1" ht="27.9" customHeight="1">
      <c r="B19" s="6">
        <v>12</v>
      </c>
      <c r="C19" s="97" t="s">
        <v>174</v>
      </c>
      <c r="D19" s="62"/>
      <c r="E19" s="63"/>
      <c r="F19" s="64"/>
      <c r="G19" s="65"/>
    </row>
    <row r="20" spans="2:7" s="4" customFormat="1" ht="27.9" customHeight="1">
      <c r="B20" s="6">
        <v>13</v>
      </c>
      <c r="C20" s="97" t="s">
        <v>175</v>
      </c>
      <c r="D20" s="62"/>
      <c r="E20" s="63"/>
      <c r="F20" s="64"/>
      <c r="G20" s="65"/>
    </row>
    <row r="21" spans="2:7" s="4" customFormat="1" ht="27.9" customHeight="1">
      <c r="B21" s="6">
        <v>14</v>
      </c>
      <c r="C21" s="97" t="s">
        <v>176</v>
      </c>
      <c r="D21" s="62"/>
      <c r="E21" s="63"/>
      <c r="F21" s="64"/>
      <c r="G21" s="65"/>
    </row>
    <row r="22" spans="2:7" s="4" customFormat="1" ht="27.9" customHeight="1">
      <c r="B22" s="6">
        <v>15</v>
      </c>
      <c r="C22" s="96" t="s">
        <v>180</v>
      </c>
      <c r="D22" s="62"/>
      <c r="E22" s="63"/>
      <c r="F22" s="64"/>
      <c r="G22" s="65"/>
    </row>
    <row r="23" spans="2:7" s="4" customFormat="1" ht="27.9" customHeight="1">
      <c r="B23" s="6">
        <v>16</v>
      </c>
      <c r="C23" s="96" t="s">
        <v>178</v>
      </c>
      <c r="D23" s="62"/>
      <c r="E23" s="63"/>
      <c r="F23" s="64"/>
      <c r="G23" s="65"/>
    </row>
    <row r="24" spans="2:7" s="4" customFormat="1" ht="27.9" customHeight="1">
      <c r="B24" s="6">
        <v>17</v>
      </c>
      <c r="C24" s="96" t="s">
        <v>179</v>
      </c>
      <c r="D24" s="62"/>
      <c r="E24" s="63"/>
      <c r="F24" s="64"/>
      <c r="G24" s="65"/>
    </row>
    <row r="25" spans="2:7" s="4" customFormat="1" ht="27.9" customHeight="1">
      <c r="B25" s="6">
        <v>18</v>
      </c>
      <c r="C25" s="96" t="s">
        <v>180</v>
      </c>
      <c r="D25" s="62"/>
      <c r="E25" s="63"/>
      <c r="F25" s="64"/>
      <c r="G25" s="65"/>
    </row>
    <row r="26" spans="2:7" s="4" customFormat="1" ht="27.9" customHeight="1">
      <c r="B26" s="6">
        <v>19</v>
      </c>
      <c r="C26" s="97" t="s">
        <v>181</v>
      </c>
      <c r="D26" s="62"/>
      <c r="E26" s="63"/>
      <c r="F26" s="64"/>
      <c r="G26" s="65"/>
    </row>
    <row r="27" spans="2:7" s="4" customFormat="1" ht="27.9" customHeight="1">
      <c r="B27" s="6">
        <v>20</v>
      </c>
      <c r="C27" s="97" t="s">
        <v>182</v>
      </c>
      <c r="D27" s="62"/>
      <c r="E27" s="63"/>
      <c r="F27" s="64"/>
      <c r="G27" s="65"/>
    </row>
    <row r="28" spans="2:7" s="4" customFormat="1" ht="27.9" customHeight="1">
      <c r="B28" s="6">
        <v>21</v>
      </c>
      <c r="C28" s="97" t="s">
        <v>183</v>
      </c>
      <c r="D28" s="62"/>
      <c r="E28" s="63"/>
      <c r="F28" s="64"/>
      <c r="G28" s="65"/>
    </row>
    <row r="29" spans="2:7" s="4" customFormat="1" ht="27.9" customHeight="1">
      <c r="B29" s="6">
        <v>22</v>
      </c>
      <c r="C29" s="97" t="s">
        <v>185</v>
      </c>
      <c r="D29" s="62"/>
      <c r="E29" s="63"/>
      <c r="F29" s="64"/>
      <c r="G29" s="65"/>
    </row>
    <row r="30" spans="2:7" s="4" customFormat="1" ht="27.9" customHeight="1">
      <c r="B30" s="6">
        <v>23</v>
      </c>
      <c r="C30" s="97" t="s">
        <v>184</v>
      </c>
      <c r="D30" s="62"/>
      <c r="E30" s="63"/>
      <c r="F30" s="64"/>
      <c r="G30" s="65"/>
    </row>
    <row r="31" spans="2:7" s="4" customFormat="1" ht="27.9" customHeight="1">
      <c r="B31" s="6">
        <v>24</v>
      </c>
      <c r="C31" s="97" t="s">
        <v>186</v>
      </c>
      <c r="D31" s="62"/>
      <c r="E31" s="63"/>
      <c r="F31" s="64"/>
      <c r="G31" s="65"/>
    </row>
    <row r="32" spans="2:7" s="4" customFormat="1" ht="27.9" customHeight="1">
      <c r="B32" s="6">
        <v>25</v>
      </c>
      <c r="C32" s="97" t="s">
        <v>187</v>
      </c>
      <c r="D32" s="62"/>
      <c r="E32" s="63"/>
      <c r="F32" s="64"/>
      <c r="G32" s="65"/>
    </row>
    <row r="33" spans="2:7" s="4" customFormat="1" ht="27.9" customHeight="1">
      <c r="B33" s="6">
        <v>26</v>
      </c>
      <c r="C33" s="97" t="s">
        <v>188</v>
      </c>
      <c r="D33" s="62"/>
      <c r="E33" s="63"/>
      <c r="F33" s="64"/>
      <c r="G33" s="65"/>
    </row>
    <row r="34" spans="2:7" s="4" customFormat="1" ht="27.9" customHeight="1">
      <c r="B34" s="6">
        <v>27</v>
      </c>
      <c r="C34" s="97" t="s">
        <v>189</v>
      </c>
      <c r="D34" s="62"/>
      <c r="E34" s="63"/>
      <c r="F34" s="64"/>
      <c r="G34" s="65"/>
    </row>
    <row r="35" spans="2:7" ht="27.9" customHeight="1" thickBot="1">
      <c r="B35" s="113" t="s">
        <v>13</v>
      </c>
      <c r="C35" s="114"/>
      <c r="D35" s="115" t="s">
        <v>7</v>
      </c>
      <c r="E35" s="116"/>
      <c r="F35" s="117"/>
      <c r="G35" s="89" t="s">
        <v>8</v>
      </c>
    </row>
    <row r="36" spans="2:7" ht="27.9" customHeight="1">
      <c r="B36" s="118"/>
      <c r="C36" s="119"/>
      <c r="D36" s="119"/>
      <c r="E36" s="119"/>
      <c r="F36" s="119"/>
      <c r="G36" s="104"/>
    </row>
    <row r="37" spans="2:7" ht="27.9" customHeight="1">
      <c r="B37" s="120"/>
      <c r="C37" s="121"/>
      <c r="D37" s="121"/>
      <c r="E37" s="121"/>
      <c r="F37" s="121"/>
      <c r="G37" s="105"/>
    </row>
    <row r="38" spans="2:7" ht="27.9" customHeight="1">
      <c r="B38" s="120"/>
      <c r="C38" s="121"/>
      <c r="D38" s="121"/>
      <c r="E38" s="121"/>
      <c r="F38" s="121"/>
      <c r="G38" s="105"/>
    </row>
    <row r="39" spans="2:7" ht="27.9" customHeight="1">
      <c r="B39" s="120"/>
      <c r="C39" s="121"/>
      <c r="D39" s="121"/>
      <c r="E39" s="121"/>
      <c r="F39" s="121"/>
      <c r="G39" s="105"/>
    </row>
    <row r="40" spans="2:7" ht="27.9" customHeight="1" thickBot="1">
      <c r="B40" s="122"/>
      <c r="C40" s="123"/>
      <c r="D40" s="123"/>
      <c r="E40" s="123"/>
      <c r="F40" s="123"/>
      <c r="G40" s="106"/>
    </row>
  </sheetData>
  <sheetProtection selectLockedCells="1"/>
  <mergeCells count="8">
    <mergeCell ref="G36:G40"/>
    <mergeCell ref="B3:F3"/>
    <mergeCell ref="D4:F4"/>
    <mergeCell ref="E6:F6"/>
    <mergeCell ref="B35:C35"/>
    <mergeCell ref="D35:F35"/>
    <mergeCell ref="B36:C40"/>
    <mergeCell ref="D36:F40"/>
  </mergeCells>
  <conditionalFormatting sqref="D8:D34">
    <cfRule type="cellIs" dxfId="61" priority="1" operator="equal">
      <formula>3</formula>
    </cfRule>
    <cfRule type="cellIs" dxfId="60" priority="2" operator="equal">
      <formula>4</formula>
    </cfRule>
  </conditionalFormatting>
  <printOptions horizontalCentered="1"/>
  <pageMargins left="0.25" right="0.25" top="0.75" bottom="0.75" header="0.3" footer="0.3"/>
  <pageSetup paperSize="9" scale="55" fitToHeight="0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  <pageSetUpPr fitToPage="1"/>
  </sheetPr>
  <dimension ref="B1:G19"/>
  <sheetViews>
    <sheetView view="pageBreakPreview" zoomScaleNormal="55" zoomScaleSheetLayoutView="100" zoomScalePageLayoutView="70" workbookViewId="0">
      <selection activeCell="C23" sqref="C23"/>
    </sheetView>
  </sheetViews>
  <sheetFormatPr defaultColWidth="11.44140625" defaultRowHeight="14.4"/>
  <cols>
    <col min="1" max="1" width="0.33203125" style="1" customWidth="1"/>
    <col min="2" max="2" width="7.8867187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5.4414062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 thickBot="1"/>
    <row r="3" spans="2:7" ht="62.25" customHeight="1">
      <c r="B3" s="133" t="s">
        <v>11</v>
      </c>
      <c r="C3" s="134"/>
      <c r="D3" s="134"/>
      <c r="E3" s="134"/>
      <c r="F3" s="135"/>
      <c r="G3" s="71" t="s">
        <v>38</v>
      </c>
    </row>
    <row r="4" spans="2:7" ht="22.8">
      <c r="B4" s="52"/>
      <c r="C4" s="53" t="s">
        <v>40</v>
      </c>
      <c r="D4" s="110" t="s">
        <v>39</v>
      </c>
      <c r="E4" s="110"/>
      <c r="F4" s="110"/>
      <c r="G4" s="79" t="str">
        <f>+'Line &amp; frequency'!C2</f>
        <v>HEBDOMADAIRE</v>
      </c>
    </row>
    <row r="5" spans="2:7" ht="8.25" customHeight="1">
      <c r="B5" s="55"/>
      <c r="C5" s="55"/>
      <c r="D5" s="56"/>
      <c r="E5" s="56"/>
      <c r="F5" s="56"/>
      <c r="G5" s="56"/>
    </row>
    <row r="6" spans="2:7" ht="20.25" customHeight="1">
      <c r="B6" s="57"/>
      <c r="C6" s="57"/>
      <c r="D6" s="57"/>
      <c r="E6" s="136" t="s">
        <v>0</v>
      </c>
      <c r="F6" s="136"/>
      <c r="G6" s="57"/>
    </row>
    <row r="7" spans="2:7" s="4" customFormat="1" ht="24" customHeight="1">
      <c r="B7" s="58" t="s">
        <v>1</v>
      </c>
      <c r="C7" s="58" t="s">
        <v>2</v>
      </c>
      <c r="D7" s="58" t="s">
        <v>3</v>
      </c>
      <c r="E7" s="59" t="s">
        <v>4</v>
      </c>
      <c r="F7" s="59" t="s">
        <v>5</v>
      </c>
      <c r="G7" s="60" t="s">
        <v>6</v>
      </c>
    </row>
    <row r="8" spans="2:7" s="4" customFormat="1" ht="18">
      <c r="B8" s="61">
        <v>1</v>
      </c>
      <c r="C8" s="83" t="s">
        <v>81</v>
      </c>
      <c r="D8" s="62"/>
      <c r="E8" s="63"/>
      <c r="F8" s="64"/>
      <c r="G8" s="65"/>
    </row>
    <row r="9" spans="2:7" s="4" customFormat="1" ht="18">
      <c r="B9" s="61">
        <v>2</v>
      </c>
      <c r="C9" s="83" t="s">
        <v>82</v>
      </c>
      <c r="D9" s="62"/>
      <c r="E9" s="63"/>
      <c r="F9" s="64"/>
      <c r="G9" s="65"/>
    </row>
    <row r="10" spans="2:7" s="4" customFormat="1" ht="18">
      <c r="B10" s="61">
        <v>3</v>
      </c>
      <c r="C10" s="83" t="s">
        <v>84</v>
      </c>
      <c r="D10" s="62"/>
      <c r="E10" s="63"/>
      <c r="F10" s="64"/>
      <c r="G10" s="65"/>
    </row>
    <row r="11" spans="2:7" s="4" customFormat="1" ht="18">
      <c r="B11" s="61">
        <v>4</v>
      </c>
      <c r="C11" s="83"/>
      <c r="D11" s="62"/>
      <c r="E11" s="63"/>
      <c r="F11" s="64"/>
      <c r="G11" s="65"/>
    </row>
    <row r="12" spans="2:7" s="4" customFormat="1" ht="18">
      <c r="B12" s="61">
        <v>5</v>
      </c>
      <c r="C12" s="83"/>
      <c r="D12" s="62"/>
      <c r="E12" s="63"/>
      <c r="F12" s="64"/>
      <c r="G12" s="65"/>
    </row>
    <row r="13" spans="2:7" s="4" customFormat="1" ht="18">
      <c r="B13" s="61">
        <v>6</v>
      </c>
      <c r="C13" s="83"/>
      <c r="D13" s="62"/>
      <c r="E13" s="63"/>
      <c r="F13" s="64"/>
      <c r="G13" s="65"/>
    </row>
    <row r="14" spans="2:7" s="12" customFormat="1" ht="17.399999999999999">
      <c r="B14" s="137" t="s">
        <v>13</v>
      </c>
      <c r="C14" s="137"/>
      <c r="D14" s="138" t="s">
        <v>7</v>
      </c>
      <c r="E14" s="138"/>
      <c r="F14" s="138"/>
      <c r="G14" s="80" t="s">
        <v>8</v>
      </c>
    </row>
    <row r="15" spans="2:7">
      <c r="B15" s="121"/>
      <c r="C15" s="121"/>
      <c r="D15" s="121"/>
      <c r="E15" s="121"/>
      <c r="F15" s="121"/>
      <c r="G15" s="121"/>
    </row>
    <row r="16" spans="2:7">
      <c r="B16" s="121"/>
      <c r="C16" s="121"/>
      <c r="D16" s="121"/>
      <c r="E16" s="121"/>
      <c r="F16" s="121"/>
      <c r="G16" s="121"/>
    </row>
    <row r="17" spans="2:7">
      <c r="B17" s="121"/>
      <c r="C17" s="121"/>
      <c r="D17" s="121"/>
      <c r="E17" s="121"/>
      <c r="F17" s="121"/>
      <c r="G17" s="121"/>
    </row>
    <row r="18" spans="2:7">
      <c r="B18" s="121"/>
      <c r="C18" s="121"/>
      <c r="D18" s="121"/>
      <c r="E18" s="121"/>
      <c r="F18" s="121"/>
      <c r="G18" s="121"/>
    </row>
    <row r="19" spans="2:7">
      <c r="B19" s="121"/>
      <c r="C19" s="121"/>
      <c r="D19" s="121"/>
      <c r="E19" s="121"/>
      <c r="F19" s="121"/>
      <c r="G19" s="121"/>
    </row>
  </sheetData>
  <sheetProtection selectLockedCells="1"/>
  <mergeCells count="8">
    <mergeCell ref="G15:G19"/>
    <mergeCell ref="B3:F3"/>
    <mergeCell ref="D4:F4"/>
    <mergeCell ref="E6:F6"/>
    <mergeCell ref="B14:C14"/>
    <mergeCell ref="D14:F14"/>
    <mergeCell ref="B15:C19"/>
    <mergeCell ref="D15:F19"/>
  </mergeCells>
  <conditionalFormatting sqref="D8:D13">
    <cfRule type="cellIs" dxfId="59" priority="1" operator="equal">
      <formula>3</formula>
    </cfRule>
    <cfRule type="cellIs" dxfId="5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0" fitToHeight="0" orientation="landscape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  <pageSetUpPr fitToPage="1"/>
  </sheetPr>
  <dimension ref="B1:G23"/>
  <sheetViews>
    <sheetView view="pageBreakPreview" topLeftCell="A4" zoomScale="80" zoomScaleNormal="55" zoomScaleSheetLayoutView="80" zoomScalePageLayoutView="70" workbookViewId="0">
      <selection activeCell="C33" sqref="C33"/>
    </sheetView>
  </sheetViews>
  <sheetFormatPr defaultColWidth="11.44140625" defaultRowHeight="14.4"/>
  <cols>
    <col min="1" max="1" width="0.33203125" style="1" customWidth="1"/>
    <col min="2" max="2" width="7.8867187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5.4414062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 thickBot="1"/>
    <row r="3" spans="2:7" ht="62.25" customHeight="1" thickBot="1">
      <c r="B3" s="133" t="s">
        <v>11</v>
      </c>
      <c r="C3" s="134"/>
      <c r="D3" s="134"/>
      <c r="E3" s="134"/>
      <c r="F3" s="135"/>
      <c r="G3" s="71" t="s">
        <v>38</v>
      </c>
    </row>
    <row r="4" spans="2:7" ht="23.4" thickBot="1">
      <c r="B4" s="14"/>
      <c r="C4" s="15" t="s">
        <v>41</v>
      </c>
      <c r="D4" s="110" t="s">
        <v>39</v>
      </c>
      <c r="E4" s="110"/>
      <c r="F4" s="110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11" t="s">
        <v>0</v>
      </c>
      <c r="F6" s="112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">
      <c r="B8" s="37">
        <v>1</v>
      </c>
      <c r="C8" s="70" t="s">
        <v>81</v>
      </c>
      <c r="D8" s="21"/>
      <c r="E8" s="19"/>
      <c r="F8" s="20"/>
      <c r="G8" s="33"/>
    </row>
    <row r="9" spans="2:7" s="4" customFormat="1" ht="18">
      <c r="B9" s="37">
        <f t="shared" ref="B9" si="0">+B8+1</f>
        <v>2</v>
      </c>
      <c r="C9" s="70" t="s">
        <v>42</v>
      </c>
      <c r="D9" s="21"/>
      <c r="E9" s="19"/>
      <c r="F9" s="20"/>
      <c r="G9" s="33"/>
    </row>
    <row r="10" spans="2:7" s="4" customFormat="1" ht="18">
      <c r="B10" s="37">
        <f>+B9+1</f>
        <v>3</v>
      </c>
      <c r="C10" s="70" t="s">
        <v>43</v>
      </c>
      <c r="D10" s="21"/>
      <c r="E10" s="19"/>
      <c r="F10" s="20"/>
      <c r="G10" s="33"/>
    </row>
    <row r="11" spans="2:7" s="4" customFormat="1" ht="18">
      <c r="B11" s="6">
        <f t="shared" ref="B11:B17" si="1">B10+1</f>
        <v>4</v>
      </c>
      <c r="C11" s="70" t="s">
        <v>44</v>
      </c>
      <c r="D11" s="21"/>
      <c r="E11" s="19"/>
      <c r="F11" s="20"/>
      <c r="G11" s="33"/>
    </row>
    <row r="12" spans="2:7" s="4" customFormat="1" ht="18">
      <c r="B12" s="6">
        <f t="shared" si="1"/>
        <v>5</v>
      </c>
      <c r="C12" s="70" t="s">
        <v>85</v>
      </c>
      <c r="D12" s="21"/>
      <c r="E12" s="19"/>
      <c r="F12" s="20"/>
      <c r="G12" s="33"/>
    </row>
    <row r="13" spans="2:7" s="4" customFormat="1" ht="18">
      <c r="B13" s="6">
        <f t="shared" si="1"/>
        <v>6</v>
      </c>
      <c r="C13" s="70" t="s">
        <v>83</v>
      </c>
      <c r="D13" s="21"/>
      <c r="E13" s="19"/>
      <c r="F13" s="20"/>
      <c r="G13" s="33"/>
    </row>
    <row r="14" spans="2:7" s="4" customFormat="1" ht="18">
      <c r="B14" s="6">
        <f t="shared" si="1"/>
        <v>7</v>
      </c>
      <c r="C14" s="70"/>
      <c r="D14" s="62"/>
      <c r="E14" s="63"/>
      <c r="F14" s="64"/>
      <c r="G14" s="65"/>
    </row>
    <row r="15" spans="2:7" s="4" customFormat="1" ht="18">
      <c r="B15" s="6">
        <f t="shared" si="1"/>
        <v>8</v>
      </c>
      <c r="C15" s="70"/>
      <c r="D15" s="62"/>
      <c r="E15" s="63"/>
      <c r="F15" s="64"/>
      <c r="G15" s="65"/>
    </row>
    <row r="16" spans="2:7" s="4" customFormat="1" ht="18">
      <c r="B16" s="6">
        <f t="shared" si="1"/>
        <v>9</v>
      </c>
      <c r="C16" s="70"/>
      <c r="D16" s="62"/>
      <c r="E16" s="63"/>
      <c r="F16" s="64"/>
      <c r="G16" s="65"/>
    </row>
    <row r="17" spans="2:7" s="4" customFormat="1" ht="18">
      <c r="B17" s="6">
        <f t="shared" si="1"/>
        <v>10</v>
      </c>
      <c r="C17" s="70"/>
      <c r="D17" s="62"/>
      <c r="E17" s="63"/>
      <c r="F17" s="64"/>
      <c r="G17" s="65"/>
    </row>
    <row r="18" spans="2:7" s="12" customFormat="1" ht="18" thickBot="1">
      <c r="B18" s="113" t="s">
        <v>13</v>
      </c>
      <c r="C18" s="114"/>
      <c r="D18" s="115" t="s">
        <v>7</v>
      </c>
      <c r="E18" s="116"/>
      <c r="F18" s="117"/>
      <c r="G18" s="89" t="s">
        <v>8</v>
      </c>
    </row>
    <row r="19" spans="2:7">
      <c r="B19" s="118"/>
      <c r="C19" s="119"/>
      <c r="D19" s="119"/>
      <c r="E19" s="119"/>
      <c r="F19" s="119"/>
      <c r="G19" s="104"/>
    </row>
    <row r="20" spans="2:7">
      <c r="B20" s="120"/>
      <c r="C20" s="121"/>
      <c r="D20" s="121"/>
      <c r="E20" s="121"/>
      <c r="F20" s="121"/>
      <c r="G20" s="105"/>
    </row>
    <row r="21" spans="2:7">
      <c r="B21" s="120"/>
      <c r="C21" s="121"/>
      <c r="D21" s="121"/>
      <c r="E21" s="121"/>
      <c r="F21" s="121"/>
      <c r="G21" s="105"/>
    </row>
    <row r="22" spans="2:7">
      <c r="B22" s="120"/>
      <c r="C22" s="121"/>
      <c r="D22" s="121"/>
      <c r="E22" s="121"/>
      <c r="F22" s="121"/>
      <c r="G22" s="105"/>
    </row>
    <row r="23" spans="2:7" ht="15" thickBot="1">
      <c r="B23" s="122"/>
      <c r="C23" s="123"/>
      <c r="D23" s="123"/>
      <c r="E23" s="123"/>
      <c r="F23" s="123"/>
      <c r="G23" s="106"/>
    </row>
  </sheetData>
  <sheetProtection selectLockedCells="1"/>
  <mergeCells count="8">
    <mergeCell ref="B19:C23"/>
    <mergeCell ref="D19:F23"/>
    <mergeCell ref="G19:G23"/>
    <mergeCell ref="E6:F6"/>
    <mergeCell ref="B3:F3"/>
    <mergeCell ref="D4:F4"/>
    <mergeCell ref="B18:C18"/>
    <mergeCell ref="D18:F18"/>
  </mergeCells>
  <conditionalFormatting sqref="D8:D17">
    <cfRule type="cellIs" dxfId="57" priority="3" operator="equal">
      <formula>3</formula>
    </cfRule>
    <cfRule type="cellIs" dxfId="56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0" fitToHeight="0" orientation="landscape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14999847407452621"/>
    <pageSetUpPr fitToPage="1"/>
  </sheetPr>
  <dimension ref="B1:G20"/>
  <sheetViews>
    <sheetView view="pageBreakPreview" zoomScale="80" zoomScaleNormal="55" zoomScaleSheetLayoutView="80" zoomScalePageLayoutView="70" workbookViewId="0">
      <selection activeCell="H3" sqref="B3:H20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 thickBot="1"/>
    <row r="3" spans="2:7" ht="62.25" customHeight="1" thickBot="1">
      <c r="B3" s="133" t="s">
        <v>11</v>
      </c>
      <c r="C3" s="134"/>
      <c r="D3" s="134"/>
      <c r="E3" s="134"/>
      <c r="F3" s="135"/>
      <c r="G3" s="71" t="s">
        <v>38</v>
      </c>
    </row>
    <row r="4" spans="2:7" ht="23.4" thickBot="1">
      <c r="B4" s="14"/>
      <c r="C4" s="15" t="s">
        <v>48</v>
      </c>
      <c r="D4" s="110" t="s">
        <v>39</v>
      </c>
      <c r="E4" s="110"/>
      <c r="F4" s="110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11" t="s">
        <v>0</v>
      </c>
      <c r="F6" s="112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">
      <c r="B8" s="5">
        <v>1</v>
      </c>
      <c r="C8" s="70" t="s">
        <v>82</v>
      </c>
      <c r="D8" s="21"/>
      <c r="E8" s="19"/>
      <c r="F8" s="20"/>
      <c r="G8" s="33"/>
    </row>
    <row r="9" spans="2:7" s="4" customFormat="1" ht="18">
      <c r="B9" s="6">
        <f>B8+1</f>
        <v>2</v>
      </c>
      <c r="C9" s="70" t="s">
        <v>45</v>
      </c>
      <c r="D9" s="21"/>
      <c r="E9" s="19"/>
      <c r="F9" s="20"/>
      <c r="G9" s="33"/>
    </row>
    <row r="10" spans="2:7" s="4" customFormat="1" ht="18">
      <c r="B10" s="37">
        <f>+B9+1</f>
        <v>3</v>
      </c>
      <c r="C10" s="70" t="s">
        <v>46</v>
      </c>
      <c r="D10" s="21"/>
      <c r="E10" s="19"/>
      <c r="F10" s="20"/>
      <c r="G10" s="33"/>
    </row>
    <row r="11" spans="2:7" s="4" customFormat="1" ht="18">
      <c r="B11" s="37">
        <f t="shared" ref="B11:B14" si="0">+B10+1</f>
        <v>4</v>
      </c>
      <c r="C11" s="70" t="s">
        <v>47</v>
      </c>
      <c r="D11" s="21"/>
      <c r="E11" s="19"/>
      <c r="F11" s="20"/>
      <c r="G11" s="33"/>
    </row>
    <row r="12" spans="2:7" s="4" customFormat="1" ht="18">
      <c r="B12" s="37">
        <f t="shared" si="0"/>
        <v>5</v>
      </c>
      <c r="C12" s="70"/>
      <c r="D12" s="62"/>
      <c r="E12" s="63"/>
      <c r="F12" s="64"/>
      <c r="G12" s="65"/>
    </row>
    <row r="13" spans="2:7" s="4" customFormat="1" ht="18">
      <c r="B13" s="37">
        <f t="shared" si="0"/>
        <v>6</v>
      </c>
      <c r="C13" s="70"/>
      <c r="D13" s="62"/>
      <c r="E13" s="63"/>
      <c r="F13" s="64"/>
      <c r="G13" s="65"/>
    </row>
    <row r="14" spans="2:7" s="4" customFormat="1" ht="18">
      <c r="B14" s="37">
        <f t="shared" si="0"/>
        <v>7</v>
      </c>
      <c r="C14" s="70"/>
      <c r="D14" s="62"/>
      <c r="E14" s="63"/>
      <c r="F14" s="64"/>
      <c r="G14" s="65"/>
    </row>
    <row r="15" spans="2:7" ht="18" thickBot="1">
      <c r="B15" s="113" t="s">
        <v>13</v>
      </c>
      <c r="C15" s="114"/>
      <c r="D15" s="115" t="s">
        <v>7</v>
      </c>
      <c r="E15" s="116"/>
      <c r="F15" s="117"/>
      <c r="G15" s="89" t="s">
        <v>8</v>
      </c>
    </row>
    <row r="16" spans="2:7">
      <c r="B16" s="118"/>
      <c r="C16" s="119"/>
      <c r="D16" s="119"/>
      <c r="E16" s="119"/>
      <c r="F16" s="119"/>
      <c r="G16" s="104"/>
    </row>
    <row r="17" spans="2:7">
      <c r="B17" s="120"/>
      <c r="C17" s="121"/>
      <c r="D17" s="121"/>
      <c r="E17" s="121"/>
      <c r="F17" s="121"/>
      <c r="G17" s="105"/>
    </row>
    <row r="18" spans="2:7">
      <c r="B18" s="120"/>
      <c r="C18" s="121"/>
      <c r="D18" s="121"/>
      <c r="E18" s="121"/>
      <c r="F18" s="121"/>
      <c r="G18" s="105"/>
    </row>
    <row r="19" spans="2:7">
      <c r="B19" s="120"/>
      <c r="C19" s="121"/>
      <c r="D19" s="121"/>
      <c r="E19" s="121"/>
      <c r="F19" s="121"/>
      <c r="G19" s="105"/>
    </row>
    <row r="20" spans="2:7" ht="15" thickBot="1">
      <c r="B20" s="122"/>
      <c r="C20" s="123"/>
      <c r="D20" s="123"/>
      <c r="E20" s="123"/>
      <c r="F20" s="123"/>
      <c r="G20" s="106"/>
    </row>
  </sheetData>
  <sheetProtection selectLockedCells="1"/>
  <mergeCells count="8">
    <mergeCell ref="G16:G20"/>
    <mergeCell ref="B3:F3"/>
    <mergeCell ref="D4:F4"/>
    <mergeCell ref="E6:F6"/>
    <mergeCell ref="B15:C15"/>
    <mergeCell ref="D15:F15"/>
    <mergeCell ref="B16:C20"/>
    <mergeCell ref="D16:F20"/>
  </mergeCells>
  <conditionalFormatting sqref="D8:D14">
    <cfRule type="cellIs" dxfId="55" priority="1" operator="equal">
      <formula>3</formula>
    </cfRule>
    <cfRule type="cellIs" dxfId="54" priority="2" operator="equal">
      <formula>4</formula>
    </cfRule>
  </conditionalFormatting>
  <printOptions horizontalCentered="1"/>
  <pageMargins left="0.25" right="0.25" top="0.75" bottom="0.75" header="0.3" footer="0.3"/>
  <pageSetup paperSize="9" scale="80" fitToHeight="0" orientation="landscape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14999847407452621"/>
    <pageSetUpPr fitToPage="1"/>
  </sheetPr>
  <dimension ref="B1:G25"/>
  <sheetViews>
    <sheetView view="pageBreakPreview" zoomScale="70" zoomScaleNormal="55" zoomScaleSheetLayoutView="70" zoomScalePageLayoutView="70" workbookViewId="0">
      <selection activeCell="C14" sqref="C14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 thickBot="1"/>
    <row r="3" spans="2:7" ht="62.25" customHeight="1" thickBot="1">
      <c r="B3" s="133" t="s">
        <v>11</v>
      </c>
      <c r="C3" s="134"/>
      <c r="D3" s="134"/>
      <c r="E3" s="134"/>
      <c r="F3" s="135"/>
      <c r="G3" s="71" t="s">
        <v>38</v>
      </c>
    </row>
    <row r="4" spans="2:7" ht="23.4" thickBot="1">
      <c r="B4" s="14"/>
      <c r="C4" s="15" t="s">
        <v>56</v>
      </c>
      <c r="D4" s="110" t="s">
        <v>39</v>
      </c>
      <c r="E4" s="110"/>
      <c r="F4" s="110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11" t="s">
        <v>0</v>
      </c>
      <c r="F6" s="112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">
      <c r="B8" s="6">
        <v>1</v>
      </c>
      <c r="C8" s="95" t="s">
        <v>162</v>
      </c>
      <c r="D8" s="21"/>
      <c r="E8" s="19"/>
      <c r="F8" s="20"/>
      <c r="G8" s="33"/>
    </row>
    <row r="9" spans="2:7" s="4" customFormat="1" ht="18">
      <c r="B9" s="6">
        <v>2</v>
      </c>
      <c r="C9" s="85" t="s">
        <v>49</v>
      </c>
      <c r="D9" s="21"/>
      <c r="E9" s="19"/>
      <c r="F9" s="20"/>
      <c r="G9" s="33"/>
    </row>
    <row r="10" spans="2:7" s="4" customFormat="1" ht="18">
      <c r="B10" s="6">
        <v>3</v>
      </c>
      <c r="C10" s="85" t="s">
        <v>50</v>
      </c>
      <c r="D10" s="21"/>
      <c r="E10" s="19"/>
      <c r="F10" s="20"/>
      <c r="G10" s="33"/>
    </row>
    <row r="11" spans="2:7" s="4" customFormat="1" ht="18">
      <c r="B11" s="6">
        <v>4</v>
      </c>
      <c r="C11" s="85" t="s">
        <v>51</v>
      </c>
      <c r="D11" s="21"/>
      <c r="E11" s="19"/>
      <c r="F11" s="20"/>
      <c r="G11" s="33"/>
    </row>
    <row r="12" spans="2:7" s="4" customFormat="1" ht="18">
      <c r="B12" s="6">
        <v>5</v>
      </c>
      <c r="C12" s="85" t="s">
        <v>52</v>
      </c>
      <c r="D12" s="21"/>
      <c r="E12" s="19"/>
      <c r="F12" s="20"/>
      <c r="G12" s="33"/>
    </row>
    <row r="13" spans="2:7" s="4" customFormat="1" ht="18">
      <c r="B13" s="6">
        <v>6</v>
      </c>
      <c r="C13" s="85" t="s">
        <v>53</v>
      </c>
      <c r="D13" s="21"/>
      <c r="E13" s="19"/>
      <c r="F13" s="20"/>
      <c r="G13" s="33"/>
    </row>
    <row r="14" spans="2:7" s="4" customFormat="1" ht="18">
      <c r="B14" s="6">
        <v>7</v>
      </c>
      <c r="C14" s="85" t="s">
        <v>54</v>
      </c>
      <c r="D14" s="21"/>
      <c r="E14" s="19"/>
      <c r="F14" s="20"/>
      <c r="G14" s="33"/>
    </row>
    <row r="15" spans="2:7" s="4" customFormat="1" ht="18">
      <c r="B15" s="6">
        <v>8</v>
      </c>
      <c r="C15" s="85" t="s">
        <v>55</v>
      </c>
      <c r="D15" s="21"/>
      <c r="E15" s="19"/>
      <c r="F15" s="20"/>
      <c r="G15" s="33"/>
    </row>
    <row r="16" spans="2:7" s="4" customFormat="1" ht="18">
      <c r="B16" s="6">
        <f t="shared" ref="B16:B19" si="0">B15+1</f>
        <v>9</v>
      </c>
      <c r="C16" s="90"/>
      <c r="D16" s="62"/>
      <c r="E16" s="63"/>
      <c r="F16" s="64"/>
      <c r="G16" s="65"/>
    </row>
    <row r="17" spans="2:7" s="4" customFormat="1" ht="18">
      <c r="B17" s="6">
        <f t="shared" si="0"/>
        <v>10</v>
      </c>
      <c r="C17" s="90"/>
      <c r="D17" s="62"/>
      <c r="E17" s="63"/>
      <c r="F17" s="64"/>
      <c r="G17" s="65"/>
    </row>
    <row r="18" spans="2:7" s="4" customFormat="1" ht="18">
      <c r="B18" s="6">
        <f t="shared" si="0"/>
        <v>11</v>
      </c>
      <c r="C18" s="90"/>
      <c r="D18" s="62"/>
      <c r="E18" s="63"/>
      <c r="F18" s="64"/>
      <c r="G18" s="65"/>
    </row>
    <row r="19" spans="2:7" s="4" customFormat="1" ht="18">
      <c r="B19" s="6">
        <f t="shared" si="0"/>
        <v>12</v>
      </c>
      <c r="C19" s="90"/>
      <c r="D19" s="62"/>
      <c r="E19" s="63"/>
      <c r="F19" s="64"/>
      <c r="G19" s="65"/>
    </row>
    <row r="20" spans="2:7" ht="18" thickBot="1">
      <c r="B20" s="113" t="s">
        <v>13</v>
      </c>
      <c r="C20" s="114"/>
      <c r="D20" s="115" t="s">
        <v>7</v>
      </c>
      <c r="E20" s="116"/>
      <c r="F20" s="117"/>
      <c r="G20" s="89" t="s">
        <v>8</v>
      </c>
    </row>
    <row r="21" spans="2:7">
      <c r="B21" s="118"/>
      <c r="C21" s="119"/>
      <c r="D21" s="119"/>
      <c r="E21" s="119"/>
      <c r="F21" s="119"/>
      <c r="G21" s="104"/>
    </row>
    <row r="22" spans="2:7">
      <c r="B22" s="120"/>
      <c r="C22" s="121"/>
      <c r="D22" s="121"/>
      <c r="E22" s="121"/>
      <c r="F22" s="121"/>
      <c r="G22" s="105"/>
    </row>
    <row r="23" spans="2:7">
      <c r="B23" s="120"/>
      <c r="C23" s="121"/>
      <c r="D23" s="121"/>
      <c r="E23" s="121"/>
      <c r="F23" s="121"/>
      <c r="G23" s="105"/>
    </row>
    <row r="24" spans="2:7">
      <c r="B24" s="120"/>
      <c r="C24" s="121"/>
      <c r="D24" s="121"/>
      <c r="E24" s="121"/>
      <c r="F24" s="121"/>
      <c r="G24" s="105"/>
    </row>
    <row r="25" spans="2:7" ht="15" thickBot="1">
      <c r="B25" s="122"/>
      <c r="C25" s="123"/>
      <c r="D25" s="123"/>
      <c r="E25" s="123"/>
      <c r="F25" s="123"/>
      <c r="G25" s="106"/>
    </row>
  </sheetData>
  <sheetProtection selectLockedCells="1"/>
  <mergeCells count="8">
    <mergeCell ref="B21:C25"/>
    <mergeCell ref="D21:F25"/>
    <mergeCell ref="G21:G25"/>
    <mergeCell ref="B3:F3"/>
    <mergeCell ref="D4:F4"/>
    <mergeCell ref="E6:F6"/>
    <mergeCell ref="B20:C20"/>
    <mergeCell ref="D20:F20"/>
  </mergeCells>
  <conditionalFormatting sqref="D8:D19">
    <cfRule type="cellIs" dxfId="53" priority="3" operator="equal">
      <formula>3</formula>
    </cfRule>
    <cfRule type="cellIs" dxfId="52" priority="4" operator="equal">
      <formula>4</formula>
    </cfRule>
  </conditionalFormatting>
  <printOptions horizontalCentered="1"/>
  <pageMargins left="0.25" right="0.25" top="0.75" bottom="0.75" header="0.3" footer="0.3"/>
  <pageSetup paperSize="9" scale="80" fitToHeight="0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14999847407452621"/>
    <pageSetUpPr fitToPage="1"/>
  </sheetPr>
  <dimension ref="B3:G18"/>
  <sheetViews>
    <sheetView zoomScale="90" zoomScaleNormal="90" workbookViewId="0">
      <selection activeCell="B1" sqref="B1:G18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3" spans="2:7" ht="24.6">
      <c r="B3" s="139" t="s">
        <v>11</v>
      </c>
      <c r="C3" s="139"/>
      <c r="D3" s="139"/>
      <c r="E3" s="139"/>
      <c r="F3" s="139"/>
      <c r="G3" s="78" t="s">
        <v>38</v>
      </c>
    </row>
    <row r="4" spans="2:7" ht="22.8">
      <c r="B4" s="52"/>
      <c r="C4" s="53" t="s">
        <v>40</v>
      </c>
      <c r="D4" s="110" t="s">
        <v>39</v>
      </c>
      <c r="E4" s="110"/>
      <c r="F4" s="110"/>
      <c r="G4" s="51" t="s">
        <v>57</v>
      </c>
    </row>
    <row r="5" spans="2:7" ht="17.399999999999999">
      <c r="B5" s="57"/>
      <c r="C5" s="57"/>
      <c r="D5" s="57"/>
      <c r="E5" s="136" t="s">
        <v>0</v>
      </c>
      <c r="F5" s="136"/>
      <c r="G5" s="57"/>
    </row>
    <row r="6" spans="2:7" s="4" customFormat="1" ht="16.2" thickBot="1">
      <c r="B6" s="72" t="s">
        <v>1</v>
      </c>
      <c r="C6" s="73" t="s">
        <v>2</v>
      </c>
      <c r="D6" s="74" t="s">
        <v>3</v>
      </c>
      <c r="E6" s="75" t="s">
        <v>4</v>
      </c>
      <c r="F6" s="76" t="s">
        <v>5</v>
      </c>
      <c r="G6" s="77" t="s">
        <v>6</v>
      </c>
    </row>
    <row r="7" spans="2:7" s="4" customFormat="1" ht="18">
      <c r="B7" s="5">
        <v>1</v>
      </c>
      <c r="C7" s="70" t="s">
        <v>90</v>
      </c>
      <c r="D7" s="21"/>
      <c r="E7" s="19"/>
      <c r="F7" s="20"/>
      <c r="G7" s="33"/>
    </row>
    <row r="8" spans="2:7" s="4" customFormat="1" ht="18">
      <c r="B8" s="6">
        <f>B7+1</f>
        <v>2</v>
      </c>
      <c r="C8" s="70" t="s">
        <v>89</v>
      </c>
      <c r="D8" s="21"/>
      <c r="E8" s="19"/>
      <c r="F8" s="20"/>
      <c r="G8" s="33"/>
    </row>
    <row r="9" spans="2:7" s="4" customFormat="1" ht="18">
      <c r="B9" s="37">
        <f>+B8+1</f>
        <v>3</v>
      </c>
      <c r="C9" s="70" t="s">
        <v>86</v>
      </c>
      <c r="D9" s="21"/>
      <c r="E9" s="19"/>
      <c r="F9" s="20"/>
      <c r="G9" s="33"/>
    </row>
    <row r="10" spans="2:7" s="4" customFormat="1" ht="18">
      <c r="B10" s="6">
        <f t="shared" ref="B10" si="0">B9+1</f>
        <v>4</v>
      </c>
      <c r="C10" s="70" t="s">
        <v>91</v>
      </c>
      <c r="D10" s="21"/>
      <c r="E10" s="19"/>
      <c r="F10" s="20"/>
      <c r="G10" s="33"/>
    </row>
    <row r="11" spans="2:7" s="4" customFormat="1" ht="18">
      <c r="B11" s="37">
        <f t="shared" ref="B11" si="1">+B10+1</f>
        <v>5</v>
      </c>
      <c r="C11" s="70" t="s">
        <v>87</v>
      </c>
      <c r="D11" s="21"/>
      <c r="E11" s="19"/>
      <c r="F11" s="20"/>
      <c r="G11" s="33"/>
    </row>
    <row r="12" spans="2:7" s="4" customFormat="1" ht="18.600000000000001" thickBot="1">
      <c r="B12" s="6">
        <f t="shared" ref="B12" si="2">B11+1</f>
        <v>6</v>
      </c>
      <c r="C12" s="70" t="s">
        <v>88</v>
      </c>
      <c r="D12" s="21"/>
      <c r="E12" s="19"/>
      <c r="F12" s="20"/>
      <c r="G12" s="33"/>
    </row>
    <row r="13" spans="2:7" ht="18" thickBot="1">
      <c r="B13" s="113" t="s">
        <v>13</v>
      </c>
      <c r="C13" s="114"/>
      <c r="D13" s="140" t="s">
        <v>7</v>
      </c>
      <c r="E13" s="141"/>
      <c r="F13" s="142"/>
      <c r="G13" s="24" t="s">
        <v>8</v>
      </c>
    </row>
    <row r="14" spans="2:7">
      <c r="B14" s="118"/>
      <c r="C14" s="119"/>
      <c r="D14" s="119"/>
      <c r="E14" s="119"/>
      <c r="F14" s="119"/>
      <c r="G14" s="104"/>
    </row>
    <row r="15" spans="2:7">
      <c r="B15" s="120"/>
      <c r="C15" s="121"/>
      <c r="D15" s="121"/>
      <c r="E15" s="121"/>
      <c r="F15" s="121"/>
      <c r="G15" s="105"/>
    </row>
    <row r="16" spans="2:7">
      <c r="B16" s="120"/>
      <c r="C16" s="121"/>
      <c r="D16" s="121"/>
      <c r="E16" s="121"/>
      <c r="F16" s="121"/>
      <c r="G16" s="105"/>
    </row>
    <row r="17" spans="2:7">
      <c r="B17" s="120"/>
      <c r="C17" s="121"/>
      <c r="D17" s="121"/>
      <c r="E17" s="121"/>
      <c r="F17" s="121"/>
      <c r="G17" s="105"/>
    </row>
    <row r="18" spans="2:7" ht="15" thickBot="1">
      <c r="B18" s="122"/>
      <c r="C18" s="123"/>
      <c r="D18" s="123"/>
      <c r="E18" s="123"/>
      <c r="F18" s="123"/>
      <c r="G18" s="106"/>
    </row>
  </sheetData>
  <mergeCells count="8">
    <mergeCell ref="G14:G18"/>
    <mergeCell ref="B3:F3"/>
    <mergeCell ref="D4:F4"/>
    <mergeCell ref="E5:F5"/>
    <mergeCell ref="B13:C13"/>
    <mergeCell ref="D13:F13"/>
    <mergeCell ref="B14:C18"/>
    <mergeCell ref="D14:F18"/>
  </mergeCells>
  <conditionalFormatting sqref="D7:D12">
    <cfRule type="cellIs" dxfId="51" priority="1" operator="equal">
      <formula>3</formula>
    </cfRule>
    <cfRule type="cellIs" dxfId="50" priority="2" operator="equal">
      <formula>4</formula>
    </cfRule>
  </conditionalFormatting>
  <pageMargins left="0.25" right="0.25" top="0.75" bottom="0.75" header="0.3" footer="0.3"/>
  <pageSetup paperSize="9" scale="80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14999847407452621"/>
    <pageSetUpPr fitToPage="1"/>
  </sheetPr>
  <dimension ref="B3:G20"/>
  <sheetViews>
    <sheetView topLeftCell="A3" zoomScale="80" zoomScaleNormal="80" workbookViewId="0">
      <selection activeCell="G3" sqref="B3:G20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3" spans="2:7" ht="24.6">
      <c r="B3" s="139" t="s">
        <v>11</v>
      </c>
      <c r="C3" s="139"/>
      <c r="D3" s="139"/>
      <c r="E3" s="139"/>
      <c r="F3" s="139"/>
      <c r="G3" s="71" t="s">
        <v>38</v>
      </c>
    </row>
    <row r="4" spans="2:7" ht="22.8">
      <c r="B4" s="52"/>
      <c r="C4" s="69" t="s">
        <v>41</v>
      </c>
      <c r="D4" s="110" t="s">
        <v>39</v>
      </c>
      <c r="E4" s="110"/>
      <c r="F4" s="110"/>
      <c r="G4" s="54" t="s">
        <v>57</v>
      </c>
    </row>
    <row r="5" spans="2:7">
      <c r="B5" s="55"/>
      <c r="C5" s="55"/>
      <c r="D5" s="56"/>
      <c r="E5" s="56"/>
      <c r="F5" s="56"/>
      <c r="G5" s="56"/>
    </row>
    <row r="6" spans="2:7" ht="17.399999999999999">
      <c r="B6" s="57"/>
      <c r="C6" s="57"/>
      <c r="D6" s="57"/>
      <c r="E6" s="136" t="s">
        <v>0</v>
      </c>
      <c r="F6" s="136"/>
      <c r="G6" s="57"/>
    </row>
    <row r="7" spans="2:7" s="4" customFormat="1" ht="16.2" thickBot="1">
      <c r="B7" s="58" t="s">
        <v>1</v>
      </c>
      <c r="C7" s="58" t="s">
        <v>2</v>
      </c>
      <c r="D7" s="58" t="s">
        <v>3</v>
      </c>
      <c r="E7" s="59" t="s">
        <v>4</v>
      </c>
      <c r="F7" s="59" t="s">
        <v>5</v>
      </c>
      <c r="G7" s="60" t="s">
        <v>6</v>
      </c>
    </row>
    <row r="8" spans="2:7" s="4" customFormat="1" ht="18.600000000000001" thickBot="1">
      <c r="B8" s="61">
        <v>1</v>
      </c>
      <c r="C8" s="82" t="s">
        <v>89</v>
      </c>
      <c r="D8" s="62"/>
      <c r="E8" s="63"/>
      <c r="F8" s="64"/>
      <c r="G8" s="65"/>
    </row>
    <row r="9" spans="2:7" s="4" customFormat="1" ht="18.600000000000001" thickBot="1">
      <c r="B9" s="66">
        <f>B8+1</f>
        <v>2</v>
      </c>
      <c r="C9" s="82" t="s">
        <v>90</v>
      </c>
      <c r="D9" s="62"/>
      <c r="E9" s="63"/>
      <c r="F9" s="64"/>
      <c r="G9" s="65"/>
    </row>
    <row r="10" spans="2:7" s="4" customFormat="1" ht="18.600000000000001" thickBot="1">
      <c r="B10" s="61">
        <f>+B9+1</f>
        <v>3</v>
      </c>
      <c r="C10" s="82" t="s">
        <v>94</v>
      </c>
      <c r="D10" s="62"/>
      <c r="E10" s="63"/>
      <c r="F10" s="64"/>
      <c r="G10" s="65"/>
    </row>
    <row r="11" spans="2:7" s="4" customFormat="1" ht="18.600000000000001" thickBot="1">
      <c r="B11" s="61">
        <f t="shared" ref="B11:B14" si="0">+B10+1</f>
        <v>4</v>
      </c>
      <c r="C11" s="82" t="s">
        <v>93</v>
      </c>
      <c r="D11" s="47"/>
      <c r="E11" s="19"/>
      <c r="F11" s="86"/>
      <c r="G11" s="87"/>
    </row>
    <row r="12" spans="2:7" s="4" customFormat="1" ht="18.600000000000001" thickBot="1">
      <c r="B12" s="61">
        <f t="shared" si="0"/>
        <v>5</v>
      </c>
      <c r="C12" s="84" t="s">
        <v>58</v>
      </c>
      <c r="D12" s="47"/>
      <c r="E12" s="19"/>
      <c r="F12" s="86"/>
      <c r="G12" s="87"/>
    </row>
    <row r="13" spans="2:7" s="4" customFormat="1" ht="18.600000000000001" thickBot="1">
      <c r="B13" s="61">
        <f t="shared" si="0"/>
        <v>6</v>
      </c>
      <c r="C13" s="84" t="s">
        <v>59</v>
      </c>
      <c r="D13" s="47"/>
      <c r="E13" s="19"/>
      <c r="F13" s="86"/>
      <c r="G13" s="87"/>
    </row>
    <row r="14" spans="2:7" s="4" customFormat="1" ht="18.600000000000001" thickBot="1">
      <c r="B14" s="61">
        <f t="shared" si="0"/>
        <v>7</v>
      </c>
      <c r="C14" s="82" t="s">
        <v>92</v>
      </c>
      <c r="D14" s="47"/>
      <c r="E14" s="19"/>
      <c r="F14" s="86"/>
      <c r="G14" s="87"/>
    </row>
    <row r="15" spans="2:7" ht="18" thickBot="1">
      <c r="B15" s="143" t="s">
        <v>13</v>
      </c>
      <c r="C15" s="144"/>
      <c r="D15" s="140" t="s">
        <v>7</v>
      </c>
      <c r="E15" s="141"/>
      <c r="F15" s="142"/>
      <c r="G15" s="24" t="s">
        <v>8</v>
      </c>
    </row>
    <row r="16" spans="2:7">
      <c r="B16" s="145"/>
      <c r="C16" s="146"/>
      <c r="D16" s="119"/>
      <c r="E16" s="119"/>
      <c r="F16" s="119"/>
      <c r="G16" s="104"/>
    </row>
    <row r="17" spans="2:7">
      <c r="B17" s="147"/>
      <c r="C17" s="148"/>
      <c r="D17" s="121"/>
      <c r="E17" s="121"/>
      <c r="F17" s="121"/>
      <c r="G17" s="105"/>
    </row>
    <row r="18" spans="2:7">
      <c r="B18" s="147"/>
      <c r="C18" s="148"/>
      <c r="D18" s="121"/>
      <c r="E18" s="121"/>
      <c r="F18" s="121"/>
      <c r="G18" s="105"/>
    </row>
    <row r="19" spans="2:7">
      <c r="B19" s="147"/>
      <c r="C19" s="148"/>
      <c r="D19" s="121"/>
      <c r="E19" s="121"/>
      <c r="F19" s="121"/>
      <c r="G19" s="105"/>
    </row>
    <row r="20" spans="2:7" ht="15" thickBot="1">
      <c r="B20" s="149"/>
      <c r="C20" s="150"/>
      <c r="D20" s="123"/>
      <c r="E20" s="123"/>
      <c r="F20" s="123"/>
      <c r="G20" s="106"/>
    </row>
  </sheetData>
  <mergeCells count="8">
    <mergeCell ref="G16:G20"/>
    <mergeCell ref="B3:F3"/>
    <mergeCell ref="D4:F4"/>
    <mergeCell ref="E6:F6"/>
    <mergeCell ref="B15:C15"/>
    <mergeCell ref="D15:F15"/>
    <mergeCell ref="B16:C20"/>
    <mergeCell ref="D16:F20"/>
  </mergeCells>
  <conditionalFormatting sqref="D8:D14">
    <cfRule type="cellIs" dxfId="49" priority="1" operator="equal">
      <formula>3</formula>
    </cfRule>
    <cfRule type="cellIs" dxfId="48" priority="2" operator="equal">
      <formula>4</formula>
    </cfRule>
  </conditionalFormatting>
  <pageMargins left="0.25" right="0.25" top="0.75" bottom="0.75" header="0.3" footer="0.3"/>
  <pageSetup paperSize="9" scale="80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14999847407452621"/>
    <pageSetUpPr fitToPage="1"/>
  </sheetPr>
  <dimension ref="B1:G20"/>
  <sheetViews>
    <sheetView view="pageBreakPreview" zoomScale="90" zoomScaleNormal="55" zoomScaleSheetLayoutView="90" zoomScalePageLayoutView="70" workbookViewId="0">
      <selection activeCell="G3" sqref="B3:G20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 thickBot="1"/>
    <row r="3" spans="2:7" ht="62.25" customHeight="1" thickBot="1">
      <c r="B3" s="133" t="s">
        <v>11</v>
      </c>
      <c r="C3" s="134"/>
      <c r="D3" s="134"/>
      <c r="E3" s="134"/>
      <c r="F3" s="135"/>
      <c r="G3" s="71" t="s">
        <v>38</v>
      </c>
    </row>
    <row r="4" spans="2:7" ht="23.4" thickBot="1">
      <c r="B4" s="14"/>
      <c r="C4" s="15" t="s">
        <v>48</v>
      </c>
      <c r="D4" s="110" t="s">
        <v>39</v>
      </c>
      <c r="E4" s="110"/>
      <c r="F4" s="110"/>
      <c r="G4" s="32" t="s">
        <v>57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11" t="s">
        <v>0</v>
      </c>
      <c r="F6" s="112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600000000000001" thickBot="1">
      <c r="B8" s="5">
        <v>1</v>
      </c>
      <c r="C8" s="82" t="s">
        <v>92</v>
      </c>
      <c r="D8" s="21"/>
      <c r="E8" s="19"/>
      <c r="F8" s="20"/>
      <c r="G8" s="33"/>
    </row>
    <row r="9" spans="2:7" s="4" customFormat="1" ht="18.600000000000001" thickBot="1">
      <c r="B9" s="37">
        <v>2</v>
      </c>
      <c r="C9" s="82" t="s">
        <v>95</v>
      </c>
      <c r="D9" s="21"/>
      <c r="E9" s="19"/>
      <c r="F9" s="20"/>
      <c r="G9" s="33"/>
    </row>
    <row r="10" spans="2:7" s="4" customFormat="1" ht="21.75" customHeight="1" thickBot="1">
      <c r="B10" s="6">
        <v>3</v>
      </c>
      <c r="C10" s="82" t="s">
        <v>96</v>
      </c>
      <c r="D10" s="21"/>
      <c r="E10" s="19"/>
      <c r="F10" s="20"/>
      <c r="G10" s="33"/>
    </row>
    <row r="11" spans="2:7" s="4" customFormat="1" ht="18.600000000000001" thickBot="1">
      <c r="B11" s="37">
        <v>4</v>
      </c>
      <c r="C11" s="82" t="s">
        <v>97</v>
      </c>
      <c r="D11" s="21"/>
      <c r="E11" s="19"/>
      <c r="F11" s="20"/>
      <c r="G11" s="33"/>
    </row>
    <row r="12" spans="2:7" s="4" customFormat="1" ht="18">
      <c r="B12" s="5">
        <v>5</v>
      </c>
      <c r="C12" s="88" t="s">
        <v>62</v>
      </c>
      <c r="D12" s="21"/>
      <c r="E12" s="19"/>
      <c r="F12" s="20"/>
      <c r="G12" s="33"/>
    </row>
    <row r="13" spans="2:7" s="4" customFormat="1" ht="18">
      <c r="B13" s="37">
        <v>6</v>
      </c>
      <c r="C13" s="85" t="s">
        <v>61</v>
      </c>
      <c r="D13" s="21"/>
      <c r="E13" s="19"/>
      <c r="F13" s="20"/>
      <c r="G13" s="33"/>
    </row>
    <row r="14" spans="2:7" s="4" customFormat="1" ht="18.600000000000001" thickBot="1">
      <c r="B14" s="6">
        <v>7</v>
      </c>
      <c r="C14" s="85" t="s">
        <v>60</v>
      </c>
      <c r="D14" s="21"/>
      <c r="E14" s="19"/>
      <c r="F14" s="20"/>
      <c r="G14" s="33"/>
    </row>
    <row r="15" spans="2:7" ht="18" thickBot="1">
      <c r="B15" s="113" t="s">
        <v>13</v>
      </c>
      <c r="C15" s="114"/>
      <c r="D15" s="140" t="s">
        <v>7</v>
      </c>
      <c r="E15" s="141"/>
      <c r="F15" s="142"/>
      <c r="G15" s="24" t="s">
        <v>8</v>
      </c>
    </row>
    <row r="16" spans="2:7">
      <c r="B16" s="118"/>
      <c r="C16" s="119"/>
      <c r="D16" s="119"/>
      <c r="E16" s="119"/>
      <c r="F16" s="119"/>
      <c r="G16" s="104"/>
    </row>
    <row r="17" spans="2:7">
      <c r="B17" s="120"/>
      <c r="C17" s="121"/>
      <c r="D17" s="121"/>
      <c r="E17" s="121"/>
      <c r="F17" s="121"/>
      <c r="G17" s="105"/>
    </row>
    <row r="18" spans="2:7">
      <c r="B18" s="120"/>
      <c r="C18" s="121"/>
      <c r="D18" s="121"/>
      <c r="E18" s="121"/>
      <c r="F18" s="121"/>
      <c r="G18" s="105"/>
    </row>
    <row r="19" spans="2:7">
      <c r="B19" s="120"/>
      <c r="C19" s="121"/>
      <c r="D19" s="121"/>
      <c r="E19" s="121"/>
      <c r="F19" s="121"/>
      <c r="G19" s="105"/>
    </row>
    <row r="20" spans="2:7" ht="15" thickBot="1">
      <c r="B20" s="122"/>
      <c r="C20" s="123"/>
      <c r="D20" s="123"/>
      <c r="E20" s="123"/>
      <c r="F20" s="123"/>
      <c r="G20" s="106"/>
    </row>
  </sheetData>
  <sheetProtection selectLockedCells="1"/>
  <mergeCells count="8">
    <mergeCell ref="B16:C20"/>
    <mergeCell ref="D16:F20"/>
    <mergeCell ref="G16:G20"/>
    <mergeCell ref="B3:F3"/>
    <mergeCell ref="D4:F4"/>
    <mergeCell ref="E6:F6"/>
    <mergeCell ref="B15:C15"/>
    <mergeCell ref="D15:F15"/>
  </mergeCells>
  <conditionalFormatting sqref="D8:D14">
    <cfRule type="cellIs" dxfId="47" priority="3" operator="equal">
      <formula>3</formula>
    </cfRule>
    <cfRule type="cellIs" dxfId="46" priority="4" operator="equal">
      <formula>4</formula>
    </cfRule>
  </conditionalFormatting>
  <printOptions horizontalCentered="1"/>
  <pageMargins left="0.25" right="0.25" top="0.75" bottom="0.75" header="0.3" footer="0.3"/>
  <pageSetup paperSize="9" scale="80" fitToHeight="0" orientation="landscape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14999847407452621"/>
    <pageSetUpPr fitToPage="1"/>
  </sheetPr>
  <dimension ref="B1:G32"/>
  <sheetViews>
    <sheetView view="pageBreakPreview" topLeftCell="A4" zoomScale="90" zoomScaleNormal="55" zoomScaleSheetLayoutView="90" zoomScalePageLayoutView="70" workbookViewId="0">
      <selection activeCell="B3" sqref="B3:F3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 thickBot="1"/>
    <row r="3" spans="2:7" ht="62.25" customHeight="1" thickBot="1">
      <c r="B3" s="133" t="s">
        <v>11</v>
      </c>
      <c r="C3" s="134"/>
      <c r="D3" s="134"/>
      <c r="E3" s="134"/>
      <c r="F3" s="135"/>
      <c r="G3" s="71" t="s">
        <v>38</v>
      </c>
    </row>
    <row r="4" spans="2:7" ht="23.4" thickBot="1">
      <c r="B4" s="14"/>
      <c r="C4" s="15" t="s">
        <v>56</v>
      </c>
      <c r="D4" s="110" t="s">
        <v>39</v>
      </c>
      <c r="E4" s="110"/>
      <c r="F4" s="110"/>
      <c r="G4" s="32" t="s">
        <v>57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11" t="s">
        <v>0</v>
      </c>
      <c r="F6" s="112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">
      <c r="B8" s="6">
        <v>1</v>
      </c>
      <c r="C8" s="85" t="s">
        <v>63</v>
      </c>
      <c r="D8" s="21"/>
      <c r="E8" s="19"/>
      <c r="F8" s="20"/>
      <c r="G8" s="33"/>
    </row>
    <row r="9" spans="2:7" s="4" customFormat="1" ht="18">
      <c r="B9" s="37">
        <f>+B8+1</f>
        <v>2</v>
      </c>
      <c r="C9" s="85" t="s">
        <v>64</v>
      </c>
      <c r="D9" s="21"/>
      <c r="E9" s="19"/>
      <c r="F9" s="20"/>
      <c r="G9" s="33"/>
    </row>
    <row r="10" spans="2:7" s="4" customFormat="1" ht="18">
      <c r="B10" s="6">
        <f t="shared" ref="B10" si="0">B9+1</f>
        <v>3</v>
      </c>
      <c r="C10" s="85" t="s">
        <v>65</v>
      </c>
      <c r="D10" s="21"/>
      <c r="E10" s="19"/>
      <c r="F10" s="20"/>
      <c r="G10" s="33"/>
    </row>
    <row r="11" spans="2:7" s="4" customFormat="1" ht="18">
      <c r="B11" s="37">
        <f t="shared" ref="B11" si="1">+B10+1</f>
        <v>4</v>
      </c>
      <c r="C11" s="85" t="s">
        <v>66</v>
      </c>
      <c r="D11" s="21"/>
      <c r="E11" s="19"/>
      <c r="F11" s="20"/>
      <c r="G11" s="33"/>
    </row>
    <row r="12" spans="2:7" s="4" customFormat="1" ht="18">
      <c r="B12" s="6">
        <f t="shared" ref="B12" si="2">B11+1</f>
        <v>5</v>
      </c>
      <c r="C12" s="85" t="s">
        <v>67</v>
      </c>
      <c r="D12" s="21"/>
      <c r="E12" s="19"/>
      <c r="F12" s="20"/>
      <c r="G12" s="33"/>
    </row>
    <row r="13" spans="2:7" s="4" customFormat="1" ht="18">
      <c r="B13" s="37">
        <f t="shared" ref="B13" si="3">+B12+1</f>
        <v>6</v>
      </c>
      <c r="C13" s="85" t="s">
        <v>98</v>
      </c>
      <c r="D13" s="21"/>
      <c r="E13" s="19"/>
      <c r="F13" s="20"/>
      <c r="G13" s="33"/>
    </row>
    <row r="14" spans="2:7" s="4" customFormat="1" ht="18">
      <c r="B14" s="6">
        <f t="shared" ref="B14" si="4">B13+1</f>
        <v>7</v>
      </c>
      <c r="C14" s="85" t="s">
        <v>99</v>
      </c>
      <c r="D14" s="21"/>
      <c r="E14" s="19"/>
      <c r="F14" s="20"/>
      <c r="G14" s="33"/>
    </row>
    <row r="15" spans="2:7" s="4" customFormat="1" ht="18">
      <c r="B15" s="6">
        <v>8</v>
      </c>
      <c r="C15" s="85" t="s">
        <v>100</v>
      </c>
      <c r="D15" s="21"/>
      <c r="E15" s="19"/>
      <c r="F15" s="20"/>
      <c r="G15" s="33"/>
    </row>
    <row r="16" spans="2:7" s="4" customFormat="1" ht="18">
      <c r="B16" s="37">
        <f t="shared" ref="B16" si="5">+B15+1</f>
        <v>9</v>
      </c>
      <c r="C16" s="85" t="s">
        <v>101</v>
      </c>
      <c r="D16" s="21"/>
      <c r="E16" s="19"/>
      <c r="F16" s="20"/>
      <c r="G16" s="33"/>
    </row>
    <row r="17" spans="2:7" s="4" customFormat="1" ht="18">
      <c r="B17" s="6">
        <v>10</v>
      </c>
      <c r="C17" s="85" t="s">
        <v>102</v>
      </c>
      <c r="D17" s="21"/>
      <c r="E17" s="19"/>
      <c r="F17" s="20"/>
      <c r="G17" s="33"/>
    </row>
    <row r="18" spans="2:7" s="4" customFormat="1" ht="18">
      <c r="B18" s="37">
        <f t="shared" ref="B18" si="6">+B17+1</f>
        <v>11</v>
      </c>
      <c r="C18" s="85" t="s">
        <v>103</v>
      </c>
      <c r="D18" s="21"/>
      <c r="E18" s="19"/>
      <c r="F18" s="20"/>
      <c r="G18" s="33"/>
    </row>
    <row r="19" spans="2:7" s="4" customFormat="1" ht="18">
      <c r="B19" s="6">
        <f t="shared" ref="B19" si="7">B18+1</f>
        <v>12</v>
      </c>
      <c r="C19" s="85" t="s">
        <v>104</v>
      </c>
      <c r="D19" s="21"/>
      <c r="E19" s="19"/>
      <c r="F19" s="20"/>
      <c r="G19" s="33"/>
    </row>
    <row r="20" spans="2:7" s="4" customFormat="1" ht="18">
      <c r="B20" s="6">
        <v>13</v>
      </c>
      <c r="C20" s="85" t="s">
        <v>105</v>
      </c>
      <c r="D20" s="21"/>
      <c r="E20" s="19"/>
      <c r="F20" s="20"/>
      <c r="G20" s="33"/>
    </row>
    <row r="21" spans="2:7" s="4" customFormat="1" ht="18">
      <c r="B21" s="37">
        <v>14</v>
      </c>
      <c r="C21" s="85" t="s">
        <v>106</v>
      </c>
      <c r="D21" s="21"/>
      <c r="E21" s="19"/>
      <c r="F21" s="20"/>
      <c r="G21" s="33"/>
    </row>
    <row r="22" spans="2:7" s="4" customFormat="1" ht="18">
      <c r="B22" s="37">
        <v>15</v>
      </c>
      <c r="C22" s="85" t="s">
        <v>107</v>
      </c>
      <c r="D22" s="21"/>
      <c r="E22" s="19"/>
      <c r="F22" s="20"/>
      <c r="G22" s="33"/>
    </row>
    <row r="23" spans="2:7" s="4" customFormat="1" ht="18">
      <c r="B23" s="37">
        <v>16</v>
      </c>
      <c r="C23" s="85" t="s">
        <v>108</v>
      </c>
      <c r="D23" s="21"/>
      <c r="E23" s="19"/>
      <c r="F23" s="20"/>
      <c r="G23" s="33"/>
    </row>
    <row r="24" spans="2:7" s="4" customFormat="1" ht="33.75" customHeight="1">
      <c r="B24" s="6">
        <v>17</v>
      </c>
      <c r="C24" s="85" t="s">
        <v>109</v>
      </c>
      <c r="D24" s="21"/>
      <c r="E24" s="19"/>
      <c r="F24" s="20"/>
      <c r="G24" s="33"/>
    </row>
    <row r="25" spans="2:7" s="4" customFormat="1" ht="18">
      <c r="B25" s="37">
        <f t="shared" ref="B25" si="8">+B24+1</f>
        <v>18</v>
      </c>
      <c r="C25" s="85" t="s">
        <v>110</v>
      </c>
      <c r="D25" s="21"/>
      <c r="E25" s="19"/>
      <c r="F25" s="20"/>
      <c r="G25" s="33"/>
    </row>
    <row r="26" spans="2:7" s="4" customFormat="1" ht="18.600000000000001" thickBot="1">
      <c r="B26" s="37">
        <v>19</v>
      </c>
      <c r="C26" s="85" t="s">
        <v>111</v>
      </c>
      <c r="D26" s="21"/>
      <c r="E26" s="19"/>
      <c r="F26" s="20"/>
      <c r="G26" s="33"/>
    </row>
    <row r="27" spans="2:7" ht="18" thickBot="1">
      <c r="B27" s="113" t="s">
        <v>13</v>
      </c>
      <c r="C27" s="114"/>
      <c r="D27" s="140" t="s">
        <v>7</v>
      </c>
      <c r="E27" s="141"/>
      <c r="F27" s="142"/>
      <c r="G27" s="24" t="s">
        <v>8</v>
      </c>
    </row>
    <row r="28" spans="2:7">
      <c r="B28" s="118"/>
      <c r="C28" s="119"/>
      <c r="D28" s="119"/>
      <c r="E28" s="119"/>
      <c r="F28" s="119"/>
      <c r="G28" s="104"/>
    </row>
    <row r="29" spans="2:7">
      <c r="B29" s="120"/>
      <c r="C29" s="121"/>
      <c r="D29" s="121"/>
      <c r="E29" s="121"/>
      <c r="F29" s="121"/>
      <c r="G29" s="105"/>
    </row>
    <row r="30" spans="2:7">
      <c r="B30" s="120"/>
      <c r="C30" s="121"/>
      <c r="D30" s="121"/>
      <c r="E30" s="121"/>
      <c r="F30" s="121"/>
      <c r="G30" s="105"/>
    </row>
    <row r="31" spans="2:7">
      <c r="B31" s="120"/>
      <c r="C31" s="121"/>
      <c r="D31" s="121"/>
      <c r="E31" s="121"/>
      <c r="F31" s="121"/>
      <c r="G31" s="105"/>
    </row>
    <row r="32" spans="2:7" ht="15" thickBot="1">
      <c r="B32" s="122"/>
      <c r="C32" s="123"/>
      <c r="D32" s="123"/>
      <c r="E32" s="123"/>
      <c r="F32" s="123"/>
      <c r="G32" s="106"/>
    </row>
  </sheetData>
  <sheetProtection selectLockedCells="1"/>
  <mergeCells count="8">
    <mergeCell ref="B28:C32"/>
    <mergeCell ref="D28:F32"/>
    <mergeCell ref="G28:G32"/>
    <mergeCell ref="B3:F3"/>
    <mergeCell ref="D4:F4"/>
    <mergeCell ref="E6:F6"/>
    <mergeCell ref="B27:C27"/>
    <mergeCell ref="D27:F27"/>
  </mergeCells>
  <conditionalFormatting sqref="D8:D26">
    <cfRule type="cellIs" dxfId="45" priority="3" operator="equal">
      <formula>3</formula>
    </cfRule>
    <cfRule type="cellIs" dxfId="44" priority="4" operator="equal">
      <formula>4</formula>
    </cfRule>
  </conditionalFormatting>
  <printOptions horizontalCentered="1" verticalCentered="1"/>
  <pageMargins left="0.25" right="0.25" top="0.75" bottom="0.75" header="0.3" footer="0.3"/>
  <pageSetup paperSize="9" scale="80" fitToHeight="0" orientation="landscape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14999847407452621"/>
    <pageSetUpPr fitToPage="1"/>
  </sheetPr>
  <dimension ref="B1:G17"/>
  <sheetViews>
    <sheetView view="pageBreakPreview" zoomScaleNormal="55" zoomScaleSheetLayoutView="100" zoomScalePageLayoutView="70" workbookViewId="0">
      <selection activeCell="B13" sqref="B13:C17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/>
    <row r="3" spans="2:7" ht="62.25" customHeight="1">
      <c r="B3" s="139" t="s">
        <v>11</v>
      </c>
      <c r="C3" s="139"/>
      <c r="D3" s="139"/>
      <c r="E3" s="139"/>
      <c r="F3" s="139"/>
      <c r="G3" s="78" t="s">
        <v>38</v>
      </c>
    </row>
    <row r="4" spans="2:7" ht="22.8">
      <c r="B4" s="52"/>
      <c r="C4" s="53" t="s">
        <v>40</v>
      </c>
      <c r="D4" s="110" t="s">
        <v>39</v>
      </c>
      <c r="E4" s="110"/>
      <c r="F4" s="110"/>
      <c r="G4" s="79" t="s">
        <v>68</v>
      </c>
    </row>
    <row r="5" spans="2:7" ht="8.25" customHeight="1">
      <c r="B5" s="55"/>
      <c r="C5" s="55"/>
      <c r="D5" s="56"/>
      <c r="E5" s="56"/>
      <c r="F5" s="56"/>
      <c r="G5" s="56"/>
    </row>
    <row r="6" spans="2:7" ht="20.25" customHeight="1">
      <c r="B6" s="57"/>
      <c r="C6" s="57"/>
      <c r="D6" s="57"/>
      <c r="E6" s="136" t="s">
        <v>0</v>
      </c>
      <c r="F6" s="136"/>
      <c r="G6" s="57"/>
    </row>
    <row r="7" spans="2:7" s="4" customFormat="1" ht="24" customHeight="1">
      <c r="B7" s="58" t="s">
        <v>1</v>
      </c>
      <c r="C7" s="58" t="s">
        <v>2</v>
      </c>
      <c r="D7" s="58" t="s">
        <v>3</v>
      </c>
      <c r="E7" s="59" t="s">
        <v>4</v>
      </c>
      <c r="F7" s="59" t="s">
        <v>5</v>
      </c>
      <c r="G7" s="60" t="s">
        <v>6</v>
      </c>
    </row>
    <row r="8" spans="2:7" s="4" customFormat="1" ht="18">
      <c r="B8" s="61">
        <v>1</v>
      </c>
      <c r="C8" s="91" t="s">
        <v>112</v>
      </c>
      <c r="D8" s="62"/>
      <c r="E8" s="63"/>
      <c r="F8" s="64"/>
      <c r="G8" s="65"/>
    </row>
    <row r="9" spans="2:7" s="4" customFormat="1" ht="18">
      <c r="B9" s="66">
        <f>B8+1</f>
        <v>2</v>
      </c>
      <c r="C9" s="92" t="s">
        <v>113</v>
      </c>
      <c r="D9" s="62"/>
      <c r="E9" s="63"/>
      <c r="F9" s="64"/>
      <c r="G9" s="65"/>
    </row>
    <row r="10" spans="2:7" s="4" customFormat="1" ht="18">
      <c r="B10" s="61">
        <f>+B9+1</f>
        <v>3</v>
      </c>
      <c r="C10" s="92" t="s">
        <v>114</v>
      </c>
      <c r="D10" s="62"/>
      <c r="E10" s="63"/>
      <c r="F10" s="64"/>
      <c r="G10" s="65"/>
    </row>
    <row r="11" spans="2:7" s="4" customFormat="1" ht="18">
      <c r="B11" s="66">
        <f t="shared" ref="B11" si="0">B10+1</f>
        <v>4</v>
      </c>
      <c r="C11" s="92" t="s">
        <v>115</v>
      </c>
      <c r="D11" s="62"/>
      <c r="E11" s="63"/>
      <c r="F11" s="64"/>
      <c r="G11" s="65"/>
    </row>
    <row r="12" spans="2:7" ht="17.399999999999999">
      <c r="B12" s="137" t="s">
        <v>13</v>
      </c>
      <c r="C12" s="137"/>
      <c r="D12" s="138" t="s">
        <v>7</v>
      </c>
      <c r="E12" s="138"/>
      <c r="F12" s="138"/>
      <c r="G12" s="81" t="s">
        <v>8</v>
      </c>
    </row>
    <row r="13" spans="2:7">
      <c r="B13" s="121"/>
      <c r="C13" s="121"/>
      <c r="D13" s="121"/>
      <c r="E13" s="121"/>
      <c r="F13" s="121"/>
      <c r="G13" s="121"/>
    </row>
    <row r="14" spans="2:7">
      <c r="B14" s="121"/>
      <c r="C14" s="121"/>
      <c r="D14" s="121"/>
      <c r="E14" s="121"/>
      <c r="F14" s="121"/>
      <c r="G14" s="121"/>
    </row>
    <row r="15" spans="2:7">
      <c r="B15" s="121"/>
      <c r="C15" s="121"/>
      <c r="D15" s="121"/>
      <c r="E15" s="121"/>
      <c r="F15" s="121"/>
      <c r="G15" s="121"/>
    </row>
    <row r="16" spans="2:7">
      <c r="B16" s="121"/>
      <c r="C16" s="121"/>
      <c r="D16" s="121"/>
      <c r="E16" s="121"/>
      <c r="F16" s="121"/>
      <c r="G16" s="121"/>
    </row>
    <row r="17" spans="2:7">
      <c r="B17" s="121"/>
      <c r="C17" s="121"/>
      <c r="D17" s="121"/>
      <c r="E17" s="121"/>
      <c r="F17" s="121"/>
      <c r="G17" s="121"/>
    </row>
  </sheetData>
  <sheetProtection selectLockedCells="1"/>
  <mergeCells count="8">
    <mergeCell ref="B13:C17"/>
    <mergeCell ref="D13:F17"/>
    <mergeCell ref="G13:G17"/>
    <mergeCell ref="B3:F3"/>
    <mergeCell ref="D4:F4"/>
    <mergeCell ref="E6:F6"/>
    <mergeCell ref="B12:C12"/>
    <mergeCell ref="D12:F12"/>
  </mergeCells>
  <conditionalFormatting sqref="D8:D11">
    <cfRule type="cellIs" dxfId="43" priority="3" operator="equal">
      <formula>3</formula>
    </cfRule>
    <cfRule type="cellIs" dxfId="42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14999847407452621"/>
    <pageSetUpPr fitToPage="1"/>
  </sheetPr>
  <dimension ref="B1:I16"/>
  <sheetViews>
    <sheetView view="pageBreakPreview" zoomScale="85" zoomScaleNormal="55" zoomScaleSheetLayoutView="85" zoomScalePageLayoutView="70" workbookViewId="0">
      <selection activeCell="B12" sqref="B12:C16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4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9" ht="1.5" customHeight="1"/>
    <row r="2" spans="2:9" ht="1.5" customHeight="1"/>
    <row r="3" spans="2:9" ht="62.25" customHeight="1">
      <c r="B3" s="139" t="s">
        <v>11</v>
      </c>
      <c r="C3" s="139"/>
      <c r="D3" s="139"/>
      <c r="E3" s="139"/>
      <c r="F3" s="139"/>
      <c r="G3" s="78" t="s">
        <v>38</v>
      </c>
      <c r="H3" s="48"/>
      <c r="I3" s="49"/>
    </row>
    <row r="4" spans="2:9" ht="22.8">
      <c r="B4" s="52"/>
      <c r="C4" s="53" t="s">
        <v>41</v>
      </c>
      <c r="D4" s="110" t="s">
        <v>39</v>
      </c>
      <c r="E4" s="110"/>
      <c r="F4" s="110"/>
      <c r="G4" s="79" t="s">
        <v>68</v>
      </c>
    </row>
    <row r="5" spans="2:9" ht="8.25" customHeight="1">
      <c r="B5" s="55"/>
      <c r="C5" s="55"/>
      <c r="D5" s="56"/>
      <c r="E5" s="56"/>
      <c r="F5" s="56"/>
      <c r="G5" s="56"/>
    </row>
    <row r="6" spans="2:9" ht="20.25" customHeight="1">
      <c r="B6" s="57"/>
      <c r="C6" s="57"/>
      <c r="D6" s="57"/>
      <c r="E6" s="136" t="s">
        <v>0</v>
      </c>
      <c r="F6" s="136"/>
      <c r="G6" s="57"/>
    </row>
    <row r="7" spans="2:9" s="4" customFormat="1" ht="24" customHeight="1">
      <c r="B7" s="58" t="s">
        <v>1</v>
      </c>
      <c r="C7" s="58" t="s">
        <v>2</v>
      </c>
      <c r="D7" s="58" t="s">
        <v>3</v>
      </c>
      <c r="E7" s="59" t="s">
        <v>4</v>
      </c>
      <c r="F7" s="59" t="s">
        <v>5</v>
      </c>
      <c r="G7" s="60" t="s">
        <v>6</v>
      </c>
    </row>
    <row r="8" spans="2:9" s="4" customFormat="1" ht="18">
      <c r="B8" s="61">
        <v>1</v>
      </c>
      <c r="C8" s="92" t="s">
        <v>116</v>
      </c>
      <c r="D8" s="62"/>
      <c r="E8" s="63"/>
      <c r="F8" s="64"/>
      <c r="G8" s="65"/>
    </row>
    <row r="9" spans="2:9" s="4" customFormat="1" ht="18">
      <c r="B9" s="61">
        <v>2</v>
      </c>
      <c r="C9" s="92" t="s">
        <v>117</v>
      </c>
      <c r="D9" s="62"/>
      <c r="E9" s="63"/>
      <c r="F9" s="64"/>
      <c r="G9" s="65"/>
    </row>
    <row r="10" spans="2:9" s="4" customFormat="1" ht="18">
      <c r="B10" s="61">
        <v>3</v>
      </c>
      <c r="C10" s="92" t="s">
        <v>69</v>
      </c>
      <c r="D10" s="62"/>
      <c r="E10" s="63"/>
      <c r="F10" s="64"/>
      <c r="G10" s="65"/>
    </row>
    <row r="11" spans="2:9" ht="17.399999999999999">
      <c r="B11" s="137" t="s">
        <v>13</v>
      </c>
      <c r="C11" s="137"/>
      <c r="D11" s="138" t="s">
        <v>7</v>
      </c>
      <c r="E11" s="138"/>
      <c r="F11" s="138"/>
      <c r="G11" s="81" t="s">
        <v>8</v>
      </c>
    </row>
    <row r="12" spans="2:9">
      <c r="B12" s="121"/>
      <c r="C12" s="121"/>
      <c r="D12" s="121"/>
      <c r="E12" s="121"/>
      <c r="F12" s="121"/>
      <c r="G12" s="121"/>
    </row>
    <row r="13" spans="2:9">
      <c r="B13" s="121"/>
      <c r="C13" s="121"/>
      <c r="D13" s="121"/>
      <c r="E13" s="121"/>
      <c r="F13" s="121"/>
      <c r="G13" s="121"/>
    </row>
    <row r="14" spans="2:9">
      <c r="B14" s="121"/>
      <c r="C14" s="121"/>
      <c r="D14" s="121"/>
      <c r="E14" s="121"/>
      <c r="F14" s="121"/>
      <c r="G14" s="121"/>
    </row>
    <row r="15" spans="2:9">
      <c r="B15" s="121"/>
      <c r="C15" s="121"/>
      <c r="D15" s="121"/>
      <c r="E15" s="121"/>
      <c r="F15" s="121"/>
      <c r="G15" s="121"/>
    </row>
    <row r="16" spans="2:9">
      <c r="B16" s="121"/>
      <c r="C16" s="121"/>
      <c r="D16" s="121"/>
      <c r="E16" s="121"/>
      <c r="F16" s="121"/>
      <c r="G16" s="121"/>
    </row>
  </sheetData>
  <sheetProtection selectLockedCells="1"/>
  <mergeCells count="8">
    <mergeCell ref="B12:C16"/>
    <mergeCell ref="D12:F16"/>
    <mergeCell ref="G12:G16"/>
    <mergeCell ref="B3:F3"/>
    <mergeCell ref="D4:F4"/>
    <mergeCell ref="E6:F6"/>
    <mergeCell ref="B11:C11"/>
    <mergeCell ref="D11:F11"/>
  </mergeCells>
  <conditionalFormatting sqref="D8:D10">
    <cfRule type="cellIs" dxfId="41" priority="3" operator="equal">
      <formula>3</formula>
    </cfRule>
    <cfRule type="cellIs" dxfId="40" priority="4" operator="equal">
      <formula>4</formula>
    </cfRule>
  </conditionalFormatting>
  <printOptions horizontalCentered="1"/>
  <pageMargins left="0.25" right="0.25" top="0.75" bottom="0.75" header="0.3" footer="0.3"/>
  <pageSetup paperSize="9" scale="78" fitToHeight="0" orientation="landscape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G15"/>
  <sheetViews>
    <sheetView workbookViewId="0">
      <selection activeCell="C5" sqref="C5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5.25" customHeight="1"/>
    <row r="2" spans="2:7" ht="0.75" customHeight="1"/>
    <row r="3" spans="2:7" ht="47.25" customHeight="1" thickBot="1">
      <c r="B3" s="139" t="s">
        <v>79</v>
      </c>
      <c r="C3" s="139"/>
      <c r="D3" s="139"/>
      <c r="E3" s="139"/>
      <c r="F3" s="151"/>
      <c r="G3" s="78" t="s">
        <v>38</v>
      </c>
    </row>
    <row r="4" spans="2:7" ht="23.4" thickBot="1">
      <c r="B4" s="52"/>
      <c r="C4" s="53" t="s">
        <v>48</v>
      </c>
      <c r="D4" s="110" t="s">
        <v>39</v>
      </c>
      <c r="E4" s="110"/>
      <c r="F4" s="110"/>
      <c r="G4" s="32" t="s">
        <v>68</v>
      </c>
    </row>
    <row r="5" spans="2:7" ht="17.399999999999999">
      <c r="B5" s="57"/>
      <c r="C5" s="57"/>
      <c r="D5" s="57"/>
      <c r="E5" s="136" t="s">
        <v>0</v>
      </c>
      <c r="F5" s="136"/>
      <c r="G5" s="57"/>
    </row>
    <row r="6" spans="2:7" s="4" customFormat="1" ht="16.2" thickBot="1">
      <c r="B6" s="58" t="s">
        <v>1</v>
      </c>
      <c r="C6" s="58" t="s">
        <v>2</v>
      </c>
      <c r="D6" s="58" t="s">
        <v>3</v>
      </c>
      <c r="E6" s="59" t="s">
        <v>4</v>
      </c>
      <c r="F6" s="59" t="s">
        <v>5</v>
      </c>
      <c r="G6" s="60" t="s">
        <v>6</v>
      </c>
    </row>
    <row r="7" spans="2:7" s="4" customFormat="1" ht="18.600000000000001" thickBot="1">
      <c r="B7" s="61">
        <v>1</v>
      </c>
      <c r="C7" s="82" t="s">
        <v>69</v>
      </c>
      <c r="D7" s="62"/>
      <c r="E7" s="63"/>
      <c r="F7" s="64"/>
      <c r="G7" s="65"/>
    </row>
    <row r="8" spans="2:7" s="4" customFormat="1" ht="18">
      <c r="B8" s="66">
        <f>B7+1</f>
        <v>2</v>
      </c>
      <c r="C8" s="88" t="s">
        <v>70</v>
      </c>
      <c r="D8" s="62"/>
      <c r="E8" s="63"/>
      <c r="F8" s="64"/>
      <c r="G8" s="65"/>
    </row>
    <row r="9" spans="2:7" s="4" customFormat="1" ht="18">
      <c r="B9" s="61">
        <f>+B8+1</f>
        <v>3</v>
      </c>
      <c r="C9" s="85" t="s">
        <v>71</v>
      </c>
      <c r="D9" s="62"/>
      <c r="E9" s="63"/>
      <c r="F9" s="64"/>
      <c r="G9" s="65"/>
    </row>
    <row r="10" spans="2:7" ht="17.399999999999999">
      <c r="B10" s="137" t="s">
        <v>13</v>
      </c>
      <c r="C10" s="137"/>
      <c r="D10" s="138" t="s">
        <v>7</v>
      </c>
      <c r="E10" s="138"/>
      <c r="F10" s="138"/>
      <c r="G10" s="80" t="s">
        <v>8</v>
      </c>
    </row>
    <row r="11" spans="2:7">
      <c r="B11" s="121"/>
      <c r="C11" s="121"/>
      <c r="D11" s="121"/>
      <c r="E11" s="121"/>
      <c r="F11" s="121"/>
      <c r="G11" s="121"/>
    </row>
    <row r="12" spans="2:7">
      <c r="B12" s="121"/>
      <c r="C12" s="121"/>
      <c r="D12" s="121"/>
      <c r="E12" s="121"/>
      <c r="F12" s="121"/>
      <c r="G12" s="121"/>
    </row>
    <row r="13" spans="2:7">
      <c r="B13" s="121"/>
      <c r="C13" s="121"/>
      <c r="D13" s="121"/>
      <c r="E13" s="121"/>
      <c r="F13" s="121"/>
      <c r="G13" s="121"/>
    </row>
    <row r="14" spans="2:7">
      <c r="B14" s="121"/>
      <c r="C14" s="121"/>
      <c r="D14" s="121"/>
      <c r="E14" s="121"/>
      <c r="F14" s="121"/>
      <c r="G14" s="121"/>
    </row>
    <row r="15" spans="2:7">
      <c r="B15" s="121"/>
      <c r="C15" s="121"/>
      <c r="D15" s="121"/>
      <c r="E15" s="121"/>
      <c r="F15" s="121"/>
      <c r="G15" s="121"/>
    </row>
  </sheetData>
  <mergeCells count="8">
    <mergeCell ref="G11:G15"/>
    <mergeCell ref="B3:F3"/>
    <mergeCell ref="D4:F4"/>
    <mergeCell ref="E5:F5"/>
    <mergeCell ref="B10:C10"/>
    <mergeCell ref="D10:F10"/>
    <mergeCell ref="B11:C15"/>
    <mergeCell ref="D11:F15"/>
  </mergeCells>
  <conditionalFormatting sqref="D7:D9">
    <cfRule type="cellIs" dxfId="39" priority="1" operator="equal">
      <formula>3</formula>
    </cfRule>
    <cfRule type="cellIs" dxfId="38" priority="2" operator="equal">
      <formula>4</formula>
    </cfRule>
  </conditionalFormatting>
  <pageMargins left="0.25" right="0.25" top="0.75" bottom="0.75" header="0.3" footer="0.3"/>
  <pageSetup paperSize="9" scale="80" fitToHeight="0" orientation="landscape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G23"/>
  <sheetViews>
    <sheetView topLeftCell="C1" workbookViewId="0">
      <selection activeCell="C7" sqref="C7:C17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5.25" customHeight="1"/>
    <row r="2" spans="2:7" ht="0.75" customHeight="1"/>
    <row r="3" spans="2:7" ht="47.25" customHeight="1" thickBot="1">
      <c r="B3" s="139" t="s">
        <v>80</v>
      </c>
      <c r="C3" s="139"/>
      <c r="D3" s="139"/>
      <c r="E3" s="139"/>
      <c r="F3" s="151"/>
      <c r="G3" s="78" t="s">
        <v>38</v>
      </c>
    </row>
    <row r="4" spans="2:7" ht="23.4" thickBot="1">
      <c r="B4" s="52"/>
      <c r="C4" s="53" t="s">
        <v>56</v>
      </c>
      <c r="D4" s="110" t="s">
        <v>39</v>
      </c>
      <c r="E4" s="110"/>
      <c r="F4" s="110"/>
      <c r="G4" s="32" t="s">
        <v>68</v>
      </c>
    </row>
    <row r="5" spans="2:7" ht="17.399999999999999">
      <c r="B5" s="57"/>
      <c r="C5" s="57"/>
      <c r="D5" s="57"/>
      <c r="E5" s="136" t="s">
        <v>0</v>
      </c>
      <c r="F5" s="136"/>
      <c r="G5" s="57"/>
    </row>
    <row r="6" spans="2:7" s="4" customFormat="1" ht="15.6">
      <c r="B6" s="58" t="s">
        <v>1</v>
      </c>
      <c r="C6" s="58" t="s">
        <v>2</v>
      </c>
      <c r="D6" s="58" t="s">
        <v>3</v>
      </c>
      <c r="E6" s="59" t="s">
        <v>4</v>
      </c>
      <c r="F6" s="59" t="s">
        <v>5</v>
      </c>
      <c r="G6" s="60" t="s">
        <v>6</v>
      </c>
    </row>
    <row r="7" spans="2:7" s="4" customFormat="1" ht="18">
      <c r="B7" s="61">
        <v>1</v>
      </c>
      <c r="C7" s="85" t="s">
        <v>73</v>
      </c>
      <c r="D7" s="62"/>
      <c r="E7" s="63"/>
      <c r="F7" s="64"/>
      <c r="G7" s="65"/>
    </row>
    <row r="8" spans="2:7" s="4" customFormat="1" ht="18">
      <c r="B8" s="66">
        <f>B7+1</f>
        <v>2</v>
      </c>
      <c r="C8" s="85" t="s">
        <v>118</v>
      </c>
      <c r="D8" s="62"/>
      <c r="E8" s="63"/>
      <c r="F8" s="64"/>
      <c r="G8" s="65"/>
    </row>
    <row r="9" spans="2:7" s="4" customFormat="1" ht="18">
      <c r="B9" s="61">
        <f>+B8+1</f>
        <v>3</v>
      </c>
      <c r="C9" s="85" t="s">
        <v>119</v>
      </c>
      <c r="D9" s="62"/>
      <c r="E9" s="63"/>
      <c r="F9" s="64"/>
      <c r="G9" s="65"/>
    </row>
    <row r="10" spans="2:7" s="4" customFormat="1" ht="18">
      <c r="B10" s="61">
        <v>4</v>
      </c>
      <c r="C10" s="85" t="s">
        <v>120</v>
      </c>
      <c r="D10" s="62"/>
      <c r="E10" s="63"/>
      <c r="F10" s="64"/>
      <c r="G10" s="65"/>
    </row>
    <row r="11" spans="2:7" s="4" customFormat="1" ht="18">
      <c r="B11" s="66">
        <v>5</v>
      </c>
      <c r="C11" s="85" t="s">
        <v>121</v>
      </c>
      <c r="D11" s="62"/>
      <c r="E11" s="63"/>
      <c r="F11" s="64"/>
      <c r="G11" s="65"/>
    </row>
    <row r="12" spans="2:7" s="4" customFormat="1" ht="18">
      <c r="B12" s="66">
        <v>6</v>
      </c>
      <c r="C12" s="85" t="s">
        <v>122</v>
      </c>
      <c r="D12" s="62"/>
      <c r="E12" s="63"/>
      <c r="F12" s="64"/>
      <c r="G12" s="65"/>
    </row>
    <row r="13" spans="2:7" s="4" customFormat="1" ht="18">
      <c r="B13" s="66">
        <v>7</v>
      </c>
      <c r="C13" s="85" t="s">
        <v>123</v>
      </c>
      <c r="D13" s="62"/>
      <c r="E13" s="63"/>
      <c r="F13" s="64"/>
      <c r="G13" s="65"/>
    </row>
    <row r="14" spans="2:7" s="4" customFormat="1" ht="18">
      <c r="B14" s="66">
        <v>8</v>
      </c>
      <c r="C14" s="85" t="s">
        <v>72</v>
      </c>
      <c r="D14" s="62"/>
      <c r="E14" s="63"/>
      <c r="F14" s="64"/>
      <c r="G14" s="65"/>
    </row>
    <row r="15" spans="2:7" s="4" customFormat="1" ht="18">
      <c r="B15" s="66">
        <v>9</v>
      </c>
      <c r="C15" s="85" t="s">
        <v>124</v>
      </c>
      <c r="D15" s="62"/>
      <c r="E15" s="63"/>
      <c r="F15" s="64"/>
      <c r="G15" s="65"/>
    </row>
    <row r="16" spans="2:7" s="4" customFormat="1" ht="18">
      <c r="B16" s="66">
        <v>10</v>
      </c>
      <c r="C16" s="85" t="s">
        <v>137</v>
      </c>
      <c r="D16" s="62"/>
      <c r="E16" s="63"/>
      <c r="F16" s="64"/>
      <c r="G16" s="65"/>
    </row>
    <row r="17" spans="2:7" s="4" customFormat="1" ht="18">
      <c r="B17" s="66">
        <f t="shared" ref="B17" si="0">B16+1</f>
        <v>11</v>
      </c>
      <c r="C17" s="90" t="s">
        <v>138</v>
      </c>
      <c r="D17" s="62"/>
      <c r="E17" s="63"/>
      <c r="F17" s="64"/>
      <c r="G17" s="65"/>
    </row>
    <row r="18" spans="2:7" ht="17.399999999999999">
      <c r="B18" s="137" t="s">
        <v>13</v>
      </c>
      <c r="C18" s="137"/>
      <c r="D18" s="138" t="s">
        <v>7</v>
      </c>
      <c r="E18" s="138"/>
      <c r="F18" s="138"/>
      <c r="G18" s="80" t="s">
        <v>8</v>
      </c>
    </row>
    <row r="19" spans="2:7">
      <c r="B19" s="121"/>
      <c r="C19" s="121"/>
      <c r="D19" s="121"/>
      <c r="E19" s="121"/>
      <c r="F19" s="121"/>
      <c r="G19" s="121"/>
    </row>
    <row r="20" spans="2:7">
      <c r="B20" s="121"/>
      <c r="C20" s="121"/>
      <c r="D20" s="121"/>
      <c r="E20" s="121"/>
      <c r="F20" s="121"/>
      <c r="G20" s="121"/>
    </row>
    <row r="21" spans="2:7">
      <c r="B21" s="121"/>
      <c r="C21" s="121"/>
      <c r="D21" s="121"/>
      <c r="E21" s="121"/>
      <c r="F21" s="121"/>
      <c r="G21" s="121"/>
    </row>
    <row r="22" spans="2:7">
      <c r="B22" s="121"/>
      <c r="C22" s="121"/>
      <c r="D22" s="121"/>
      <c r="E22" s="121"/>
      <c r="F22" s="121"/>
      <c r="G22" s="121"/>
    </row>
    <row r="23" spans="2:7">
      <c r="B23" s="121"/>
      <c r="C23" s="121"/>
      <c r="D23" s="121"/>
      <c r="E23" s="121"/>
      <c r="F23" s="121"/>
      <c r="G23" s="121"/>
    </row>
  </sheetData>
  <mergeCells count="8">
    <mergeCell ref="G19:G23"/>
    <mergeCell ref="B3:F3"/>
    <mergeCell ref="D4:F4"/>
    <mergeCell ref="E5:F5"/>
    <mergeCell ref="B18:C18"/>
    <mergeCell ref="D18:F18"/>
    <mergeCell ref="B19:C23"/>
    <mergeCell ref="D19:F23"/>
  </mergeCells>
  <conditionalFormatting sqref="D7:D17">
    <cfRule type="cellIs" dxfId="37" priority="1" operator="equal">
      <formula>3</formula>
    </cfRule>
    <cfRule type="cellIs" dxfId="36" priority="2" operator="equal">
      <formula>4</formula>
    </cfRule>
  </conditionalFormatting>
  <pageMargins left="0.25" right="0.25" top="0.75" bottom="0.75" header="0.3" footer="0.3"/>
  <pageSetup paperSize="9" scale="80" fitToHeight="0" orientation="landscape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G14"/>
  <sheetViews>
    <sheetView workbookViewId="0">
      <selection activeCell="D4" sqref="D4:G4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5.25" customHeight="1"/>
    <row r="2" spans="2:7" ht="0.75" customHeight="1"/>
    <row r="3" spans="2:7" ht="47.25" customHeight="1" thickBot="1">
      <c r="B3" s="139" t="s">
        <v>11</v>
      </c>
      <c r="C3" s="139"/>
      <c r="D3" s="139"/>
      <c r="E3" s="139"/>
      <c r="F3" s="151"/>
      <c r="G3" s="78" t="s">
        <v>38</v>
      </c>
    </row>
    <row r="4" spans="2:7" ht="23.4" thickBot="1">
      <c r="B4" s="52"/>
      <c r="C4" s="53" t="s">
        <v>40</v>
      </c>
      <c r="D4" s="110" t="s">
        <v>39</v>
      </c>
      <c r="E4" s="110"/>
      <c r="F4" s="110"/>
      <c r="G4" s="32" t="s">
        <v>74</v>
      </c>
    </row>
    <row r="5" spans="2:7" ht="17.399999999999999">
      <c r="B5" s="57"/>
      <c r="C5" s="57"/>
      <c r="D5" s="57"/>
      <c r="E5" s="136" t="s">
        <v>0</v>
      </c>
      <c r="F5" s="136"/>
      <c r="G5" s="57"/>
    </row>
    <row r="6" spans="2:7" s="4" customFormat="1" ht="16.2" thickBot="1">
      <c r="B6" s="58" t="s">
        <v>1</v>
      </c>
      <c r="C6" s="58" t="s">
        <v>2</v>
      </c>
      <c r="D6" s="58" t="s">
        <v>3</v>
      </c>
      <c r="E6" s="59" t="s">
        <v>4</v>
      </c>
      <c r="F6" s="59" t="s">
        <v>5</v>
      </c>
      <c r="G6" s="60" t="s">
        <v>6</v>
      </c>
    </row>
    <row r="7" spans="2:7" s="4" customFormat="1" ht="18.600000000000001" thickBot="1">
      <c r="B7" s="61">
        <v>1</v>
      </c>
      <c r="C7" s="82" t="s">
        <v>75</v>
      </c>
      <c r="D7" s="62"/>
      <c r="E7" s="63"/>
      <c r="F7" s="64"/>
      <c r="G7" s="65"/>
    </row>
    <row r="8" spans="2:7" s="4" customFormat="1" ht="18">
      <c r="B8" s="61">
        <v>2</v>
      </c>
      <c r="C8" s="50"/>
      <c r="D8" s="62"/>
      <c r="E8" s="63"/>
      <c r="F8" s="64"/>
      <c r="G8" s="65"/>
    </row>
    <row r="9" spans="2:7" ht="17.399999999999999">
      <c r="B9" s="137" t="s">
        <v>13</v>
      </c>
      <c r="C9" s="137"/>
      <c r="D9" s="138" t="s">
        <v>7</v>
      </c>
      <c r="E9" s="138"/>
      <c r="F9" s="138"/>
      <c r="G9" s="80" t="s">
        <v>8</v>
      </c>
    </row>
    <row r="10" spans="2:7">
      <c r="B10" s="121"/>
      <c r="C10" s="121"/>
      <c r="D10" s="121"/>
      <c r="E10" s="121"/>
      <c r="F10" s="121"/>
      <c r="G10" s="121"/>
    </row>
    <row r="11" spans="2:7">
      <c r="B11" s="121"/>
      <c r="C11" s="121"/>
      <c r="D11" s="121"/>
      <c r="E11" s="121"/>
      <c r="F11" s="121"/>
      <c r="G11" s="121"/>
    </row>
    <row r="12" spans="2:7">
      <c r="B12" s="121"/>
      <c r="C12" s="121"/>
      <c r="D12" s="121"/>
      <c r="E12" s="121"/>
      <c r="F12" s="121"/>
      <c r="G12" s="121"/>
    </row>
    <row r="13" spans="2:7">
      <c r="B13" s="121"/>
      <c r="C13" s="121"/>
      <c r="D13" s="121"/>
      <c r="E13" s="121"/>
      <c r="F13" s="121"/>
      <c r="G13" s="121"/>
    </row>
    <row r="14" spans="2:7">
      <c r="B14" s="121"/>
      <c r="C14" s="121"/>
      <c r="D14" s="121"/>
      <c r="E14" s="121"/>
      <c r="F14" s="121"/>
      <c r="G14" s="121"/>
    </row>
  </sheetData>
  <mergeCells count="8">
    <mergeCell ref="G10:G14"/>
    <mergeCell ref="B3:F3"/>
    <mergeCell ref="D4:F4"/>
    <mergeCell ref="E5:F5"/>
    <mergeCell ref="B9:C9"/>
    <mergeCell ref="D9:F9"/>
    <mergeCell ref="B10:C14"/>
    <mergeCell ref="D10:F14"/>
  </mergeCells>
  <conditionalFormatting sqref="D7:D8">
    <cfRule type="cellIs" dxfId="35" priority="1" operator="equal">
      <formula>3</formula>
    </cfRule>
    <cfRule type="cellIs" dxfId="34" priority="2" operator="equal">
      <formula>4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M13" sqref="M13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2.3320312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 thickBot="1"/>
    <row r="3" spans="2:7" ht="62.25" customHeight="1" thickBot="1">
      <c r="B3" s="133" t="s">
        <v>11</v>
      </c>
      <c r="C3" s="134"/>
      <c r="D3" s="134"/>
      <c r="E3" s="134"/>
      <c r="F3" s="135"/>
      <c r="G3" s="31" t="s">
        <v>12</v>
      </c>
    </row>
    <row r="4" spans="2:7" ht="23.4" thickBot="1">
      <c r="B4" s="14"/>
      <c r="C4" s="15" t="s">
        <v>16</v>
      </c>
      <c r="D4" s="152" t="str">
        <f>+'Line &amp; frequency'!C1</f>
        <v>CHAINE 4</v>
      </c>
      <c r="E4" s="153"/>
      <c r="F4" s="15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11" t="s">
        <v>0</v>
      </c>
      <c r="F6" s="112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/>
      <c r="D8" s="21"/>
      <c r="E8" s="19"/>
      <c r="F8" s="20"/>
      <c r="G8" s="33"/>
    </row>
    <row r="9" spans="2:7" s="4" customFormat="1" ht="64.5" customHeight="1">
      <c r="B9" s="6">
        <f>B8+1</f>
        <v>2</v>
      </c>
      <c r="C9" s="38"/>
      <c r="D9" s="21"/>
      <c r="E9" s="19"/>
      <c r="F9" s="20"/>
      <c r="G9" s="33"/>
    </row>
    <row r="10" spans="2:7" s="4" customFormat="1" ht="64.5" customHeight="1">
      <c r="B10" s="37">
        <f>+B9+1</f>
        <v>3</v>
      </c>
      <c r="C10" s="38"/>
      <c r="D10" s="21"/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/>
      <c r="D11" s="21"/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/>
      <c r="D12" s="21"/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/>
      <c r="D13" s="21"/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/>
      <c r="D14" s="21"/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/>
      <c r="D15" s="21"/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/>
      <c r="D16" s="21"/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/>
      <c r="D17" s="21"/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/>
      <c r="D18" s="21"/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/>
      <c r="D19" s="21"/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/>
      <c r="D20" s="21"/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/>
      <c r="D21" s="21"/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/>
      <c r="D22" s="21"/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/>
      <c r="D23" s="21"/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/>
      <c r="D24" s="21"/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/>
      <c r="D32" s="21"/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/>
      <c r="D33" s="21"/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399999999999999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399999999999999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399999999999999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399999999999999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399999999999999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399999999999999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399999999999999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399999999999999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399999999999999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399999999999999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399999999999999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399999999999999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399999999999999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399999999999999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399999999999999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399999999999999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399999999999999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399999999999999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399999999999999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399999999999999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399999999999999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399999999999999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399999999999999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399999999999999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399999999999999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399999999999999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399999999999999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399999999999999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399999999999999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399999999999999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399999999999999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399999999999999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399999999999999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399999999999999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399999999999999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399999999999999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399999999999999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399999999999999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399999999999999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399999999999999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399999999999999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399999999999999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399999999999999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399999999999999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399999999999999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399999999999999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" thickBot="1">
      <c r="B108" s="113" t="s">
        <v>13</v>
      </c>
      <c r="C108" s="114"/>
      <c r="D108" s="140" t="s">
        <v>7</v>
      </c>
      <c r="E108" s="141"/>
      <c r="F108" s="142"/>
      <c r="G108" s="24" t="s">
        <v>8</v>
      </c>
    </row>
    <row r="109" spans="2:7">
      <c r="B109" s="118"/>
      <c r="C109" s="119"/>
      <c r="D109" s="119"/>
      <c r="E109" s="119"/>
      <c r="F109" s="119"/>
      <c r="G109" s="104"/>
    </row>
    <row r="110" spans="2:7">
      <c r="B110" s="120"/>
      <c r="C110" s="121"/>
      <c r="D110" s="121"/>
      <c r="E110" s="121"/>
      <c r="F110" s="121"/>
      <c r="G110" s="105"/>
    </row>
    <row r="111" spans="2:7">
      <c r="B111" s="120"/>
      <c r="C111" s="121"/>
      <c r="D111" s="121"/>
      <c r="E111" s="121"/>
      <c r="F111" s="121"/>
      <c r="G111" s="105"/>
    </row>
    <row r="112" spans="2:7">
      <c r="B112" s="120"/>
      <c r="C112" s="121"/>
      <c r="D112" s="121"/>
      <c r="E112" s="121"/>
      <c r="F112" s="121"/>
      <c r="G112" s="105"/>
    </row>
    <row r="113" spans="2:7" ht="15" thickBot="1">
      <c r="B113" s="122"/>
      <c r="C113" s="123"/>
      <c r="D113" s="123"/>
      <c r="E113" s="123"/>
      <c r="F113" s="123"/>
      <c r="G113" s="106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33" priority="3" operator="equal">
      <formula>3</formula>
    </cfRule>
    <cfRule type="cellIs" dxfId="32" priority="4" operator="equal">
      <formula>4</formula>
    </cfRule>
  </conditionalFormatting>
  <conditionalFormatting sqref="D89">
    <cfRule type="cellIs" dxfId="31" priority="1" operator="equal">
      <formula>3</formula>
    </cfRule>
    <cfRule type="cellIs" dxfId="3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14999847407452621"/>
    <pageSetUpPr fitToPage="1"/>
  </sheetPr>
  <dimension ref="B1:G113"/>
  <sheetViews>
    <sheetView topLeftCell="A6" zoomScale="55" zoomScaleNormal="55" zoomScalePageLayoutView="70" workbookViewId="0">
      <selection activeCell="I46" sqref="I46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2.3320312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 thickBot="1"/>
    <row r="3" spans="2:7" ht="62.25" customHeight="1" thickBot="1">
      <c r="B3" s="133" t="s">
        <v>11</v>
      </c>
      <c r="C3" s="134"/>
      <c r="D3" s="134"/>
      <c r="E3" s="134"/>
      <c r="F3" s="135"/>
      <c r="G3" s="31" t="s">
        <v>12</v>
      </c>
    </row>
    <row r="4" spans="2:7" ht="23.4" thickBot="1">
      <c r="B4" s="14"/>
      <c r="C4" s="15" t="s">
        <v>18</v>
      </c>
      <c r="D4" s="152" t="str">
        <f>+'Line &amp; frequency'!C1</f>
        <v>CHAINE 4</v>
      </c>
      <c r="E4" s="153"/>
      <c r="F4" s="15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11" t="s">
        <v>0</v>
      </c>
      <c r="F6" s="112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 t="s">
        <v>20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 t="s">
        <v>26</v>
      </c>
      <c r="D31" s="21">
        <v>30</v>
      </c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 t="s">
        <v>24</v>
      </c>
      <c r="D32" s="21">
        <v>30</v>
      </c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 t="s">
        <v>25</v>
      </c>
      <c r="D33" s="21">
        <v>25</v>
      </c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 t="s">
        <v>17</v>
      </c>
      <c r="D34" s="21">
        <v>10</v>
      </c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 t="s">
        <v>19</v>
      </c>
      <c r="D35" s="21">
        <v>30</v>
      </c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 t="s">
        <v>26</v>
      </c>
      <c r="D36" s="21">
        <v>30</v>
      </c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 t="s">
        <v>27</v>
      </c>
      <c r="D37" s="21">
        <v>30</v>
      </c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 t="s">
        <v>21</v>
      </c>
      <c r="D38" s="21">
        <v>30</v>
      </c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 t="s">
        <v>24</v>
      </c>
      <c r="D39" s="21">
        <v>30</v>
      </c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 t="s">
        <v>25</v>
      </c>
      <c r="D40" s="21">
        <v>25</v>
      </c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 t="s">
        <v>28</v>
      </c>
      <c r="D41" s="21">
        <v>120</v>
      </c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 t="s">
        <v>29</v>
      </c>
      <c r="D42" s="21">
        <v>60</v>
      </c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 t="s">
        <v>17</v>
      </c>
      <c r="D43" s="21">
        <v>10</v>
      </c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 t="s">
        <v>30</v>
      </c>
      <c r="D44" s="21">
        <v>30</v>
      </c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399999999999999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399999999999999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399999999999999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399999999999999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399999999999999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399999999999999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399999999999999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399999999999999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399999999999999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399999999999999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399999999999999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399999999999999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399999999999999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399999999999999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399999999999999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399999999999999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399999999999999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399999999999999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399999999999999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399999999999999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399999999999999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399999999999999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399999999999999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399999999999999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399999999999999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399999999999999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399999999999999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399999999999999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399999999999999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399999999999999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399999999999999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399999999999999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399999999999999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399999999999999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399999999999999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399999999999999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399999999999999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399999999999999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399999999999999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399999999999999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399999999999999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399999999999999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399999999999999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399999999999999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399999999999999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399999999999999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" thickBot="1">
      <c r="B108" s="113" t="s">
        <v>13</v>
      </c>
      <c r="C108" s="114"/>
      <c r="D108" s="140" t="s">
        <v>7</v>
      </c>
      <c r="E108" s="141"/>
      <c r="F108" s="142"/>
      <c r="G108" s="24" t="s">
        <v>8</v>
      </c>
    </row>
    <row r="109" spans="2:7">
      <c r="B109" s="118"/>
      <c r="C109" s="119"/>
      <c r="D109" s="119"/>
      <c r="E109" s="119"/>
      <c r="F109" s="119"/>
      <c r="G109" s="104"/>
    </row>
    <row r="110" spans="2:7">
      <c r="B110" s="120"/>
      <c r="C110" s="121"/>
      <c r="D110" s="121"/>
      <c r="E110" s="121"/>
      <c r="F110" s="121"/>
      <c r="G110" s="105"/>
    </row>
    <row r="111" spans="2:7">
      <c r="B111" s="120"/>
      <c r="C111" s="121"/>
      <c r="D111" s="121"/>
      <c r="E111" s="121"/>
      <c r="F111" s="121"/>
      <c r="G111" s="105"/>
    </row>
    <row r="112" spans="2:7">
      <c r="B112" s="120"/>
      <c r="C112" s="121"/>
      <c r="D112" s="121"/>
      <c r="E112" s="121"/>
      <c r="F112" s="121"/>
      <c r="G112" s="105"/>
    </row>
    <row r="113" spans="2:7" ht="15" thickBot="1">
      <c r="B113" s="122"/>
      <c r="C113" s="123"/>
      <c r="D113" s="123"/>
      <c r="E113" s="123"/>
      <c r="F113" s="123"/>
      <c r="G113" s="106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29" priority="3" operator="equal">
      <formula>3</formula>
    </cfRule>
    <cfRule type="cellIs" dxfId="28" priority="4" operator="equal">
      <formula>4</formula>
    </cfRule>
  </conditionalFormatting>
  <conditionalFormatting sqref="D89">
    <cfRule type="cellIs" dxfId="27" priority="1" operator="equal">
      <formula>3</formula>
    </cfRule>
    <cfRule type="cellIs" dxfId="2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I46" sqref="I46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2.3320312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 thickBot="1"/>
    <row r="3" spans="2:7" ht="62.25" customHeight="1" thickBot="1">
      <c r="B3" s="133" t="s">
        <v>11</v>
      </c>
      <c r="C3" s="134"/>
      <c r="D3" s="134"/>
      <c r="E3" s="134"/>
      <c r="F3" s="135"/>
      <c r="G3" s="31" t="s">
        <v>12</v>
      </c>
    </row>
    <row r="4" spans="2:7" ht="23.4" thickBot="1">
      <c r="B4" s="14"/>
      <c r="C4" s="15" t="s">
        <v>31</v>
      </c>
      <c r="D4" s="152" t="str">
        <f>+'Line &amp; frequency'!C1</f>
        <v>CHAINE 4</v>
      </c>
      <c r="E4" s="153"/>
      <c r="F4" s="15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11" t="s">
        <v>0</v>
      </c>
      <c r="F6" s="112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>
      <c r="B32" s="37">
        <f t="shared" ref="B32" si="21">+B31+1</f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>
      <c r="B33" s="6">
        <f t="shared" ref="B33" si="22">B32+1</f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399999999999999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399999999999999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399999999999999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399999999999999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399999999999999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399999999999999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399999999999999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399999999999999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399999999999999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399999999999999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399999999999999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399999999999999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399999999999999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399999999999999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399999999999999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399999999999999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399999999999999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399999999999999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399999999999999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399999999999999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399999999999999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399999999999999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399999999999999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399999999999999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399999999999999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399999999999999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399999999999999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399999999999999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399999999999999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399999999999999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399999999999999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399999999999999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399999999999999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399999999999999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399999999999999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399999999999999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399999999999999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399999999999999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399999999999999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399999999999999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399999999999999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399999999999999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399999999999999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399999999999999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399999999999999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399999999999999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>
      <c r="B107" s="6">
        <f t="shared" si="94"/>
        <v>100</v>
      </c>
      <c r="C107" s="18"/>
      <c r="D107" s="23"/>
      <c r="E107" s="10"/>
      <c r="F107" s="11"/>
      <c r="G107" s="36"/>
    </row>
    <row r="108" spans="2:7" ht="18" thickBot="1">
      <c r="B108" s="113" t="s">
        <v>13</v>
      </c>
      <c r="C108" s="114"/>
      <c r="D108" s="140" t="s">
        <v>7</v>
      </c>
      <c r="E108" s="141"/>
      <c r="F108" s="142"/>
      <c r="G108" s="24" t="s">
        <v>8</v>
      </c>
    </row>
    <row r="109" spans="2:7">
      <c r="B109" s="118"/>
      <c r="C109" s="119"/>
      <c r="D109" s="119"/>
      <c r="E109" s="119"/>
      <c r="F109" s="119"/>
      <c r="G109" s="104"/>
    </row>
    <row r="110" spans="2:7">
      <c r="B110" s="120"/>
      <c r="C110" s="121"/>
      <c r="D110" s="121"/>
      <c r="E110" s="121"/>
      <c r="F110" s="121"/>
      <c r="G110" s="105"/>
    </row>
    <row r="111" spans="2:7">
      <c r="B111" s="120"/>
      <c r="C111" s="121"/>
      <c r="D111" s="121"/>
      <c r="E111" s="121"/>
      <c r="F111" s="121"/>
      <c r="G111" s="105"/>
    </row>
    <row r="112" spans="2:7">
      <c r="B112" s="120"/>
      <c r="C112" s="121"/>
      <c r="D112" s="121"/>
      <c r="E112" s="121"/>
      <c r="F112" s="121"/>
      <c r="G112" s="105"/>
    </row>
    <row r="113" spans="2:7" ht="15" thickBot="1">
      <c r="B113" s="122"/>
      <c r="C113" s="123"/>
      <c r="D113" s="123"/>
      <c r="E113" s="123"/>
      <c r="F113" s="123"/>
      <c r="G113" s="106"/>
    </row>
  </sheetData>
  <sheetProtection selectLockedCells="1"/>
  <mergeCells count="8">
    <mergeCell ref="G109:G113"/>
    <mergeCell ref="B3:F3"/>
    <mergeCell ref="D4:F4"/>
    <mergeCell ref="E6:F6"/>
    <mergeCell ref="B108:C108"/>
    <mergeCell ref="D108:F108"/>
    <mergeCell ref="B109:C113"/>
    <mergeCell ref="D109:F113"/>
  </mergeCells>
  <conditionalFormatting sqref="D8:D88 D90:D107">
    <cfRule type="cellIs" dxfId="25" priority="3" operator="equal">
      <formula>3</formula>
    </cfRule>
    <cfRule type="cellIs" dxfId="24" priority="4" operator="equal">
      <formula>4</formula>
    </cfRule>
  </conditionalFormatting>
  <conditionalFormatting sqref="D89">
    <cfRule type="cellIs" dxfId="23" priority="1" operator="equal">
      <formula>3</formula>
    </cfRule>
    <cfRule type="cellIs" dxfId="2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14999847407452621"/>
    <pageSetUpPr fitToPage="1"/>
  </sheetPr>
  <dimension ref="B1:G38"/>
  <sheetViews>
    <sheetView zoomScale="55" zoomScaleNormal="55" zoomScalePageLayoutView="70" workbookViewId="0">
      <selection activeCell="I46" sqref="I46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2.3320312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 thickBot="1"/>
    <row r="3" spans="2:7" ht="62.25" customHeight="1" thickBot="1">
      <c r="B3" s="133" t="s">
        <v>11</v>
      </c>
      <c r="C3" s="134"/>
      <c r="D3" s="134"/>
      <c r="E3" s="134"/>
      <c r="F3" s="135"/>
      <c r="G3" s="31" t="s">
        <v>12</v>
      </c>
    </row>
    <row r="4" spans="2:7" ht="23.4" thickBot="1">
      <c r="B4" s="14"/>
      <c r="C4" s="15" t="s">
        <v>33</v>
      </c>
      <c r="D4" s="152" t="str">
        <f>+'Line &amp; frequency'!C1</f>
        <v>CHAINE 4</v>
      </c>
      <c r="E4" s="153"/>
      <c r="F4" s="15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11" t="s">
        <v>0</v>
      </c>
      <c r="F6" s="112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 thickBot="1">
      <c r="B32" s="37">
        <f t="shared" ref="B32" si="21">+B31+1</f>
        <v>25</v>
      </c>
      <c r="C32" s="38"/>
      <c r="D32" s="21"/>
      <c r="E32" s="19"/>
      <c r="F32" s="20"/>
      <c r="G32" s="33"/>
    </row>
    <row r="33" spans="2:7" ht="18" thickBot="1">
      <c r="B33" s="113" t="s">
        <v>13</v>
      </c>
      <c r="C33" s="114"/>
      <c r="D33" s="140" t="s">
        <v>7</v>
      </c>
      <c r="E33" s="141"/>
      <c r="F33" s="142"/>
      <c r="G33" s="24" t="s">
        <v>8</v>
      </c>
    </row>
    <row r="34" spans="2:7">
      <c r="B34" s="118"/>
      <c r="C34" s="119"/>
      <c r="D34" s="119"/>
      <c r="E34" s="119"/>
      <c r="F34" s="119"/>
      <c r="G34" s="104"/>
    </row>
    <row r="35" spans="2:7">
      <c r="B35" s="120"/>
      <c r="C35" s="121"/>
      <c r="D35" s="121"/>
      <c r="E35" s="121"/>
      <c r="F35" s="121"/>
      <c r="G35" s="105"/>
    </row>
    <row r="36" spans="2:7">
      <c r="B36" s="120"/>
      <c r="C36" s="121"/>
      <c r="D36" s="121"/>
      <c r="E36" s="121"/>
      <c r="F36" s="121"/>
      <c r="G36" s="105"/>
    </row>
    <row r="37" spans="2:7">
      <c r="B37" s="120"/>
      <c r="C37" s="121"/>
      <c r="D37" s="121"/>
      <c r="E37" s="121"/>
      <c r="F37" s="121"/>
      <c r="G37" s="105"/>
    </row>
    <row r="38" spans="2:7" ht="15" thickBot="1">
      <c r="B38" s="122"/>
      <c r="C38" s="123"/>
      <c r="D38" s="123"/>
      <c r="E38" s="123"/>
      <c r="F38" s="123"/>
      <c r="G38" s="106"/>
    </row>
  </sheetData>
  <sheetProtection selectLockedCells="1"/>
  <mergeCells count="8">
    <mergeCell ref="G34:G38"/>
    <mergeCell ref="B3:F3"/>
    <mergeCell ref="D4:F4"/>
    <mergeCell ref="E6:F6"/>
    <mergeCell ref="B33:C33"/>
    <mergeCell ref="D33:F33"/>
    <mergeCell ref="B34:C38"/>
    <mergeCell ref="D34:F38"/>
  </mergeCells>
  <conditionalFormatting sqref="D8:D32">
    <cfRule type="cellIs" dxfId="21" priority="3" operator="equal">
      <formula>3</formula>
    </cfRule>
    <cfRule type="cellIs" dxfId="20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14999847407452621"/>
    <pageSetUpPr fitToPage="1"/>
  </sheetPr>
  <dimension ref="B1:G43"/>
  <sheetViews>
    <sheetView zoomScale="55" zoomScaleNormal="55" zoomScalePageLayoutView="70" workbookViewId="0">
      <selection activeCell="I46" sqref="I46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2.3320312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 thickBot="1"/>
    <row r="3" spans="2:7" ht="62.25" customHeight="1" thickBot="1">
      <c r="B3" s="133" t="s">
        <v>11</v>
      </c>
      <c r="C3" s="134"/>
      <c r="D3" s="134"/>
      <c r="E3" s="134"/>
      <c r="F3" s="135"/>
      <c r="G3" s="31" t="s">
        <v>12</v>
      </c>
    </row>
    <row r="4" spans="2:7" ht="23.4" thickBot="1">
      <c r="B4" s="14"/>
      <c r="C4" s="15" t="s">
        <v>32</v>
      </c>
      <c r="D4" s="152" t="str">
        <f>+'Line &amp; frequency'!C1</f>
        <v>CHAINE 4</v>
      </c>
      <c r="E4" s="153"/>
      <c r="F4" s="15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11" t="s">
        <v>0</v>
      </c>
      <c r="F6" s="112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20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26</v>
      </c>
      <c r="D31" s="21">
        <v>30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24</v>
      </c>
      <c r="D32" s="21">
        <v>30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25</v>
      </c>
      <c r="D33" s="21">
        <v>25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" thickBot="1">
      <c r="B38" s="113" t="s">
        <v>13</v>
      </c>
      <c r="C38" s="114"/>
      <c r="D38" s="140" t="s">
        <v>7</v>
      </c>
      <c r="E38" s="141"/>
      <c r="F38" s="142"/>
      <c r="G38" s="24" t="s">
        <v>8</v>
      </c>
    </row>
    <row r="39" spans="2:7">
      <c r="B39" s="118"/>
      <c r="C39" s="119"/>
      <c r="D39" s="119"/>
      <c r="E39" s="119"/>
      <c r="F39" s="119"/>
      <c r="G39" s="104"/>
    </row>
    <row r="40" spans="2:7">
      <c r="B40" s="120"/>
      <c r="C40" s="121"/>
      <c r="D40" s="121"/>
      <c r="E40" s="121"/>
      <c r="F40" s="121"/>
      <c r="G40" s="105"/>
    </row>
    <row r="41" spans="2:7">
      <c r="B41" s="120"/>
      <c r="C41" s="121"/>
      <c r="D41" s="121"/>
      <c r="E41" s="121"/>
      <c r="F41" s="121"/>
      <c r="G41" s="105"/>
    </row>
    <row r="42" spans="2:7">
      <c r="B42" s="120"/>
      <c r="C42" s="121"/>
      <c r="D42" s="121"/>
      <c r="E42" s="121"/>
      <c r="F42" s="121"/>
      <c r="G42" s="105"/>
    </row>
    <row r="43" spans="2:7" ht="15" thickBot="1">
      <c r="B43" s="122"/>
      <c r="C43" s="123"/>
      <c r="D43" s="123"/>
      <c r="E43" s="123"/>
      <c r="F43" s="123"/>
      <c r="G43" s="106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9" priority="1" operator="equal">
      <formula>3</formula>
    </cfRule>
    <cfRule type="cellIs" dxfId="1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14999847407452621"/>
    <pageSetUpPr fitToPage="1"/>
  </sheetPr>
  <dimension ref="B1:G43"/>
  <sheetViews>
    <sheetView topLeftCell="A19" zoomScale="55" zoomScaleNormal="55" zoomScalePageLayoutView="70" workbookViewId="0">
      <selection activeCell="I46" sqref="I46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2.3320312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 thickBot="1"/>
    <row r="3" spans="2:7" ht="62.25" customHeight="1" thickBot="1">
      <c r="B3" s="133" t="s">
        <v>11</v>
      </c>
      <c r="C3" s="134"/>
      <c r="D3" s="134"/>
      <c r="E3" s="134"/>
      <c r="F3" s="135"/>
      <c r="G3" s="31" t="s">
        <v>12</v>
      </c>
    </row>
    <row r="4" spans="2:7" ht="23.4" thickBot="1">
      <c r="B4" s="14"/>
      <c r="C4" s="15" t="s">
        <v>34</v>
      </c>
      <c r="D4" s="152" t="str">
        <f>+'Line &amp; frequency'!C1</f>
        <v>CHAINE 4</v>
      </c>
      <c r="E4" s="153"/>
      <c r="F4" s="15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11" t="s">
        <v>0</v>
      </c>
      <c r="F6" s="112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" thickBot="1">
      <c r="B38" s="113" t="s">
        <v>13</v>
      </c>
      <c r="C38" s="114"/>
      <c r="D38" s="140" t="s">
        <v>7</v>
      </c>
      <c r="E38" s="141"/>
      <c r="F38" s="142"/>
      <c r="G38" s="24" t="s">
        <v>8</v>
      </c>
    </row>
    <row r="39" spans="2:7">
      <c r="B39" s="118"/>
      <c r="C39" s="119"/>
      <c r="D39" s="119"/>
      <c r="E39" s="119"/>
      <c r="F39" s="119"/>
      <c r="G39" s="104"/>
    </row>
    <row r="40" spans="2:7">
      <c r="B40" s="120"/>
      <c r="C40" s="121"/>
      <c r="D40" s="121"/>
      <c r="E40" s="121"/>
      <c r="F40" s="121"/>
      <c r="G40" s="105"/>
    </row>
    <row r="41" spans="2:7">
      <c r="B41" s="120"/>
      <c r="C41" s="121"/>
      <c r="D41" s="121"/>
      <c r="E41" s="121"/>
      <c r="F41" s="121"/>
      <c r="G41" s="105"/>
    </row>
    <row r="42" spans="2:7">
      <c r="B42" s="120"/>
      <c r="C42" s="121"/>
      <c r="D42" s="121"/>
      <c r="E42" s="121"/>
      <c r="F42" s="121"/>
      <c r="G42" s="105"/>
    </row>
    <row r="43" spans="2:7" ht="15" thickBot="1">
      <c r="B43" s="122"/>
      <c r="C43" s="123"/>
      <c r="D43" s="123"/>
      <c r="E43" s="123"/>
      <c r="F43" s="123"/>
      <c r="G43" s="106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7" priority="1" operator="equal">
      <formula>3</formula>
    </cfRule>
    <cfRule type="cellIs" dxfId="1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14999847407452621"/>
    <pageSetUpPr fitToPage="1"/>
  </sheetPr>
  <dimension ref="B1:G43"/>
  <sheetViews>
    <sheetView topLeftCell="A28" zoomScale="55" zoomScaleNormal="55" zoomScalePageLayoutView="70" workbookViewId="0">
      <selection activeCell="I46" sqref="I46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2.3320312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 thickBot="1"/>
    <row r="3" spans="2:7" ht="62.25" customHeight="1" thickBot="1">
      <c r="B3" s="133" t="s">
        <v>11</v>
      </c>
      <c r="C3" s="134"/>
      <c r="D3" s="134"/>
      <c r="E3" s="134"/>
      <c r="F3" s="135"/>
      <c r="G3" s="31" t="s">
        <v>12</v>
      </c>
    </row>
    <row r="4" spans="2:7" ht="23.4" thickBot="1">
      <c r="B4" s="14"/>
      <c r="C4" s="15" t="s">
        <v>35</v>
      </c>
      <c r="D4" s="152" t="str">
        <f>+'Line &amp; frequency'!C1</f>
        <v>CHAINE 4</v>
      </c>
      <c r="E4" s="153"/>
      <c r="F4" s="15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11" t="s">
        <v>0</v>
      </c>
      <c r="F6" s="112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" thickBot="1">
      <c r="B38" s="113" t="s">
        <v>13</v>
      </c>
      <c r="C38" s="114"/>
      <c r="D38" s="140" t="s">
        <v>7</v>
      </c>
      <c r="E38" s="141"/>
      <c r="F38" s="142"/>
      <c r="G38" s="24" t="s">
        <v>8</v>
      </c>
    </row>
    <row r="39" spans="2:7">
      <c r="B39" s="118"/>
      <c r="C39" s="119"/>
      <c r="D39" s="119"/>
      <c r="E39" s="119"/>
      <c r="F39" s="119"/>
      <c r="G39" s="104"/>
    </row>
    <row r="40" spans="2:7">
      <c r="B40" s="120"/>
      <c r="C40" s="121"/>
      <c r="D40" s="121"/>
      <c r="E40" s="121"/>
      <c r="F40" s="121"/>
      <c r="G40" s="105"/>
    </row>
    <row r="41" spans="2:7">
      <c r="B41" s="120"/>
      <c r="C41" s="121"/>
      <c r="D41" s="121"/>
      <c r="E41" s="121"/>
      <c r="F41" s="121"/>
      <c r="G41" s="105"/>
    </row>
    <row r="42" spans="2:7">
      <c r="B42" s="120"/>
      <c r="C42" s="121"/>
      <c r="D42" s="121"/>
      <c r="E42" s="121"/>
      <c r="F42" s="121"/>
      <c r="G42" s="105"/>
    </row>
    <row r="43" spans="2:7" ht="15" thickBot="1">
      <c r="B43" s="122"/>
      <c r="C43" s="123"/>
      <c r="D43" s="123"/>
      <c r="E43" s="123"/>
      <c r="F43" s="123"/>
      <c r="G43" s="106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5" priority="1" operator="equal">
      <formula>3</formula>
    </cfRule>
    <cfRule type="cellIs" dxfId="1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14999847407452621"/>
    <pageSetUpPr fitToPage="1"/>
  </sheetPr>
  <dimension ref="B1:G43"/>
  <sheetViews>
    <sheetView topLeftCell="A25" zoomScale="55" zoomScaleNormal="55" zoomScalePageLayoutView="70" workbookViewId="0">
      <selection activeCell="I46" sqref="I46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2.3320312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 thickBot="1"/>
    <row r="3" spans="2:7" ht="62.25" customHeight="1" thickBot="1">
      <c r="B3" s="133" t="s">
        <v>11</v>
      </c>
      <c r="C3" s="134"/>
      <c r="D3" s="134"/>
      <c r="E3" s="134"/>
      <c r="F3" s="135"/>
      <c r="G3" s="31" t="s">
        <v>12</v>
      </c>
    </row>
    <row r="4" spans="2:7" ht="23.4" thickBot="1">
      <c r="B4" s="14"/>
      <c r="C4" s="15" t="s">
        <v>36</v>
      </c>
      <c r="D4" s="152" t="str">
        <f>+'Line &amp; frequency'!C1</f>
        <v>CHAINE 4</v>
      </c>
      <c r="E4" s="153"/>
      <c r="F4" s="15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11" t="s">
        <v>0</v>
      </c>
      <c r="F6" s="112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>
      <c r="B28" s="6">
        <f t="shared" si="14"/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>
      <c r="B31" s="6">
        <f t="shared" si="14"/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>
      <c r="B32" s="6">
        <f t="shared" si="14"/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>
      <c r="B33" s="37">
        <f t="shared" si="15"/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" thickBot="1">
      <c r="B38" s="113" t="s">
        <v>13</v>
      </c>
      <c r="C38" s="114"/>
      <c r="D38" s="140" t="s">
        <v>7</v>
      </c>
      <c r="E38" s="141"/>
      <c r="F38" s="142"/>
      <c r="G38" s="24" t="s">
        <v>8</v>
      </c>
    </row>
    <row r="39" spans="2:7">
      <c r="B39" s="118"/>
      <c r="C39" s="119"/>
      <c r="D39" s="119"/>
      <c r="E39" s="119"/>
      <c r="F39" s="119"/>
      <c r="G39" s="104"/>
    </row>
    <row r="40" spans="2:7">
      <c r="B40" s="120"/>
      <c r="C40" s="121"/>
      <c r="D40" s="121"/>
      <c r="E40" s="121"/>
      <c r="F40" s="121"/>
      <c r="G40" s="105"/>
    </row>
    <row r="41" spans="2:7">
      <c r="B41" s="120"/>
      <c r="C41" s="121"/>
      <c r="D41" s="121"/>
      <c r="E41" s="121"/>
      <c r="F41" s="121"/>
      <c r="G41" s="105"/>
    </row>
    <row r="42" spans="2:7">
      <c r="B42" s="120"/>
      <c r="C42" s="121"/>
      <c r="D42" s="121"/>
      <c r="E42" s="121"/>
      <c r="F42" s="121"/>
      <c r="G42" s="105"/>
    </row>
    <row r="43" spans="2:7" ht="15" thickBot="1">
      <c r="B43" s="122"/>
      <c r="C43" s="123"/>
      <c r="D43" s="123"/>
      <c r="E43" s="123"/>
      <c r="F43" s="123"/>
      <c r="G43" s="106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3" priority="1" operator="equal">
      <formula>3</formula>
    </cfRule>
    <cfRule type="cellIs" dxfId="1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14999847407452621"/>
    <pageSetUpPr fitToPage="1"/>
  </sheetPr>
  <dimension ref="B1:G43"/>
  <sheetViews>
    <sheetView topLeftCell="A31" zoomScale="55" zoomScaleNormal="55" zoomScalePageLayoutView="70" workbookViewId="0">
      <selection activeCell="I46" sqref="I46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2.3320312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1.5" customHeight="1"/>
    <row r="2" spans="2:7" ht="1.5" customHeight="1" thickBot="1"/>
    <row r="3" spans="2:7" ht="62.25" customHeight="1" thickBot="1">
      <c r="B3" s="133" t="s">
        <v>11</v>
      </c>
      <c r="C3" s="134"/>
      <c r="D3" s="134"/>
      <c r="E3" s="134"/>
      <c r="F3" s="135"/>
      <c r="G3" s="31" t="s">
        <v>12</v>
      </c>
    </row>
    <row r="4" spans="2:7" ht="23.4" thickBot="1">
      <c r="B4" s="14"/>
      <c r="C4" s="15" t="s">
        <v>37</v>
      </c>
      <c r="D4" s="152" t="str">
        <f>+'Line &amp; frequency'!C1</f>
        <v>CHAINE 4</v>
      </c>
      <c r="E4" s="153"/>
      <c r="F4" s="153"/>
      <c r="G4" s="32" t="str">
        <f>+'Line &amp; frequency'!C2</f>
        <v>HEBDOMADAIRE</v>
      </c>
    </row>
    <row r="5" spans="2:7" ht="8.25" customHeight="1" thickBot="1">
      <c r="B5" s="2"/>
      <c r="C5" s="2"/>
      <c r="D5" s="3"/>
      <c r="E5" s="3"/>
      <c r="F5" s="3"/>
      <c r="G5" s="3"/>
    </row>
    <row r="6" spans="2:7" ht="20.25" customHeight="1" thickBot="1">
      <c r="E6" s="111" t="s">
        <v>0</v>
      </c>
      <c r="F6" s="112"/>
    </row>
    <row r="7" spans="2:7" s="4" customFormat="1" ht="24" customHeight="1" thickBot="1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>
      <c r="B17" s="6">
        <f t="shared" ref="B17" si="6">B16+1</f>
        <v>10</v>
      </c>
      <c r="C17" s="38" t="s">
        <v>19</v>
      </c>
      <c r="D17" s="21">
        <v>30</v>
      </c>
      <c r="E17" s="19"/>
      <c r="F17" s="20"/>
      <c r="G17" s="33"/>
    </row>
    <row r="18" spans="2:7" s="4" customFormat="1" ht="64.5" customHeight="1">
      <c r="B18" s="37">
        <f t="shared" ref="B18" si="7">+B17+1</f>
        <v>11</v>
      </c>
      <c r="C18" s="38" t="s">
        <v>26</v>
      </c>
      <c r="D18" s="21">
        <v>30</v>
      </c>
      <c r="E18" s="19"/>
      <c r="F18" s="20"/>
      <c r="G18" s="33"/>
    </row>
    <row r="19" spans="2:7" s="4" customFormat="1" ht="64.5" customHeight="1">
      <c r="B19" s="6">
        <f t="shared" ref="B19" si="8">B18+1</f>
        <v>12</v>
      </c>
      <c r="C19" s="38" t="s">
        <v>27</v>
      </c>
      <c r="D19" s="21">
        <v>30</v>
      </c>
      <c r="E19" s="19"/>
      <c r="F19" s="20"/>
      <c r="G19" s="33"/>
    </row>
    <row r="20" spans="2:7" s="4" customFormat="1" ht="64.5" customHeight="1">
      <c r="B20" s="37">
        <f t="shared" ref="B20" si="9">+B19+1</f>
        <v>13</v>
      </c>
      <c r="C20" s="38" t="s">
        <v>21</v>
      </c>
      <c r="D20" s="21">
        <v>30</v>
      </c>
      <c r="E20" s="19"/>
      <c r="F20" s="20"/>
      <c r="G20" s="33"/>
    </row>
    <row r="21" spans="2:7" s="4" customFormat="1" ht="64.5" customHeight="1">
      <c r="B21" s="6">
        <f t="shared" ref="B21" si="10">B20+1</f>
        <v>14</v>
      </c>
      <c r="C21" s="38" t="s">
        <v>24</v>
      </c>
      <c r="D21" s="21">
        <v>30</v>
      </c>
      <c r="E21" s="19"/>
      <c r="F21" s="20"/>
      <c r="G21" s="33"/>
    </row>
    <row r="22" spans="2:7" s="4" customFormat="1" ht="64.5" customHeight="1">
      <c r="B22" s="37">
        <f t="shared" ref="B22" si="11">+B21+1</f>
        <v>15</v>
      </c>
      <c r="C22" s="38" t="s">
        <v>25</v>
      </c>
      <c r="D22" s="21">
        <v>25</v>
      </c>
      <c r="E22" s="19"/>
      <c r="F22" s="20"/>
      <c r="G22" s="33"/>
    </row>
    <row r="23" spans="2:7" s="4" customFormat="1" ht="64.5" customHeight="1">
      <c r="B23" s="6">
        <f t="shared" ref="B23" si="12">B22+1</f>
        <v>16</v>
      </c>
      <c r="C23" s="38" t="s">
        <v>28</v>
      </c>
      <c r="D23" s="21">
        <v>120</v>
      </c>
      <c r="E23" s="19"/>
      <c r="F23" s="20"/>
      <c r="G23" s="33"/>
    </row>
    <row r="24" spans="2:7" s="4" customFormat="1" ht="64.5" customHeight="1">
      <c r="B24" s="37">
        <f t="shared" ref="B24" si="13">+B23+1</f>
        <v>17</v>
      </c>
      <c r="C24" s="38" t="s">
        <v>29</v>
      </c>
      <c r="D24" s="21">
        <v>60</v>
      </c>
      <c r="E24" s="19"/>
      <c r="F24" s="20"/>
      <c r="G24" s="33"/>
    </row>
    <row r="25" spans="2:7" s="4" customFormat="1" ht="64.5" customHeight="1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>
      <c r="B37" s="6">
        <f t="shared" si="14"/>
        <v>30</v>
      </c>
      <c r="C37" s="38"/>
      <c r="D37" s="21"/>
      <c r="E37" s="19"/>
      <c r="F37" s="20"/>
      <c r="G37" s="33"/>
    </row>
    <row r="38" spans="2:7" ht="18" thickBot="1">
      <c r="B38" s="113" t="s">
        <v>13</v>
      </c>
      <c r="C38" s="114"/>
      <c r="D38" s="140" t="s">
        <v>7</v>
      </c>
      <c r="E38" s="141"/>
      <c r="F38" s="142"/>
      <c r="G38" s="24" t="s">
        <v>8</v>
      </c>
    </row>
    <row r="39" spans="2:7">
      <c r="B39" s="118"/>
      <c r="C39" s="119"/>
      <c r="D39" s="119"/>
      <c r="E39" s="119"/>
      <c r="F39" s="119"/>
      <c r="G39" s="104"/>
    </row>
    <row r="40" spans="2:7">
      <c r="B40" s="120"/>
      <c r="C40" s="121"/>
      <c r="D40" s="121"/>
      <c r="E40" s="121"/>
      <c r="F40" s="121"/>
      <c r="G40" s="105"/>
    </row>
    <row r="41" spans="2:7">
      <c r="B41" s="120"/>
      <c r="C41" s="121"/>
      <c r="D41" s="121"/>
      <c r="E41" s="121"/>
      <c r="F41" s="121"/>
      <c r="G41" s="105"/>
    </row>
    <row r="42" spans="2:7">
      <c r="B42" s="120"/>
      <c r="C42" s="121"/>
      <c r="D42" s="121"/>
      <c r="E42" s="121"/>
      <c r="F42" s="121"/>
      <c r="G42" s="105"/>
    </row>
    <row r="43" spans="2:7" ht="15" thickBot="1">
      <c r="B43" s="122"/>
      <c r="C43" s="123"/>
      <c r="D43" s="123"/>
      <c r="E43" s="123"/>
      <c r="F43" s="123"/>
      <c r="G43" s="106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1" priority="1" operator="equal">
      <formula>3</formula>
    </cfRule>
    <cfRule type="cellIs" dxfId="1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G3"/>
  <sheetViews>
    <sheetView workbookViewId="0">
      <selection activeCell="F10" sqref="F10"/>
    </sheetView>
  </sheetViews>
  <sheetFormatPr defaultColWidth="11.5546875" defaultRowHeight="14.4"/>
  <cols>
    <col min="3" max="3" width="15.44140625" bestFit="1" customWidth="1"/>
    <col min="7" max="7" width="46.33203125" bestFit="1" customWidth="1"/>
  </cols>
  <sheetData>
    <row r="1" spans="2:7">
      <c r="B1" t="s">
        <v>9</v>
      </c>
      <c r="C1" s="13" t="s">
        <v>14</v>
      </c>
    </row>
    <row r="2" spans="2:7">
      <c r="B2" t="s">
        <v>10</v>
      </c>
      <c r="C2" s="13" t="s">
        <v>15</v>
      </c>
    </row>
    <row r="3" spans="2:7" ht="25.8">
      <c r="B3" s="45" t="s">
        <v>12</v>
      </c>
      <c r="C3" s="46">
        <v>44273</v>
      </c>
      <c r="G3" s="44">
        <f>+'Line &amp; frequency'!C3</f>
        <v>44273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1:G15"/>
  <sheetViews>
    <sheetView view="pageBreakPreview" topLeftCell="A6" zoomScaleNormal="80" zoomScaleSheetLayoutView="100" workbookViewId="0">
      <selection activeCell="C20" sqref="C20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3.44140625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5.25" customHeight="1"/>
    <row r="2" spans="2:7" ht="0.75" customHeight="1"/>
    <row r="3" spans="2:7" ht="47.25" customHeight="1" thickBot="1">
      <c r="B3" s="139" t="s">
        <v>11</v>
      </c>
      <c r="C3" s="139"/>
      <c r="D3" s="139"/>
      <c r="E3" s="139"/>
      <c r="F3" s="151"/>
      <c r="G3" s="78" t="s">
        <v>38</v>
      </c>
    </row>
    <row r="4" spans="2:7" ht="23.4" thickBot="1">
      <c r="B4" s="52"/>
      <c r="C4" s="53" t="s">
        <v>41</v>
      </c>
      <c r="D4" s="110" t="s">
        <v>39</v>
      </c>
      <c r="E4" s="110"/>
      <c r="F4" s="110"/>
      <c r="G4" s="32" t="s">
        <v>74</v>
      </c>
    </row>
    <row r="5" spans="2:7" ht="17.399999999999999">
      <c r="B5" s="57"/>
      <c r="C5" s="57"/>
      <c r="D5" s="57"/>
      <c r="E5" s="136" t="s">
        <v>0</v>
      </c>
      <c r="F5" s="136"/>
      <c r="G5" s="57"/>
    </row>
    <row r="6" spans="2:7" s="4" customFormat="1" ht="16.2" thickBot="1">
      <c r="B6" s="58" t="s">
        <v>1</v>
      </c>
      <c r="C6" s="58" t="s">
        <v>2</v>
      </c>
      <c r="D6" s="58" t="s">
        <v>3</v>
      </c>
      <c r="E6" s="59" t="s">
        <v>4</v>
      </c>
      <c r="F6" s="59" t="s">
        <v>5</v>
      </c>
      <c r="G6" s="60" t="s">
        <v>6</v>
      </c>
    </row>
    <row r="7" spans="2:7" s="4" customFormat="1" ht="18.600000000000001" thickBot="1">
      <c r="B7" s="61">
        <v>1</v>
      </c>
      <c r="C7" s="82" t="s">
        <v>76</v>
      </c>
      <c r="D7" s="62"/>
      <c r="E7" s="63"/>
      <c r="F7" s="64"/>
      <c r="G7" s="65"/>
    </row>
    <row r="8" spans="2:7" s="4" customFormat="1" ht="18.600000000000001" thickBot="1">
      <c r="B8" s="66">
        <f>B7+1</f>
        <v>2</v>
      </c>
      <c r="C8" s="82" t="s">
        <v>125</v>
      </c>
      <c r="D8" s="62"/>
      <c r="E8" s="63"/>
      <c r="F8" s="64"/>
      <c r="G8" s="65"/>
    </row>
    <row r="9" spans="2:7" s="4" customFormat="1" ht="18.600000000000001" thickBot="1">
      <c r="B9" s="66">
        <f>B8+1</f>
        <v>3</v>
      </c>
      <c r="C9" s="82"/>
      <c r="D9" s="62"/>
      <c r="E9" s="63"/>
      <c r="F9" s="64"/>
      <c r="G9" s="65"/>
    </row>
    <row r="10" spans="2:7" ht="17.399999999999999">
      <c r="B10" s="137" t="s">
        <v>13</v>
      </c>
      <c r="C10" s="137"/>
      <c r="D10" s="138" t="s">
        <v>7</v>
      </c>
      <c r="E10" s="138"/>
      <c r="F10" s="138"/>
      <c r="G10" s="68" t="s">
        <v>8</v>
      </c>
    </row>
    <row r="11" spans="2:7">
      <c r="B11" s="121"/>
      <c r="C11" s="121"/>
      <c r="D11" s="121"/>
      <c r="E11" s="121"/>
      <c r="F11" s="121"/>
      <c r="G11" s="121"/>
    </row>
    <row r="12" spans="2:7">
      <c r="B12" s="121"/>
      <c r="C12" s="121"/>
      <c r="D12" s="121"/>
      <c r="E12" s="121"/>
      <c r="F12" s="121"/>
      <c r="G12" s="121"/>
    </row>
    <row r="13" spans="2:7">
      <c r="B13" s="121"/>
      <c r="C13" s="121"/>
      <c r="D13" s="121"/>
      <c r="E13" s="121"/>
      <c r="F13" s="121"/>
      <c r="G13" s="121"/>
    </row>
    <row r="14" spans="2:7">
      <c r="B14" s="121"/>
      <c r="C14" s="121"/>
      <c r="D14" s="121"/>
      <c r="E14" s="121"/>
      <c r="F14" s="121"/>
      <c r="G14" s="121"/>
    </row>
    <row r="15" spans="2:7">
      <c r="B15" s="121"/>
      <c r="C15" s="121"/>
      <c r="D15" s="121"/>
      <c r="E15" s="121"/>
      <c r="F15" s="121"/>
      <c r="G15" s="121"/>
    </row>
  </sheetData>
  <mergeCells count="8">
    <mergeCell ref="G11:G15"/>
    <mergeCell ref="B3:F3"/>
    <mergeCell ref="D4:F4"/>
    <mergeCell ref="E5:F5"/>
    <mergeCell ref="B10:C10"/>
    <mergeCell ref="D10:F10"/>
    <mergeCell ref="B11:C15"/>
    <mergeCell ref="D11:F15"/>
  </mergeCells>
  <conditionalFormatting sqref="D7:D9">
    <cfRule type="cellIs" dxfId="9" priority="1" operator="equal">
      <formula>3</formula>
    </cfRule>
    <cfRule type="cellIs" dxfId="8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72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G14"/>
  <sheetViews>
    <sheetView workbookViewId="0">
      <selection activeCell="B10" sqref="B10:C14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5.25" customHeight="1"/>
    <row r="2" spans="2:7" ht="0.75" customHeight="1"/>
    <row r="3" spans="2:7" ht="47.25" customHeight="1" thickBot="1">
      <c r="B3" s="139" t="s">
        <v>11</v>
      </c>
      <c r="C3" s="139"/>
      <c r="D3" s="139"/>
      <c r="E3" s="139"/>
      <c r="F3" s="151"/>
      <c r="G3" s="78" t="s">
        <v>38</v>
      </c>
    </row>
    <row r="4" spans="2:7" ht="23.4" thickBot="1">
      <c r="B4" s="52"/>
      <c r="C4" s="53" t="s">
        <v>48</v>
      </c>
      <c r="D4" s="110" t="s">
        <v>39</v>
      </c>
      <c r="E4" s="110"/>
      <c r="F4" s="110"/>
      <c r="G4" s="32" t="s">
        <v>74</v>
      </c>
    </row>
    <row r="5" spans="2:7" ht="17.399999999999999">
      <c r="B5" s="57"/>
      <c r="C5" s="57"/>
      <c r="D5" s="57"/>
      <c r="E5" s="136" t="s">
        <v>0</v>
      </c>
      <c r="F5" s="136"/>
      <c r="G5" s="57"/>
    </row>
    <row r="6" spans="2:7" s="4" customFormat="1" ht="15.6">
      <c r="B6" s="58" t="s">
        <v>1</v>
      </c>
      <c r="C6" s="58" t="s">
        <v>2</v>
      </c>
      <c r="D6" s="58" t="s">
        <v>3</v>
      </c>
      <c r="E6" s="59" t="s">
        <v>4</v>
      </c>
      <c r="F6" s="59" t="s">
        <v>5</v>
      </c>
      <c r="G6" s="60" t="s">
        <v>6</v>
      </c>
    </row>
    <row r="7" spans="2:7" s="4" customFormat="1" ht="18">
      <c r="B7" s="61">
        <v>1</v>
      </c>
      <c r="C7" s="85" t="s">
        <v>75</v>
      </c>
      <c r="D7" s="62"/>
      <c r="E7" s="63"/>
      <c r="F7" s="64"/>
      <c r="G7" s="65"/>
    </row>
    <row r="8" spans="2:7" s="4" customFormat="1" ht="18">
      <c r="B8" s="61">
        <v>2</v>
      </c>
      <c r="C8" s="50"/>
      <c r="D8" s="62"/>
      <c r="E8" s="63"/>
      <c r="F8" s="64"/>
      <c r="G8" s="65"/>
    </row>
    <row r="9" spans="2:7" ht="17.399999999999999">
      <c r="B9" s="137" t="s">
        <v>13</v>
      </c>
      <c r="C9" s="137"/>
      <c r="D9" s="138" t="s">
        <v>7</v>
      </c>
      <c r="E9" s="138"/>
      <c r="F9" s="138"/>
      <c r="G9" s="80" t="s">
        <v>8</v>
      </c>
    </row>
    <row r="10" spans="2:7">
      <c r="B10" s="121"/>
      <c r="C10" s="121"/>
      <c r="D10" s="121"/>
      <c r="E10" s="121"/>
      <c r="F10" s="121"/>
      <c r="G10" s="121"/>
    </row>
    <row r="11" spans="2:7">
      <c r="B11" s="121"/>
      <c r="C11" s="121"/>
      <c r="D11" s="121"/>
      <c r="E11" s="121"/>
      <c r="F11" s="121"/>
      <c r="G11" s="121"/>
    </row>
    <row r="12" spans="2:7">
      <c r="B12" s="121"/>
      <c r="C12" s="121"/>
      <c r="D12" s="121"/>
      <c r="E12" s="121"/>
      <c r="F12" s="121"/>
      <c r="G12" s="121"/>
    </row>
    <row r="13" spans="2:7">
      <c r="B13" s="121"/>
      <c r="C13" s="121"/>
      <c r="D13" s="121"/>
      <c r="E13" s="121"/>
      <c r="F13" s="121"/>
      <c r="G13" s="121"/>
    </row>
    <row r="14" spans="2:7">
      <c r="B14" s="121"/>
      <c r="C14" s="121"/>
      <c r="D14" s="121"/>
      <c r="E14" s="121"/>
      <c r="F14" s="121"/>
      <c r="G14" s="121"/>
    </row>
  </sheetData>
  <mergeCells count="8">
    <mergeCell ref="G10:G14"/>
    <mergeCell ref="B3:F3"/>
    <mergeCell ref="D4:F4"/>
    <mergeCell ref="E5:F5"/>
    <mergeCell ref="B9:C9"/>
    <mergeCell ref="D9:F9"/>
    <mergeCell ref="B10:C14"/>
    <mergeCell ref="D10:F14"/>
  </mergeCells>
  <conditionalFormatting sqref="D7:D8">
    <cfRule type="cellIs" dxfId="7" priority="1" operator="equal">
      <formula>3</formula>
    </cfRule>
    <cfRule type="cellIs" dxfId="6" priority="2" operator="equal">
      <formula>4</formula>
    </cfRule>
  </conditionalFormatting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G19"/>
  <sheetViews>
    <sheetView workbookViewId="0">
      <selection activeCell="B15" sqref="B15:C19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5.25" customHeight="1"/>
    <row r="2" spans="2:7" ht="0.75" customHeight="1"/>
    <row r="3" spans="2:7" ht="47.25" customHeight="1" thickBot="1">
      <c r="B3" s="139" t="s">
        <v>11</v>
      </c>
      <c r="C3" s="139"/>
      <c r="D3" s="139"/>
      <c r="E3" s="139"/>
      <c r="F3" s="151"/>
      <c r="G3" s="78" t="s">
        <v>38</v>
      </c>
    </row>
    <row r="4" spans="2:7" ht="23.4" thickBot="1">
      <c r="B4" s="52"/>
      <c r="C4" s="53" t="s">
        <v>56</v>
      </c>
      <c r="D4" s="110" t="s">
        <v>39</v>
      </c>
      <c r="E4" s="110"/>
      <c r="F4" s="110"/>
      <c r="G4" s="32" t="s">
        <v>74</v>
      </c>
    </row>
    <row r="5" spans="2:7" ht="17.399999999999999">
      <c r="B5" s="57"/>
      <c r="C5" s="57"/>
      <c r="D5" s="57"/>
      <c r="E5" s="136" t="s">
        <v>0</v>
      </c>
      <c r="F5" s="136"/>
      <c r="G5" s="57"/>
    </row>
    <row r="6" spans="2:7" s="4" customFormat="1" ht="15.6">
      <c r="B6" s="58" t="s">
        <v>1</v>
      </c>
      <c r="C6" s="58" t="s">
        <v>2</v>
      </c>
      <c r="D6" s="58" t="s">
        <v>3</v>
      </c>
      <c r="E6" s="59" t="s">
        <v>4</v>
      </c>
      <c r="F6" s="59" t="s">
        <v>5</v>
      </c>
      <c r="G6" s="60" t="s">
        <v>6</v>
      </c>
    </row>
    <row r="7" spans="2:7" s="4" customFormat="1" ht="18">
      <c r="B7" s="61">
        <v>1</v>
      </c>
      <c r="C7" s="85" t="s">
        <v>126</v>
      </c>
      <c r="D7" s="62"/>
      <c r="E7" s="63"/>
      <c r="F7" s="64"/>
      <c r="G7" s="65"/>
    </row>
    <row r="8" spans="2:7" s="4" customFormat="1" ht="18">
      <c r="B8" s="66">
        <f>B7+1</f>
        <v>2</v>
      </c>
      <c r="C8" s="85" t="s">
        <v>127</v>
      </c>
      <c r="D8" s="62"/>
      <c r="E8" s="63"/>
      <c r="F8" s="64"/>
      <c r="G8" s="65"/>
    </row>
    <row r="9" spans="2:7" s="4" customFormat="1" ht="18">
      <c r="B9" s="61">
        <f>+B8+1</f>
        <v>3</v>
      </c>
      <c r="C9" s="85" t="s">
        <v>128</v>
      </c>
      <c r="D9" s="62"/>
      <c r="E9" s="63"/>
      <c r="F9" s="64"/>
      <c r="G9" s="65"/>
    </row>
    <row r="10" spans="2:7" s="4" customFormat="1" ht="18">
      <c r="B10" s="61">
        <v>4</v>
      </c>
      <c r="C10" s="85" t="s">
        <v>129</v>
      </c>
      <c r="D10" s="62"/>
      <c r="E10" s="63"/>
      <c r="F10" s="64"/>
      <c r="G10" s="65"/>
    </row>
    <row r="11" spans="2:7" s="4" customFormat="1" ht="18">
      <c r="B11" s="66">
        <v>5</v>
      </c>
      <c r="C11" s="85" t="s">
        <v>130</v>
      </c>
      <c r="D11" s="62"/>
      <c r="E11" s="63"/>
      <c r="F11" s="64"/>
      <c r="G11" s="65"/>
    </row>
    <row r="12" spans="2:7" s="4" customFormat="1" ht="18">
      <c r="B12" s="61">
        <f t="shared" ref="B12" si="0">+B11+1</f>
        <v>6</v>
      </c>
      <c r="C12" s="90" t="s">
        <v>136</v>
      </c>
      <c r="D12" s="62"/>
      <c r="E12" s="63"/>
      <c r="F12" s="64"/>
      <c r="G12" s="65"/>
    </row>
    <row r="13" spans="2:7" s="4" customFormat="1" ht="18">
      <c r="B13" s="66">
        <f t="shared" ref="B13" si="1">B12+1</f>
        <v>7</v>
      </c>
      <c r="C13" s="50"/>
      <c r="D13" s="62"/>
      <c r="E13" s="63"/>
      <c r="F13" s="64"/>
      <c r="G13" s="65"/>
    </row>
    <row r="14" spans="2:7" ht="17.399999999999999">
      <c r="B14" s="137" t="s">
        <v>13</v>
      </c>
      <c r="C14" s="137"/>
      <c r="D14" s="138" t="s">
        <v>7</v>
      </c>
      <c r="E14" s="138"/>
      <c r="F14" s="138"/>
      <c r="G14" s="80" t="s">
        <v>8</v>
      </c>
    </row>
    <row r="15" spans="2:7">
      <c r="B15" s="121"/>
      <c r="C15" s="121"/>
      <c r="D15" s="121"/>
      <c r="E15" s="121"/>
      <c r="F15" s="121"/>
      <c r="G15" s="121"/>
    </row>
    <row r="16" spans="2:7">
      <c r="B16" s="121"/>
      <c r="C16" s="121"/>
      <c r="D16" s="121"/>
      <c r="E16" s="121"/>
      <c r="F16" s="121"/>
      <c r="G16" s="121"/>
    </row>
    <row r="17" spans="2:7">
      <c r="B17" s="121"/>
      <c r="C17" s="121"/>
      <c r="D17" s="121"/>
      <c r="E17" s="121"/>
      <c r="F17" s="121"/>
      <c r="G17" s="121"/>
    </row>
    <row r="18" spans="2:7">
      <c r="B18" s="121"/>
      <c r="C18" s="121"/>
      <c r="D18" s="121"/>
      <c r="E18" s="121"/>
      <c r="F18" s="121"/>
      <c r="G18" s="121"/>
    </row>
    <row r="19" spans="2:7">
      <c r="B19" s="121"/>
      <c r="C19" s="121"/>
      <c r="D19" s="121"/>
      <c r="E19" s="121"/>
      <c r="F19" s="121"/>
      <c r="G19" s="121"/>
    </row>
  </sheetData>
  <mergeCells count="8">
    <mergeCell ref="G15:G19"/>
    <mergeCell ref="B3:F3"/>
    <mergeCell ref="D4:F4"/>
    <mergeCell ref="E5:F5"/>
    <mergeCell ref="B14:C14"/>
    <mergeCell ref="D14:F14"/>
    <mergeCell ref="B15:C19"/>
    <mergeCell ref="D15:F19"/>
  </mergeCells>
  <conditionalFormatting sqref="D7:D13">
    <cfRule type="cellIs" dxfId="5" priority="1" operator="equal">
      <formula>3</formula>
    </cfRule>
    <cfRule type="cellIs" dxfId="4" priority="2" operator="equal">
      <formula>4</formula>
    </cfRule>
  </conditionalFormatting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G19"/>
  <sheetViews>
    <sheetView workbookViewId="0">
      <selection activeCell="B3" activeCellId="3" sqref="C10 B3:F3 B3:F3 B1:G3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5.25" customHeight="1"/>
    <row r="2" spans="2:7" ht="0.75" customHeight="1"/>
    <row r="3" spans="2:7" ht="47.25" customHeight="1" thickBot="1">
      <c r="B3" s="139" t="s">
        <v>11</v>
      </c>
      <c r="C3" s="139"/>
      <c r="D3" s="139"/>
      <c r="E3" s="139"/>
      <c r="F3" s="151"/>
      <c r="G3" s="78" t="s">
        <v>38</v>
      </c>
    </row>
    <row r="4" spans="2:7" ht="23.4" thickBot="1">
      <c r="B4" s="52"/>
      <c r="C4" s="53" t="s">
        <v>77</v>
      </c>
      <c r="D4" s="110" t="s">
        <v>39</v>
      </c>
      <c r="E4" s="110"/>
      <c r="F4" s="110"/>
      <c r="G4" s="32" t="s">
        <v>74</v>
      </c>
    </row>
    <row r="5" spans="2:7" ht="17.399999999999999">
      <c r="B5" s="57"/>
      <c r="C5" s="57"/>
      <c r="D5" s="57"/>
      <c r="E5" s="136" t="s">
        <v>0</v>
      </c>
      <c r="F5" s="136"/>
      <c r="G5" s="57"/>
    </row>
    <row r="6" spans="2:7" s="4" customFormat="1" ht="15.6">
      <c r="B6" s="58" t="s">
        <v>1</v>
      </c>
      <c r="C6" s="58" t="s">
        <v>2</v>
      </c>
      <c r="D6" s="58" t="s">
        <v>3</v>
      </c>
      <c r="E6" s="59" t="s">
        <v>4</v>
      </c>
      <c r="F6" s="59" t="s">
        <v>5</v>
      </c>
      <c r="G6" s="60" t="s">
        <v>6</v>
      </c>
    </row>
    <row r="7" spans="2:7" s="4" customFormat="1" ht="18">
      <c r="B7" s="61">
        <v>1</v>
      </c>
      <c r="C7" s="85" t="s">
        <v>131</v>
      </c>
      <c r="D7" s="62"/>
      <c r="E7" s="63"/>
      <c r="F7" s="64"/>
      <c r="G7" s="65"/>
    </row>
    <row r="8" spans="2:7" s="4" customFormat="1" ht="18">
      <c r="B8" s="66">
        <f>B7+1</f>
        <v>2</v>
      </c>
      <c r="C8" s="85" t="s">
        <v>132</v>
      </c>
      <c r="D8" s="62"/>
      <c r="E8" s="63"/>
      <c r="F8" s="64"/>
      <c r="G8" s="65"/>
    </row>
    <row r="9" spans="2:7" s="4" customFormat="1" ht="18">
      <c r="B9" s="61">
        <f>+B8+1</f>
        <v>3</v>
      </c>
      <c r="C9" s="85" t="s">
        <v>133</v>
      </c>
      <c r="D9" s="62"/>
      <c r="E9" s="63"/>
      <c r="F9" s="64"/>
      <c r="G9" s="65"/>
    </row>
    <row r="10" spans="2:7" s="4" customFormat="1" ht="18">
      <c r="B10" s="61">
        <v>4</v>
      </c>
      <c r="C10" s="85" t="s">
        <v>134</v>
      </c>
      <c r="D10" s="62"/>
      <c r="E10" s="63"/>
      <c r="F10" s="64"/>
      <c r="G10" s="65"/>
    </row>
    <row r="11" spans="2:7" s="4" customFormat="1" ht="18">
      <c r="B11" s="66">
        <v>5</v>
      </c>
      <c r="C11" s="67"/>
      <c r="D11" s="62"/>
      <c r="E11" s="63"/>
      <c r="F11" s="64"/>
      <c r="G11" s="65"/>
    </row>
    <row r="12" spans="2:7" s="4" customFormat="1" ht="18">
      <c r="B12" s="61">
        <f t="shared" ref="B12" si="0">+B11+1</f>
        <v>6</v>
      </c>
      <c r="C12" s="50"/>
      <c r="D12" s="62"/>
      <c r="E12" s="63"/>
      <c r="F12" s="64"/>
      <c r="G12" s="65"/>
    </row>
    <row r="13" spans="2:7" s="4" customFormat="1" ht="18">
      <c r="B13" s="66">
        <f t="shared" ref="B13" si="1">B12+1</f>
        <v>7</v>
      </c>
      <c r="C13" s="50"/>
      <c r="D13" s="62"/>
      <c r="E13" s="63"/>
      <c r="F13" s="64"/>
      <c r="G13" s="65"/>
    </row>
    <row r="14" spans="2:7" ht="17.399999999999999">
      <c r="B14" s="137" t="s">
        <v>13</v>
      </c>
      <c r="C14" s="137"/>
      <c r="D14" s="138" t="s">
        <v>7</v>
      </c>
      <c r="E14" s="138"/>
      <c r="F14" s="138"/>
      <c r="G14" s="80" t="s">
        <v>8</v>
      </c>
    </row>
    <row r="15" spans="2:7">
      <c r="B15" s="121"/>
      <c r="C15" s="121"/>
      <c r="D15" s="121"/>
      <c r="E15" s="121"/>
      <c r="F15" s="121"/>
      <c r="G15" s="121"/>
    </row>
    <row r="16" spans="2:7">
      <c r="B16" s="121"/>
      <c r="C16" s="121"/>
      <c r="D16" s="121"/>
      <c r="E16" s="121"/>
      <c r="F16" s="121"/>
      <c r="G16" s="121"/>
    </row>
    <row r="17" spans="2:7">
      <c r="B17" s="121"/>
      <c r="C17" s="121"/>
      <c r="D17" s="121"/>
      <c r="E17" s="121"/>
      <c r="F17" s="121"/>
      <c r="G17" s="121"/>
    </row>
    <row r="18" spans="2:7">
      <c r="B18" s="121"/>
      <c r="C18" s="121"/>
      <c r="D18" s="121"/>
      <c r="E18" s="121"/>
      <c r="F18" s="121"/>
      <c r="G18" s="121"/>
    </row>
    <row r="19" spans="2:7">
      <c r="B19" s="121"/>
      <c r="C19" s="121"/>
      <c r="D19" s="121"/>
      <c r="E19" s="121"/>
      <c r="F19" s="121"/>
      <c r="G19" s="121"/>
    </row>
  </sheetData>
  <mergeCells count="8">
    <mergeCell ref="G15:G19"/>
    <mergeCell ref="B3:F3"/>
    <mergeCell ref="D4:F4"/>
    <mergeCell ref="E5:F5"/>
    <mergeCell ref="B14:C14"/>
    <mergeCell ref="D14:F14"/>
    <mergeCell ref="B15:C19"/>
    <mergeCell ref="D15:F19"/>
  </mergeCells>
  <conditionalFormatting sqref="D7:D13">
    <cfRule type="cellIs" dxfId="3" priority="1" operator="equal">
      <formula>3</formula>
    </cfRule>
    <cfRule type="cellIs" dxfId="2" priority="2" operator="equal">
      <formula>4</formula>
    </cfRule>
  </conditionalFormatting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G14"/>
  <sheetViews>
    <sheetView workbookViewId="0">
      <selection activeCell="C7" sqref="C7"/>
    </sheetView>
  </sheetViews>
  <sheetFormatPr defaultColWidth="11.44140625" defaultRowHeight="14.4"/>
  <cols>
    <col min="1" max="1" width="0.33203125" style="1" customWidth="1"/>
    <col min="2" max="2" width="5.6640625" style="1" customWidth="1"/>
    <col min="3" max="3" width="88.33203125" style="1" customWidth="1"/>
    <col min="4" max="4" width="9.6640625" style="1" bestFit="1" customWidth="1"/>
    <col min="5" max="5" width="8.44140625" style="1" customWidth="1"/>
    <col min="6" max="6" width="10.5546875" style="1" customWidth="1"/>
    <col min="7" max="7" width="54.88671875" style="1" bestFit="1" customWidth="1"/>
    <col min="8" max="8" width="6.5546875" style="1" customWidth="1"/>
    <col min="9" max="9" width="7.88671875" style="1" customWidth="1"/>
    <col min="10" max="11" width="8.109375" style="1" customWidth="1"/>
    <col min="12" max="13" width="11.44140625" style="1" customWidth="1"/>
    <col min="14" max="14" width="8.88671875" style="1" customWidth="1"/>
    <col min="15" max="17" width="11.44140625" style="1" customWidth="1"/>
    <col min="18" max="18" width="2.109375" style="1" customWidth="1"/>
    <col min="19" max="16384" width="11.44140625" style="1"/>
  </cols>
  <sheetData>
    <row r="1" spans="2:7" ht="5.25" customHeight="1"/>
    <row r="2" spans="2:7" ht="0.75" customHeight="1"/>
    <row r="3" spans="2:7" ht="47.25" customHeight="1" thickBot="1">
      <c r="B3" s="139" t="s">
        <v>11</v>
      </c>
      <c r="C3" s="139"/>
      <c r="D3" s="139"/>
      <c r="E3" s="139"/>
      <c r="F3" s="151"/>
      <c r="G3" s="78" t="s">
        <v>38</v>
      </c>
    </row>
    <row r="4" spans="2:7" ht="23.4" thickBot="1">
      <c r="B4" s="52"/>
      <c r="C4" s="53" t="s">
        <v>78</v>
      </c>
      <c r="D4" s="110" t="s">
        <v>39</v>
      </c>
      <c r="E4" s="110"/>
      <c r="F4" s="110"/>
      <c r="G4" s="32" t="s">
        <v>74</v>
      </c>
    </row>
    <row r="5" spans="2:7" ht="17.399999999999999">
      <c r="B5" s="57"/>
      <c r="C5" s="57"/>
      <c r="D5" s="57"/>
      <c r="E5" s="136" t="s">
        <v>0</v>
      </c>
      <c r="F5" s="136"/>
      <c r="G5" s="57"/>
    </row>
    <row r="6" spans="2:7" s="4" customFormat="1" ht="15.6">
      <c r="B6" s="58" t="s">
        <v>1</v>
      </c>
      <c r="C6" s="58" t="s">
        <v>2</v>
      </c>
      <c r="D6" s="58" t="s">
        <v>3</v>
      </c>
      <c r="E6" s="59" t="s">
        <v>4</v>
      </c>
      <c r="F6" s="59" t="s">
        <v>5</v>
      </c>
      <c r="G6" s="60" t="s">
        <v>6</v>
      </c>
    </row>
    <row r="7" spans="2:7" s="4" customFormat="1" ht="18">
      <c r="B7" s="61">
        <v>1</v>
      </c>
      <c r="C7" s="85" t="s">
        <v>135</v>
      </c>
      <c r="D7" s="62"/>
      <c r="E7" s="63"/>
      <c r="F7" s="64"/>
      <c r="G7" s="65"/>
    </row>
    <row r="8" spans="2:7" s="4" customFormat="1" ht="18">
      <c r="B8" s="66">
        <f>B7+1</f>
        <v>2</v>
      </c>
      <c r="C8" s="70"/>
      <c r="D8" s="62"/>
      <c r="E8" s="63"/>
      <c r="F8" s="64"/>
      <c r="G8" s="65"/>
    </row>
    <row r="9" spans="2:7" ht="17.399999999999999">
      <c r="B9" s="137" t="s">
        <v>13</v>
      </c>
      <c r="C9" s="137"/>
      <c r="D9" s="138" t="s">
        <v>7</v>
      </c>
      <c r="E9" s="138"/>
      <c r="F9" s="138"/>
      <c r="G9" s="80" t="s">
        <v>8</v>
      </c>
    </row>
    <row r="10" spans="2:7">
      <c r="B10" s="121"/>
      <c r="C10" s="121"/>
      <c r="D10" s="121"/>
      <c r="E10" s="121"/>
      <c r="F10" s="121"/>
      <c r="G10" s="121"/>
    </row>
    <row r="11" spans="2:7">
      <c r="B11" s="121"/>
      <c r="C11" s="121"/>
      <c r="D11" s="121"/>
      <c r="E11" s="121"/>
      <c r="F11" s="121"/>
      <c r="G11" s="121"/>
    </row>
    <row r="12" spans="2:7">
      <c r="B12" s="121"/>
      <c r="C12" s="121"/>
      <c r="D12" s="121"/>
      <c r="E12" s="121"/>
      <c r="F12" s="121"/>
      <c r="G12" s="121"/>
    </row>
    <row r="13" spans="2:7">
      <c r="B13" s="121"/>
      <c r="C13" s="121"/>
      <c r="D13" s="121"/>
      <c r="E13" s="121"/>
      <c r="F13" s="121"/>
      <c r="G13" s="121"/>
    </row>
    <row r="14" spans="2:7">
      <c r="B14" s="121"/>
      <c r="C14" s="121"/>
      <c r="D14" s="121"/>
      <c r="E14" s="121"/>
      <c r="F14" s="121"/>
      <c r="G14" s="121"/>
    </row>
  </sheetData>
  <mergeCells count="8">
    <mergeCell ref="G10:G14"/>
    <mergeCell ref="B3:F3"/>
    <mergeCell ref="D4:F4"/>
    <mergeCell ref="E5:F5"/>
    <mergeCell ref="B9:C9"/>
    <mergeCell ref="D9:F9"/>
    <mergeCell ref="B10:C14"/>
    <mergeCell ref="D10:F14"/>
  </mergeCells>
  <conditionalFormatting sqref="D7:D8">
    <cfRule type="cellIs" dxfId="1" priority="1" operator="equal">
      <formula>3</formula>
    </cfRule>
    <cfRule type="cellIs" dxfId="0" priority="2" operator="equal">
      <formula>4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19</vt:i4>
      </vt:variant>
    </vt:vector>
  </HeadingPairs>
  <TitlesOfParts>
    <vt:vector size="50" baseType="lpstr">
      <vt:lpstr>Checklist madiba</vt:lpstr>
      <vt:lpstr>Checklist prise de Service</vt:lpstr>
      <vt:lpstr>Checklist CIP UF</vt:lpstr>
      <vt:lpstr>UF_HEB</vt:lpstr>
      <vt:lpstr>RO_HEB</vt:lpstr>
      <vt:lpstr>Eliwa_HEB</vt:lpstr>
      <vt:lpstr>WTP_HEB</vt:lpstr>
      <vt:lpstr>UF_MENS</vt:lpstr>
      <vt:lpstr>RO_MENS</vt:lpstr>
      <vt:lpstr>ELIWA_MENS</vt:lpstr>
      <vt:lpstr>WP_MENS</vt:lpstr>
      <vt:lpstr>UF_TRIM</vt:lpstr>
      <vt:lpstr>RO_TRIM</vt:lpstr>
      <vt:lpstr>ELIWA_TRIM</vt:lpstr>
      <vt:lpstr>WP_TRIM</vt:lpstr>
      <vt:lpstr>UF_AN</vt:lpstr>
      <vt:lpstr>Cvyr Btles</vt:lpstr>
      <vt:lpstr>CC C1</vt:lpstr>
      <vt:lpstr>CC C2</vt:lpstr>
      <vt:lpstr>CC C3</vt:lpstr>
      <vt:lpstr>CC C4</vt:lpstr>
      <vt:lpstr>CC C5</vt:lpstr>
      <vt:lpstr>CC C6</vt:lpstr>
      <vt:lpstr>CC C7</vt:lpstr>
      <vt:lpstr>CC C8</vt:lpstr>
      <vt:lpstr>Line &amp; frequency</vt:lpstr>
      <vt:lpstr>RO_AN</vt:lpstr>
      <vt:lpstr>ELIWA_AN</vt:lpstr>
      <vt:lpstr>WP_AN</vt:lpstr>
      <vt:lpstr>FORAGES</vt:lpstr>
      <vt:lpstr>RESERVOIR INCENDIE</vt:lpstr>
      <vt:lpstr>'CC C1'!Print_Area</vt:lpstr>
      <vt:lpstr>'CC C2'!Print_Area</vt:lpstr>
      <vt:lpstr>'CC C3'!Print_Area</vt:lpstr>
      <vt:lpstr>'CC C4'!Print_Area</vt:lpstr>
      <vt:lpstr>'CC C5'!Print_Area</vt:lpstr>
      <vt:lpstr>'CC C6'!Print_Area</vt:lpstr>
      <vt:lpstr>'CC C7'!Print_Area</vt:lpstr>
      <vt:lpstr>'CC C8'!Print_Area</vt:lpstr>
      <vt:lpstr>'Checklist CIP UF'!Print_Area</vt:lpstr>
      <vt:lpstr>'Checklist madiba'!Print_Area</vt:lpstr>
      <vt:lpstr>'Checklist prise de Service'!Print_Area</vt:lpstr>
      <vt:lpstr>'Cvyr Btles'!Print_Area</vt:lpstr>
      <vt:lpstr>ELIWA_MENS!Print_Area</vt:lpstr>
      <vt:lpstr>RO_HEB!Print_Area</vt:lpstr>
      <vt:lpstr>RO_TRIM!Print_Area</vt:lpstr>
      <vt:lpstr>UF_HEB!Print_Area</vt:lpstr>
      <vt:lpstr>UF_TRIM!Print_Area</vt:lpstr>
      <vt:lpstr>WP_MENS!Print_Area</vt:lpstr>
      <vt:lpstr>WTP_HEB!Print_Area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UCB DOUALA</dc:creator>
  <cp:lastModifiedBy>Cedric Choufa Njokep</cp:lastModifiedBy>
  <cp:lastPrinted>2025-11-10T10:47:38Z</cp:lastPrinted>
  <dcterms:created xsi:type="dcterms:W3CDTF">2021-01-06T16:50:41Z</dcterms:created>
  <dcterms:modified xsi:type="dcterms:W3CDTF">2025-11-10T10:51:47Z</dcterms:modified>
</cp:coreProperties>
</file>